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mc:AlternateContent xmlns:mc="http://schemas.openxmlformats.org/markup-compatibility/2006">
    <mc:Choice Requires="x15">
      <x15ac:absPath xmlns:x15ac="http://schemas.microsoft.com/office/spreadsheetml/2010/11/ac" url="C:\Users\ebpinto\PycharmProjects\Testes_Estatisticos\"/>
    </mc:Choice>
  </mc:AlternateContent>
  <bookViews>
    <workbookView xWindow="0" yWindow="0" windowWidth="2160" windowHeight="0" tabRatio="787" firstSheet="7" activeTab="7"/>
  </bookViews>
  <sheets>
    <sheet name="Instruções de uso_Histórico" sheetId="17" r:id="rId1"/>
    <sheet name="Entrada das massas" sheetId="12" r:id="rId2"/>
    <sheet name="Massas Corrigidas" sheetId="5" r:id="rId3"/>
    <sheet name="Entrada das intensidades" sheetId="10" r:id="rId4"/>
    <sheet name="Cálculos" sheetId="4" r:id="rId5"/>
    <sheet name=" Principal" sheetId="2" r:id="rId6"/>
    <sheet name="Dados e cálculos" sheetId="18" r:id="rId7"/>
    <sheet name="Adequação da curva" sheetId="19" r:id="rId8"/>
    <sheet name="Teste de consistência" sheetId="13" r:id="rId9"/>
    <sheet name="Dados externos" sheetId="14" r:id="rId10"/>
    <sheet name="Cálculos Extras" sheetId="11" r:id="rId11"/>
    <sheet name="Sinal" sheetId="16" state="hidden" r:id="rId12"/>
  </sheets>
  <externalReferences>
    <externalReference r:id="rId13"/>
    <externalReference r:id="rId14"/>
  </externalReferences>
  <definedNames>
    <definedName name="_21DEZ17_ALIQUOTA_106" localSheetId="11">Sinal!$A$1:$G$67</definedName>
    <definedName name="_xlnm._FilterDatabase" localSheetId="11" hidden="1">Sinal!$A$1:$G$1</definedName>
    <definedName name="_xlnm.Print_Area" localSheetId="5">' Principal'!$A$3:$AE$225</definedName>
  </definedNames>
  <calcPr calcId="152511"/>
</workbook>
</file>

<file path=xl/calcChain.xml><?xml version="1.0" encoding="utf-8"?>
<calcChain xmlns="http://schemas.openxmlformats.org/spreadsheetml/2006/main">
  <c r="Q5" i="19" l="1"/>
  <c r="I26" i="5" l="1"/>
  <c r="V5" i="18" l="1"/>
  <c r="O41" i="18" l="1"/>
  <c r="O42" i="18"/>
  <c r="O43" i="18"/>
  <c r="O44" i="18"/>
  <c r="O45" i="18"/>
  <c r="O46" i="18"/>
  <c r="O40" i="18"/>
  <c r="O34" i="18"/>
  <c r="O35" i="18"/>
  <c r="O36" i="18"/>
  <c r="O37" i="18"/>
  <c r="O38" i="18"/>
  <c r="O39" i="18"/>
  <c r="S6" i="19"/>
  <c r="S7" i="19"/>
  <c r="S8" i="19"/>
  <c r="S9" i="19"/>
  <c r="S10" i="19"/>
  <c r="S11" i="19"/>
  <c r="S5" i="19"/>
  <c r="R6" i="19"/>
  <c r="R7" i="19"/>
  <c r="R8" i="19"/>
  <c r="R9" i="19"/>
  <c r="R10" i="19"/>
  <c r="R11" i="19"/>
  <c r="R5" i="19"/>
  <c r="Q11" i="19"/>
  <c r="Q6" i="19"/>
  <c r="Q7" i="19"/>
  <c r="Q8" i="19"/>
  <c r="Q9" i="19"/>
  <c r="Q10" i="19"/>
  <c r="P6" i="19"/>
  <c r="P7" i="19"/>
  <c r="P8" i="19"/>
  <c r="P9" i="19"/>
  <c r="P10" i="19"/>
  <c r="P11" i="19"/>
  <c r="P5" i="19"/>
  <c r="O6" i="19"/>
  <c r="O7" i="19"/>
  <c r="O8" i="19"/>
  <c r="O9" i="19"/>
  <c r="O10" i="19"/>
  <c r="O11" i="19"/>
  <c r="O5" i="19"/>
  <c r="N6" i="19"/>
  <c r="N7" i="19"/>
  <c r="N8" i="19"/>
  <c r="N9" i="19"/>
  <c r="N10" i="19"/>
  <c r="N11" i="19"/>
  <c r="N5" i="19"/>
  <c r="W16" i="19" l="1"/>
  <c r="C65" i="18"/>
  <c r="C66" i="18"/>
  <c r="C67" i="18"/>
  <c r="C68" i="18"/>
  <c r="C69" i="18"/>
  <c r="C70" i="18"/>
  <c r="C64" i="18"/>
  <c r="H5" i="18"/>
  <c r="H4" i="18"/>
  <c r="H3" i="18"/>
  <c r="C11" i="18"/>
  <c r="C12" i="18"/>
  <c r="C10" i="18"/>
  <c r="C6" i="18"/>
  <c r="C7" i="18"/>
  <c r="C5" i="18"/>
  <c r="C13" i="12" l="1"/>
  <c r="AC7" i="19" l="1"/>
  <c r="AB16" i="19" l="1"/>
  <c r="AC9" i="19" s="1"/>
  <c r="AB15" i="19"/>
  <c r="AO9" i="19"/>
  <c r="AC11" i="19" l="1"/>
  <c r="AC8" i="19"/>
  <c r="AC10" i="19"/>
  <c r="AG15" i="19"/>
  <c r="AG12" i="19"/>
  <c r="AG16" i="19"/>
  <c r="AG11" i="19"/>
  <c r="AG17" i="19"/>
  <c r="AG10" i="19"/>
  <c r="AC20" i="19" l="1"/>
  <c r="AC19" i="19"/>
  <c r="E57" i="18" l="1"/>
  <c r="E56" i="18"/>
  <c r="E52" i="18"/>
  <c r="E51" i="18"/>
  <c r="E47" i="18"/>
  <c r="E46" i="18"/>
  <c r="E11" i="18"/>
  <c r="E7" i="18" l="1"/>
  <c r="E6" i="18"/>
  <c r="E12" i="18"/>
  <c r="U40" i="18"/>
  <c r="U41" i="18"/>
  <c r="U45" i="18"/>
  <c r="U44" i="18"/>
  <c r="U42" i="18"/>
  <c r="U46" i="18"/>
  <c r="U43" i="18"/>
  <c r="K31" i="13" l="1"/>
  <c r="L31" i="13"/>
  <c r="M31" i="13"/>
  <c r="K40" i="13"/>
  <c r="L40" i="13"/>
  <c r="M40" i="13"/>
  <c r="K49" i="13"/>
  <c r="L49" i="13"/>
  <c r="M49" i="13"/>
  <c r="K58" i="13"/>
  <c r="L58" i="13"/>
  <c r="M58" i="13"/>
  <c r="K67" i="13"/>
  <c r="L67" i="13"/>
  <c r="M67" i="13"/>
  <c r="K76" i="13"/>
  <c r="L76" i="13"/>
  <c r="M76" i="13"/>
  <c r="K85" i="13"/>
  <c r="L85" i="13"/>
  <c r="M85" i="13"/>
  <c r="K94" i="13"/>
  <c r="L94" i="13"/>
  <c r="M94" i="13"/>
  <c r="K103" i="13"/>
  <c r="L103" i="13"/>
  <c r="M103" i="13"/>
  <c r="K112" i="13"/>
  <c r="L112" i="13"/>
  <c r="M112" i="13"/>
  <c r="K121" i="13"/>
  <c r="L121" i="13"/>
  <c r="M121" i="13"/>
  <c r="K130" i="13"/>
  <c r="L130" i="13"/>
  <c r="M130" i="13"/>
  <c r="K139" i="13"/>
  <c r="L139" i="13"/>
  <c r="M139" i="13"/>
  <c r="K148" i="13"/>
  <c r="L148" i="13"/>
  <c r="M148" i="13"/>
  <c r="K157" i="13"/>
  <c r="L157" i="13"/>
  <c r="M157" i="13"/>
  <c r="K166" i="13"/>
  <c r="L166" i="13"/>
  <c r="M166" i="13"/>
  <c r="K175" i="13"/>
  <c r="L175" i="13"/>
  <c r="M175" i="13"/>
  <c r="K184" i="13"/>
  <c r="L184" i="13"/>
  <c r="M184" i="13"/>
  <c r="K193" i="13"/>
  <c r="L193" i="13"/>
  <c r="M193" i="13"/>
  <c r="K202" i="13"/>
  <c r="L202" i="13"/>
  <c r="M202" i="13"/>
  <c r="K211" i="13"/>
  <c r="L211" i="13"/>
  <c r="M211" i="13"/>
  <c r="K220" i="13"/>
  <c r="L220" i="13"/>
  <c r="M220" i="13"/>
  <c r="K229" i="13"/>
  <c r="L229" i="13"/>
  <c r="M229" i="13"/>
  <c r="K238" i="13"/>
  <c r="L238" i="13"/>
  <c r="M238" i="13"/>
  <c r="K247" i="13"/>
  <c r="L247" i="13"/>
  <c r="M247" i="13"/>
  <c r="K256" i="13"/>
  <c r="L256" i="13"/>
  <c r="M256" i="13"/>
  <c r="K265" i="13"/>
  <c r="L265" i="13"/>
  <c r="M265" i="13"/>
  <c r="K274" i="13"/>
  <c r="L274" i="13"/>
  <c r="M274" i="13"/>
  <c r="K283" i="13"/>
  <c r="L283" i="13"/>
  <c r="M283" i="13"/>
  <c r="K292" i="13"/>
  <c r="L292" i="13"/>
  <c r="M292" i="13"/>
  <c r="M22" i="13"/>
  <c r="L22" i="13"/>
  <c r="K22" i="13"/>
  <c r="V99" i="2" l="1"/>
  <c r="Y99" i="2"/>
  <c r="AC99" i="2"/>
  <c r="AF99" i="2"/>
  <c r="AH99" i="2"/>
  <c r="AK99" i="2"/>
  <c r="V100" i="2"/>
  <c r="Y100" i="2"/>
  <c r="AC100" i="2"/>
  <c r="AH100" i="2"/>
  <c r="AK100" i="2"/>
  <c r="V101" i="2"/>
  <c r="Y101" i="2"/>
  <c r="AH101" i="2"/>
  <c r="AK101" i="2"/>
  <c r="V102" i="2"/>
  <c r="Y102" i="2"/>
  <c r="AH102" i="2"/>
  <c r="AK102" i="2"/>
  <c r="V117" i="2"/>
  <c r="V118" i="2"/>
  <c r="V119" i="2"/>
  <c r="V120" i="2"/>
  <c r="Z126" i="2"/>
  <c r="Z127" i="2"/>
  <c r="V135" i="2"/>
  <c r="AC135" i="2"/>
  <c r="V136" i="2"/>
  <c r="AC136" i="2"/>
  <c r="V137" i="2"/>
  <c r="V138" i="2"/>
  <c r="AF144" i="2"/>
  <c r="AF145" i="2"/>
  <c r="V153" i="2"/>
  <c r="Z153" i="2"/>
  <c r="V154" i="2"/>
  <c r="Z154" i="2"/>
  <c r="V155" i="2"/>
  <c r="V156" i="2"/>
  <c r="AA161" i="2"/>
  <c r="AA163" i="2" s="1"/>
  <c r="AA162" i="2"/>
  <c r="AC162" i="2"/>
  <c r="AC163" i="2"/>
  <c r="W171" i="2"/>
  <c r="W172" i="2"/>
  <c r="Z180" i="2"/>
  <c r="Z181" i="2"/>
  <c r="W189" i="2"/>
  <c r="AF189" i="2"/>
  <c r="W190" i="2"/>
  <c r="AF190" i="2"/>
  <c r="AC198" i="2"/>
  <c r="AC199" i="2"/>
  <c r="W207" i="2"/>
  <c r="Z207" i="2"/>
  <c r="W208" i="2"/>
  <c r="Z208" i="2"/>
  <c r="W225" i="2"/>
  <c r="W226" i="2"/>
  <c r="Z234" i="2"/>
  <c r="AC234" i="2"/>
  <c r="AF234" i="2"/>
  <c r="Z235" i="2"/>
  <c r="AC235" i="2"/>
  <c r="AF235" i="2"/>
  <c r="W243" i="2"/>
  <c r="W244" i="2"/>
  <c r="W261" i="2"/>
  <c r="Z261" i="2"/>
  <c r="W262" i="2"/>
  <c r="Z262" i="2"/>
  <c r="AC270" i="2"/>
  <c r="AC271" i="2"/>
  <c r="W279" i="2"/>
  <c r="AF279" i="2"/>
  <c r="W280" i="2"/>
  <c r="AF280" i="2"/>
  <c r="Z288" i="2"/>
  <c r="Z289" i="2"/>
  <c r="W297" i="2"/>
  <c r="W298" i="2"/>
  <c r="AC306" i="2"/>
  <c r="AC307" i="2"/>
  <c r="W315" i="2"/>
  <c r="Z315" i="2"/>
  <c r="W316" i="2"/>
  <c r="Z316" i="2"/>
  <c r="AF324" i="2"/>
  <c r="AF325" i="2"/>
  <c r="W333" i="2"/>
  <c r="W334" i="2"/>
  <c r="Z342" i="2"/>
  <c r="AC342" i="2"/>
  <c r="Z343" i="2"/>
  <c r="AC343" i="2"/>
  <c r="W351" i="2"/>
  <c r="W352" i="2"/>
  <c r="D3" i="5" l="1"/>
  <c r="E6" i="2" l="1"/>
  <c r="B10" i="2"/>
  <c r="E5" i="2"/>
  <c r="B6" i="2"/>
  <c r="M2" i="4" l="1"/>
  <c r="N2" i="4"/>
  <c r="L2" i="4"/>
  <c r="E10" i="2" l="1"/>
  <c r="J34" i="16" l="1"/>
  <c r="L34" i="16"/>
  <c r="I34" i="16"/>
  <c r="L31" i="16"/>
  <c r="K32" i="16"/>
  <c r="K30" i="16"/>
  <c r="I28" i="16"/>
  <c r="K28" i="16"/>
  <c r="M28" i="16"/>
  <c r="J26" i="16"/>
  <c r="L26" i="16"/>
  <c r="I27" i="16"/>
  <c r="K27" i="16"/>
  <c r="M27" i="16"/>
  <c r="K25" i="16"/>
  <c r="M25" i="16"/>
  <c r="I16" i="16"/>
  <c r="K16" i="16"/>
  <c r="M16" i="16"/>
  <c r="J17" i="16"/>
  <c r="L17" i="16"/>
  <c r="I18" i="16"/>
  <c r="K18" i="16"/>
  <c r="M18" i="16"/>
  <c r="K15" i="16"/>
  <c r="M15" i="16"/>
  <c r="I10" i="16"/>
  <c r="H33" i="16"/>
  <c r="M34" i="16" s="1"/>
  <c r="H29" i="16"/>
  <c r="I32" i="16" s="1"/>
  <c r="H24" i="16"/>
  <c r="L28" i="16" s="1"/>
  <c r="H19" i="16"/>
  <c r="J22" i="16" s="1"/>
  <c r="H14" i="16"/>
  <c r="L16" i="16" s="1"/>
  <c r="H9" i="16"/>
  <c r="I64" i="16"/>
  <c r="H62" i="16"/>
  <c r="I63" i="16" s="1"/>
  <c r="K23" i="16" l="1"/>
  <c r="M20" i="16"/>
  <c r="M23" i="16"/>
  <c r="I23" i="16"/>
  <c r="K21" i="16"/>
  <c r="M30" i="16"/>
  <c r="M32" i="16"/>
  <c r="J31" i="16"/>
  <c r="I65" i="16"/>
  <c r="L15" i="16"/>
  <c r="L18" i="16"/>
  <c r="M17" i="16"/>
  <c r="I17" i="16"/>
  <c r="J16" i="16"/>
  <c r="L20" i="16"/>
  <c r="L23" i="16"/>
  <c r="M22" i="16"/>
  <c r="I22" i="16"/>
  <c r="J21" i="16"/>
  <c r="L25" i="16"/>
  <c r="L27" i="16"/>
  <c r="M26" i="16"/>
  <c r="I26" i="16"/>
  <c r="J28" i="16"/>
  <c r="L30" i="16"/>
  <c r="L32" i="16"/>
  <c r="M31" i="16"/>
  <c r="I31" i="16"/>
  <c r="K34" i="16"/>
  <c r="K20" i="16"/>
  <c r="M21" i="16"/>
  <c r="I21" i="16"/>
  <c r="I15" i="16"/>
  <c r="J15" i="16"/>
  <c r="J18" i="16"/>
  <c r="K17" i="16"/>
  <c r="I20" i="16"/>
  <c r="J20" i="16"/>
  <c r="J23" i="16"/>
  <c r="K22" i="16"/>
  <c r="L21" i="16"/>
  <c r="I25" i="16"/>
  <c r="J25" i="16"/>
  <c r="J27" i="16"/>
  <c r="K26" i="16"/>
  <c r="I30" i="16"/>
  <c r="J30" i="16"/>
  <c r="J32" i="16"/>
  <c r="K31" i="16"/>
  <c r="L22" i="16"/>
  <c r="J10" i="16"/>
  <c r="L10" i="16"/>
  <c r="M10" i="16"/>
  <c r="K10" i="16"/>
  <c r="L13" i="16"/>
  <c r="J13" i="16"/>
  <c r="M12" i="16"/>
  <c r="K12" i="16"/>
  <c r="I12" i="16"/>
  <c r="L11" i="16"/>
  <c r="J11" i="16"/>
  <c r="T19" i="16"/>
  <c r="M13" i="16"/>
  <c r="K13" i="16"/>
  <c r="I13" i="16"/>
  <c r="L12" i="16"/>
  <c r="J12" i="16"/>
  <c r="M11" i="16"/>
  <c r="K11" i="16"/>
  <c r="I11"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 i="16"/>
  <c r="Q9" i="16"/>
  <c r="R9" i="16"/>
  <c r="S9" i="16"/>
  <c r="T9" i="16"/>
  <c r="Q14" i="16"/>
  <c r="R14" i="16"/>
  <c r="S14" i="16"/>
  <c r="T14" i="16"/>
  <c r="Q19" i="16"/>
  <c r="R19" i="16"/>
  <c r="S19" i="16"/>
  <c r="Q24" i="16"/>
  <c r="R24" i="16"/>
  <c r="S24" i="16"/>
  <c r="T24" i="16"/>
  <c r="Q29" i="16"/>
  <c r="R29" i="16"/>
  <c r="S29" i="16"/>
  <c r="T29" i="16"/>
  <c r="Q33" i="16"/>
  <c r="R33" i="16"/>
  <c r="S33" i="16"/>
  <c r="T33" i="16"/>
  <c r="P9" i="16"/>
  <c r="P14" i="16"/>
  <c r="P19" i="16"/>
  <c r="P24" i="16"/>
  <c r="P29" i="16"/>
  <c r="P33" i="16"/>
  <c r="H66" i="16"/>
  <c r="H57" i="16"/>
  <c r="I58" i="16" s="1"/>
  <c r="H52" i="16"/>
  <c r="I53" i="16" s="1"/>
  <c r="H47" i="16"/>
  <c r="H42" i="16"/>
  <c r="H35" i="16"/>
  <c r="J36" i="16" s="1"/>
  <c r="H2" i="16"/>
  <c r="I3" i="16" s="1"/>
  <c r="M48" i="16" l="1"/>
  <c r="I48" i="16"/>
  <c r="P3" i="16"/>
  <c r="K45" i="16"/>
  <c r="I43" i="16"/>
  <c r="J44" i="16"/>
  <c r="I45" i="16"/>
  <c r="P12" i="16" s="1"/>
  <c r="M45" i="16"/>
  <c r="I44" i="16"/>
  <c r="M44" i="16"/>
  <c r="L45" i="16"/>
  <c r="S12" i="16" s="1"/>
  <c r="K46" i="16"/>
  <c r="K43" i="16"/>
  <c r="L43" i="16"/>
  <c r="K44" i="16"/>
  <c r="J45" i="16"/>
  <c r="I46" i="16"/>
  <c r="M46" i="16"/>
  <c r="M43" i="16"/>
  <c r="L44" i="16"/>
  <c r="J46" i="16"/>
  <c r="J43" i="16"/>
  <c r="L46" i="16"/>
  <c r="S13" i="16" s="1"/>
  <c r="U9" i="16"/>
  <c r="U29" i="16"/>
  <c r="U19" i="16"/>
  <c r="I36" i="16"/>
  <c r="I38" i="16"/>
  <c r="K41" i="16"/>
  <c r="K40" i="16"/>
  <c r="K39" i="16"/>
  <c r="K38" i="16"/>
  <c r="K36" i="16"/>
  <c r="I50" i="16"/>
  <c r="K51" i="16"/>
  <c r="K50" i="16"/>
  <c r="K49" i="16"/>
  <c r="R16" i="16" s="1"/>
  <c r="J48" i="16"/>
  <c r="Q15" i="16" s="1"/>
  <c r="L56" i="16"/>
  <c r="I40" i="16"/>
  <c r="M41" i="16"/>
  <c r="M40" i="16"/>
  <c r="M39" i="16"/>
  <c r="M38" i="16"/>
  <c r="M37" i="16"/>
  <c r="M36" i="16"/>
  <c r="P15" i="16"/>
  <c r="M51" i="16"/>
  <c r="M50" i="16"/>
  <c r="T17" i="16" s="1"/>
  <c r="M49" i="16"/>
  <c r="U33" i="16"/>
  <c r="U24" i="16"/>
  <c r="U14" i="16"/>
  <c r="K48" i="16"/>
  <c r="K37" i="16"/>
  <c r="I7" i="16"/>
  <c r="I5" i="16"/>
  <c r="P5" i="16" s="1"/>
  <c r="K8" i="16"/>
  <c r="K7" i="16"/>
  <c r="R7" i="16" s="1"/>
  <c r="M6" i="16"/>
  <c r="M5" i="16"/>
  <c r="T5" i="16" s="1"/>
  <c r="M4" i="16"/>
  <c r="M3" i="16"/>
  <c r="T3" i="16" s="1"/>
  <c r="K63" i="16"/>
  <c r="M63" i="16"/>
  <c r="T30" i="16" s="1"/>
  <c r="K64" i="16"/>
  <c r="M64" i="16"/>
  <c r="T31" i="16" s="1"/>
  <c r="K65" i="16"/>
  <c r="M65" i="16"/>
  <c r="T32" i="16" s="1"/>
  <c r="J63" i="16"/>
  <c r="Q30" i="16" s="1"/>
  <c r="L63" i="16"/>
  <c r="S30" i="16" s="1"/>
  <c r="J64" i="16"/>
  <c r="Q31" i="16" s="1"/>
  <c r="L64" i="16"/>
  <c r="S31" i="16" s="1"/>
  <c r="J65" i="16"/>
  <c r="L65" i="16"/>
  <c r="P30" i="16"/>
  <c r="I8" i="16"/>
  <c r="I6" i="16"/>
  <c r="I4" i="16"/>
  <c r="L8" i="16"/>
  <c r="J8" i="16"/>
  <c r="L7" i="16"/>
  <c r="J7" i="16"/>
  <c r="L6" i="16"/>
  <c r="J6" i="16"/>
  <c r="L5" i="16"/>
  <c r="J5" i="16"/>
  <c r="L4" i="16"/>
  <c r="J4" i="16"/>
  <c r="L3" i="16"/>
  <c r="J3" i="16"/>
  <c r="Q3" i="16" s="1"/>
  <c r="J58" i="16"/>
  <c r="Q25" i="16" s="1"/>
  <c r="L58" i="16"/>
  <c r="S25" i="16" s="1"/>
  <c r="J59" i="16"/>
  <c r="Q26" i="16" s="1"/>
  <c r="L59" i="16"/>
  <c r="J60" i="16"/>
  <c r="Q27" i="16" s="1"/>
  <c r="L60" i="16"/>
  <c r="S27" i="16" s="1"/>
  <c r="J61" i="16"/>
  <c r="Q28" i="16" s="1"/>
  <c r="L61" i="16"/>
  <c r="S28" i="16" s="1"/>
  <c r="I59" i="16"/>
  <c r="P26" i="16" s="1"/>
  <c r="I61" i="16"/>
  <c r="P28" i="16" s="1"/>
  <c r="K58" i="16"/>
  <c r="R25" i="16" s="1"/>
  <c r="M58" i="16"/>
  <c r="K59" i="16"/>
  <c r="M59" i="16"/>
  <c r="T26" i="16" s="1"/>
  <c r="K60" i="16"/>
  <c r="R27" i="16" s="1"/>
  <c r="M60" i="16"/>
  <c r="K61" i="16"/>
  <c r="M61" i="16"/>
  <c r="T28" i="16" s="1"/>
  <c r="I60" i="16"/>
  <c r="P27" i="16" s="1"/>
  <c r="K67" i="16"/>
  <c r="R34" i="16" s="1"/>
  <c r="M67" i="16"/>
  <c r="I67" i="16"/>
  <c r="P34" i="16" s="1"/>
  <c r="J67" i="16"/>
  <c r="Q34" i="16" s="1"/>
  <c r="L67" i="16"/>
  <c r="S34" i="16" s="1"/>
  <c r="I41" i="16"/>
  <c r="I39" i="16"/>
  <c r="I37" i="16"/>
  <c r="L41" i="16"/>
  <c r="J41" i="16"/>
  <c r="L40" i="16"/>
  <c r="J40" i="16"/>
  <c r="L39" i="16"/>
  <c r="J39" i="16"/>
  <c r="L38" i="16"/>
  <c r="J38" i="16"/>
  <c r="L37" i="16"/>
  <c r="J37" i="16"/>
  <c r="L36" i="16"/>
  <c r="S10" i="16"/>
  <c r="I51" i="16"/>
  <c r="P18" i="16" s="1"/>
  <c r="I49" i="16"/>
  <c r="L51" i="16"/>
  <c r="S18" i="16" s="1"/>
  <c r="J51" i="16"/>
  <c r="L50" i="16"/>
  <c r="S17" i="16" s="1"/>
  <c r="J50" i="16"/>
  <c r="L49" i="16"/>
  <c r="S16" i="16" s="1"/>
  <c r="J49" i="16"/>
  <c r="L48" i="16"/>
  <c r="S15" i="16" s="1"/>
  <c r="I56" i="16"/>
  <c r="M8" i="16"/>
  <c r="M7" i="16"/>
  <c r="T7" i="16" s="1"/>
  <c r="K6" i="16"/>
  <c r="R6" i="16" s="1"/>
  <c r="K5" i="16"/>
  <c r="K4" i="16"/>
  <c r="R4" i="16" s="1"/>
  <c r="K3" i="16"/>
  <c r="J53" i="16"/>
  <c r="Q20" i="16" s="1"/>
  <c r="L53" i="16"/>
  <c r="J54" i="16"/>
  <c r="Q21" i="16" s="1"/>
  <c r="L54" i="16"/>
  <c r="J55" i="16"/>
  <c r="Q22" i="16" s="1"/>
  <c r="L55" i="16"/>
  <c r="J56" i="16"/>
  <c r="Q23" i="16" s="1"/>
  <c r="K53" i="16"/>
  <c r="R20" i="16" s="1"/>
  <c r="M53" i="16"/>
  <c r="T20" i="16" s="1"/>
  <c r="K54" i="16"/>
  <c r="M54" i="16"/>
  <c r="T21" i="16" s="1"/>
  <c r="K55" i="16"/>
  <c r="M55" i="16"/>
  <c r="T22" i="16" s="1"/>
  <c r="K56" i="16"/>
  <c r="M56" i="16"/>
  <c r="T23" i="16" s="1"/>
  <c r="I55" i="16"/>
  <c r="P20" i="16"/>
  <c r="R13" i="16"/>
  <c r="R12" i="16"/>
  <c r="T10" i="16"/>
  <c r="I54" i="16"/>
  <c r="P21" i="16" s="1"/>
  <c r="T18" i="16"/>
  <c r="T16" i="16"/>
  <c r="T15" i="16"/>
  <c r="P17" i="16"/>
  <c r="R18" i="16"/>
  <c r="R17" i="16"/>
  <c r="R15" i="16"/>
  <c r="R28" i="16"/>
  <c r="R26" i="16"/>
  <c r="T13" i="16"/>
  <c r="R10" i="16"/>
  <c r="S32" i="16"/>
  <c r="T34" i="16"/>
  <c r="P13" i="16"/>
  <c r="Q13" i="16"/>
  <c r="Q12" i="16"/>
  <c r="Q10" i="16"/>
  <c r="P16" i="16"/>
  <c r="Q18" i="16"/>
  <c r="Q17" i="16"/>
  <c r="Q16" i="16"/>
  <c r="P23" i="16"/>
  <c r="S23" i="16"/>
  <c r="S22" i="16"/>
  <c r="S21" i="16"/>
  <c r="S20" i="16"/>
  <c r="S26" i="16"/>
  <c r="P31" i="16"/>
  <c r="R30" i="16"/>
  <c r="R31" i="16"/>
  <c r="R32" i="16"/>
  <c r="P32" i="16"/>
  <c r="P22" i="16"/>
  <c r="R23" i="16"/>
  <c r="R22" i="16"/>
  <c r="B283" i="13"/>
  <c r="B274" i="13"/>
  <c r="B265" i="13"/>
  <c r="B256" i="13"/>
  <c r="B247" i="13"/>
  <c r="B238" i="13"/>
  <c r="B229" i="13"/>
  <c r="B220" i="13"/>
  <c r="B211" i="13"/>
  <c r="B202" i="13"/>
  <c r="B193" i="13"/>
  <c r="B184" i="13"/>
  <c r="B175" i="13"/>
  <c r="B166" i="13"/>
  <c r="B157" i="13"/>
  <c r="B148" i="13"/>
  <c r="B139" i="13"/>
  <c r="B130" i="13"/>
  <c r="B121" i="13"/>
  <c r="B112" i="13"/>
  <c r="B103" i="13"/>
  <c r="B94" i="13"/>
  <c r="B85" i="13"/>
  <c r="B76" i="13"/>
  <c r="B67" i="13"/>
  <c r="B58" i="13"/>
  <c r="B49" i="13"/>
  <c r="B40" i="13"/>
  <c r="B31" i="13"/>
  <c r="R8" i="16" l="1"/>
  <c r="R3" i="16"/>
  <c r="T8" i="16"/>
  <c r="P7" i="16"/>
  <c r="R5" i="16"/>
  <c r="T4" i="16"/>
  <c r="T6" i="16"/>
  <c r="U26" i="16"/>
  <c r="U18" i="16"/>
  <c r="U34" i="16"/>
  <c r="U15" i="16"/>
  <c r="U22" i="16"/>
  <c r="U28" i="16"/>
  <c r="U23" i="16"/>
  <c r="U16" i="16"/>
  <c r="U20" i="16"/>
  <c r="U17" i="16"/>
  <c r="U13" i="16"/>
  <c r="U31" i="16"/>
  <c r="U30" i="16"/>
  <c r="Q32" i="16"/>
  <c r="U32" i="16" s="1"/>
  <c r="R21" i="16"/>
  <c r="U21" i="16" s="1"/>
  <c r="T12" i="16"/>
  <c r="U12" i="16" s="1"/>
  <c r="P10" i="16"/>
  <c r="T25" i="16"/>
  <c r="T27" i="16"/>
  <c r="U27" i="16" s="1"/>
  <c r="P25" i="16"/>
  <c r="Q4" i="16"/>
  <c r="Q5" i="16"/>
  <c r="Q6" i="16"/>
  <c r="Q7" i="16"/>
  <c r="Q8" i="16"/>
  <c r="P4" i="16"/>
  <c r="P8" i="16"/>
  <c r="S3" i="16"/>
  <c r="S4" i="16"/>
  <c r="S5" i="16"/>
  <c r="S6" i="16"/>
  <c r="S7" i="16"/>
  <c r="S8" i="16"/>
  <c r="P6" i="16"/>
  <c r="B288" i="13"/>
  <c r="B279" i="13"/>
  <c r="B270" i="13"/>
  <c r="B261" i="13"/>
  <c r="B252" i="13"/>
  <c r="B243" i="13"/>
  <c r="B234" i="13"/>
  <c r="B225" i="13"/>
  <c r="B216" i="13"/>
  <c r="B207" i="13"/>
  <c r="B198" i="13"/>
  <c r="B189" i="13"/>
  <c r="B180" i="13"/>
  <c r="B171" i="13"/>
  <c r="B126" i="13"/>
  <c r="B81" i="13"/>
  <c r="B36" i="13"/>
  <c r="B292" i="13"/>
  <c r="U3" i="16" l="1"/>
  <c r="U7" i="16"/>
  <c r="U5" i="16"/>
  <c r="U6" i="16"/>
  <c r="U4" i="16"/>
  <c r="U8" i="16"/>
  <c r="U25" i="16"/>
  <c r="U10" i="16"/>
  <c r="B284" i="13"/>
  <c r="B285" i="13"/>
  <c r="B286" i="13"/>
  <c r="B287" i="13"/>
  <c r="B275" i="13"/>
  <c r="B276" i="13"/>
  <c r="B277" i="13"/>
  <c r="B278" i="13"/>
  <c r="B266" i="13"/>
  <c r="B267" i="13"/>
  <c r="B268" i="13"/>
  <c r="B269" i="13"/>
  <c r="B257" i="13"/>
  <c r="B258" i="13"/>
  <c r="B259" i="13"/>
  <c r="B260" i="13"/>
  <c r="B248" i="13"/>
  <c r="B249" i="13"/>
  <c r="B250" i="13"/>
  <c r="B251" i="13"/>
  <c r="B239" i="13"/>
  <c r="B240" i="13"/>
  <c r="B241" i="13"/>
  <c r="B242" i="13"/>
  <c r="B230" i="13"/>
  <c r="B231" i="13"/>
  <c r="B232" i="13"/>
  <c r="B233" i="13"/>
  <c r="B221" i="13"/>
  <c r="B222" i="13"/>
  <c r="B223" i="13"/>
  <c r="B224" i="13"/>
  <c r="B212" i="13"/>
  <c r="B213" i="13"/>
  <c r="B214" i="13"/>
  <c r="B215" i="13"/>
  <c r="B203" i="13"/>
  <c r="B204" i="13"/>
  <c r="B205" i="13"/>
  <c r="B206" i="13"/>
  <c r="B194" i="13"/>
  <c r="B195" i="13"/>
  <c r="B196" i="13"/>
  <c r="B197" i="13"/>
  <c r="B185" i="13"/>
  <c r="B186" i="13"/>
  <c r="B187" i="13"/>
  <c r="B188" i="13"/>
  <c r="B176" i="13"/>
  <c r="B177" i="13"/>
  <c r="B178" i="13"/>
  <c r="B179" i="13"/>
  <c r="B167" i="13"/>
  <c r="B168" i="13"/>
  <c r="B169" i="13"/>
  <c r="B170" i="13"/>
  <c r="B122" i="13"/>
  <c r="B123" i="13"/>
  <c r="B124" i="13"/>
  <c r="B125" i="13"/>
  <c r="B77" i="13"/>
  <c r="B78" i="13"/>
  <c r="B79" i="13"/>
  <c r="B80" i="13"/>
  <c r="B32" i="13"/>
  <c r="B33" i="13"/>
  <c r="B34" i="13"/>
  <c r="B35" i="13"/>
  <c r="B12" i="5" l="1"/>
  <c r="B13" i="5"/>
  <c r="B14" i="5"/>
  <c r="B15" i="5"/>
  <c r="B16" i="5"/>
  <c r="B17" i="5"/>
  <c r="B18" i="5"/>
  <c r="B19" i="5"/>
  <c r="B20" i="5"/>
  <c r="D7" i="5"/>
  <c r="D8" i="5"/>
  <c r="D9" i="5"/>
  <c r="D10" i="5"/>
  <c r="D11" i="5"/>
  <c r="D12" i="5"/>
  <c r="D13" i="5"/>
  <c r="D14" i="5"/>
  <c r="D15" i="5"/>
  <c r="D16" i="5"/>
  <c r="D17" i="5"/>
  <c r="D18" i="5"/>
  <c r="D19" i="5"/>
  <c r="D20" i="5"/>
  <c r="C7" i="5"/>
  <c r="C8" i="5"/>
  <c r="C9" i="5"/>
  <c r="C10" i="5"/>
  <c r="C11" i="5"/>
  <c r="C12" i="5"/>
  <c r="C13" i="5"/>
  <c r="C14" i="5"/>
  <c r="C15" i="5"/>
  <c r="C16" i="5"/>
  <c r="C17" i="5"/>
  <c r="C18" i="5"/>
  <c r="C19" i="5"/>
  <c r="C20" i="5"/>
  <c r="C6" i="5"/>
  <c r="D6" i="5"/>
  <c r="E13" i="2" l="1"/>
  <c r="C15" i="10" l="1"/>
  <c r="B36" i="2"/>
  <c r="B25" i="10"/>
  <c r="H99" i="2" s="1"/>
  <c r="I171" i="5"/>
  <c r="I166" i="5"/>
  <c r="I161" i="5"/>
  <c r="I156" i="5"/>
  <c r="I151" i="5"/>
  <c r="I146" i="5"/>
  <c r="I141" i="5"/>
  <c r="I136" i="5"/>
  <c r="I131" i="5"/>
  <c r="I126" i="5"/>
  <c r="I121" i="5"/>
  <c r="I116" i="5"/>
  <c r="I111" i="5"/>
  <c r="I106" i="5"/>
  <c r="I101" i="5"/>
  <c r="I96" i="5"/>
  <c r="I91" i="5"/>
  <c r="I86" i="5"/>
  <c r="I81" i="5"/>
  <c r="I76" i="5"/>
  <c r="I71" i="5"/>
  <c r="I66" i="5"/>
  <c r="I61" i="5"/>
  <c r="I56" i="5"/>
  <c r="I51" i="5"/>
  <c r="I46" i="5"/>
  <c r="I41" i="5"/>
  <c r="I36" i="5"/>
  <c r="I31" i="5"/>
  <c r="O5" i="18" l="1"/>
  <c r="B72" i="13"/>
  <c r="B69" i="13"/>
  <c r="B71" i="13"/>
  <c r="B68" i="13"/>
  <c r="B70" i="13"/>
  <c r="B162" i="13"/>
  <c r="B159" i="13"/>
  <c r="B161" i="13"/>
  <c r="B158" i="13"/>
  <c r="B160" i="13"/>
  <c r="B117" i="13"/>
  <c r="B114" i="13"/>
  <c r="B116" i="13"/>
  <c r="B113" i="13"/>
  <c r="B115" i="13"/>
  <c r="B7" i="5"/>
  <c r="B8" i="5"/>
  <c r="B9" i="5"/>
  <c r="B10" i="5"/>
  <c r="B11" i="5"/>
  <c r="B6" i="5"/>
  <c r="N28" i="19" l="1"/>
  <c r="B39" i="5"/>
  <c r="C39" i="5" s="1"/>
  <c r="B37" i="5"/>
  <c r="C37" i="5" s="1"/>
  <c r="B38" i="5"/>
  <c r="C38" i="5" s="1"/>
  <c r="B15" i="10"/>
  <c r="H171" i="5"/>
  <c r="H164" i="5"/>
  <c r="H161" i="5"/>
  <c r="H156" i="5"/>
  <c r="H149" i="5"/>
  <c r="H146" i="5"/>
  <c r="H141" i="5"/>
  <c r="H134" i="5"/>
  <c r="H131" i="5"/>
  <c r="H126" i="5"/>
  <c r="H119" i="5"/>
  <c r="H116" i="5"/>
  <c r="H111" i="5"/>
  <c r="H104" i="5"/>
  <c r="H101" i="5"/>
  <c r="H96" i="5"/>
  <c r="H89" i="5"/>
  <c r="H86" i="5"/>
  <c r="H81" i="5"/>
  <c r="H74" i="5"/>
  <c r="H71" i="5"/>
  <c r="H66" i="5"/>
  <c r="H59" i="5"/>
  <c r="H56" i="5"/>
  <c r="H51" i="5"/>
  <c r="H46" i="5"/>
  <c r="B22" i="13"/>
  <c r="B26" i="13" l="1"/>
  <c r="B23" i="13"/>
  <c r="B27" i="13"/>
  <c r="B24" i="13"/>
  <c r="B25" i="13"/>
  <c r="M29" i="5"/>
  <c r="H28" i="5"/>
  <c r="M28" i="5"/>
  <c r="H29" i="5"/>
  <c r="H27" i="5"/>
  <c r="H166" i="5"/>
  <c r="H151" i="5"/>
  <c r="H136" i="5"/>
  <c r="H121" i="5"/>
  <c r="H106" i="5"/>
  <c r="H91" i="5"/>
  <c r="H76" i="5"/>
  <c r="H61" i="5"/>
  <c r="M166" i="5"/>
  <c r="M168" i="5"/>
  <c r="M169" i="5"/>
  <c r="M171" i="5"/>
  <c r="M173" i="5"/>
  <c r="M174" i="5"/>
  <c r="J166" i="5"/>
  <c r="K166" i="5" s="1"/>
  <c r="L166" i="5" s="1"/>
  <c r="H167" i="5"/>
  <c r="H168" i="5"/>
  <c r="H169" i="5"/>
  <c r="J171" i="5"/>
  <c r="K171" i="5" s="1"/>
  <c r="L171" i="5" s="1"/>
  <c r="H172" i="5"/>
  <c r="H173" i="5"/>
  <c r="H174" i="5"/>
  <c r="M151" i="5"/>
  <c r="M153" i="5"/>
  <c r="M154" i="5"/>
  <c r="M156" i="5"/>
  <c r="M158" i="5"/>
  <c r="M159" i="5"/>
  <c r="M161" i="5"/>
  <c r="M163" i="5"/>
  <c r="M164" i="5"/>
  <c r="J151" i="5"/>
  <c r="K151" i="5" s="1"/>
  <c r="L151" i="5" s="1"/>
  <c r="H152" i="5"/>
  <c r="H153" i="5"/>
  <c r="H154" i="5"/>
  <c r="J156" i="5"/>
  <c r="K156" i="5" s="1"/>
  <c r="L156" i="5" s="1"/>
  <c r="H157" i="5"/>
  <c r="H158" i="5"/>
  <c r="H159" i="5"/>
  <c r="J161" i="5"/>
  <c r="K161" i="5" s="1"/>
  <c r="L161" i="5" s="1"/>
  <c r="H162" i="5"/>
  <c r="H163" i="5"/>
  <c r="M136" i="5"/>
  <c r="M138" i="5"/>
  <c r="M139" i="5"/>
  <c r="M141" i="5"/>
  <c r="M143" i="5"/>
  <c r="M144" i="5"/>
  <c r="M146" i="5"/>
  <c r="M148" i="5"/>
  <c r="M149" i="5"/>
  <c r="J136" i="5"/>
  <c r="K136" i="5" s="1"/>
  <c r="L136" i="5" s="1"/>
  <c r="H137" i="5"/>
  <c r="H138" i="5"/>
  <c r="H139" i="5"/>
  <c r="J141" i="5"/>
  <c r="K141" i="5" s="1"/>
  <c r="L141" i="5" s="1"/>
  <c r="H142" i="5"/>
  <c r="H143" i="5"/>
  <c r="H144" i="5"/>
  <c r="J146" i="5"/>
  <c r="K146" i="5" s="1"/>
  <c r="L146" i="5" s="1"/>
  <c r="H147" i="5"/>
  <c r="H148" i="5"/>
  <c r="M121" i="5"/>
  <c r="M123" i="5"/>
  <c r="M124" i="5"/>
  <c r="M126" i="5"/>
  <c r="M128" i="5"/>
  <c r="M129" i="5"/>
  <c r="M131" i="5"/>
  <c r="M133" i="5"/>
  <c r="M134" i="5"/>
  <c r="J121" i="5"/>
  <c r="K121" i="5" s="1"/>
  <c r="L121" i="5" s="1"/>
  <c r="H122" i="5"/>
  <c r="H123" i="5"/>
  <c r="H124" i="5"/>
  <c r="J126" i="5"/>
  <c r="K126" i="5" s="1"/>
  <c r="L126" i="5" s="1"/>
  <c r="H127" i="5"/>
  <c r="H128" i="5"/>
  <c r="H129" i="5"/>
  <c r="J131" i="5"/>
  <c r="K131" i="5" s="1"/>
  <c r="L131" i="5" s="1"/>
  <c r="H132" i="5"/>
  <c r="H133" i="5"/>
  <c r="M106" i="5"/>
  <c r="M108" i="5"/>
  <c r="M109" i="5"/>
  <c r="M111" i="5"/>
  <c r="M113" i="5"/>
  <c r="M114" i="5"/>
  <c r="M116" i="5"/>
  <c r="M118" i="5"/>
  <c r="M119" i="5"/>
  <c r="J106" i="5"/>
  <c r="K106" i="5" s="1"/>
  <c r="L106" i="5" s="1"/>
  <c r="H107" i="5"/>
  <c r="H108" i="5"/>
  <c r="H109" i="5"/>
  <c r="J111" i="5"/>
  <c r="K111" i="5" s="1"/>
  <c r="L111" i="5" s="1"/>
  <c r="H112" i="5"/>
  <c r="H113" i="5"/>
  <c r="H114" i="5"/>
  <c r="J116" i="5"/>
  <c r="K116" i="5" s="1"/>
  <c r="L116" i="5" s="1"/>
  <c r="H117" i="5"/>
  <c r="H118" i="5"/>
  <c r="M91" i="5"/>
  <c r="M93" i="5"/>
  <c r="M94" i="5"/>
  <c r="M96" i="5"/>
  <c r="M98" i="5"/>
  <c r="M99" i="5"/>
  <c r="M101" i="5"/>
  <c r="M103" i="5"/>
  <c r="M104" i="5"/>
  <c r="J91" i="5"/>
  <c r="K91" i="5" s="1"/>
  <c r="L91" i="5" s="1"/>
  <c r="H92" i="5"/>
  <c r="H93" i="5"/>
  <c r="H94" i="5"/>
  <c r="J96" i="5"/>
  <c r="K96" i="5" s="1"/>
  <c r="L96" i="5" s="1"/>
  <c r="H97" i="5"/>
  <c r="H98" i="5"/>
  <c r="H99" i="5"/>
  <c r="J101" i="5"/>
  <c r="K101" i="5" s="1"/>
  <c r="L101" i="5" s="1"/>
  <c r="H102" i="5"/>
  <c r="H103" i="5"/>
  <c r="M76" i="5"/>
  <c r="M78" i="5"/>
  <c r="M79" i="5"/>
  <c r="M81" i="5"/>
  <c r="M83" i="5"/>
  <c r="M84" i="5"/>
  <c r="M86" i="5"/>
  <c r="M88" i="5"/>
  <c r="M89" i="5"/>
  <c r="J76" i="5"/>
  <c r="K76" i="5" s="1"/>
  <c r="L76" i="5" s="1"/>
  <c r="H77" i="5"/>
  <c r="H78" i="5"/>
  <c r="H79" i="5"/>
  <c r="J81" i="5"/>
  <c r="K81" i="5" s="1"/>
  <c r="L81" i="5" s="1"/>
  <c r="H82" i="5"/>
  <c r="H83" i="5"/>
  <c r="H84" i="5"/>
  <c r="J86" i="5"/>
  <c r="K86" i="5" s="1"/>
  <c r="L86" i="5" s="1"/>
  <c r="H87" i="5"/>
  <c r="H88" i="5"/>
  <c r="M61" i="5"/>
  <c r="M63" i="5"/>
  <c r="M64" i="5"/>
  <c r="M66" i="5"/>
  <c r="M68" i="5"/>
  <c r="M69" i="5"/>
  <c r="M71" i="5"/>
  <c r="M73" i="5"/>
  <c r="M74" i="5"/>
  <c r="J61" i="5"/>
  <c r="K61" i="5" s="1"/>
  <c r="L61" i="5" s="1"/>
  <c r="H62" i="5"/>
  <c r="H63" i="5"/>
  <c r="H64" i="5"/>
  <c r="J66" i="5"/>
  <c r="K66" i="5" s="1"/>
  <c r="L66" i="5" s="1"/>
  <c r="H67" i="5"/>
  <c r="H68" i="5"/>
  <c r="H69" i="5"/>
  <c r="J71" i="5"/>
  <c r="K71" i="5" s="1"/>
  <c r="L71" i="5" s="1"/>
  <c r="H72" i="5"/>
  <c r="H73" i="5"/>
  <c r="M46" i="5"/>
  <c r="M48" i="5"/>
  <c r="M49" i="5"/>
  <c r="M51" i="5"/>
  <c r="M53" i="5"/>
  <c r="M54" i="5"/>
  <c r="M56" i="5"/>
  <c r="M58" i="5"/>
  <c r="M59" i="5"/>
  <c r="J46" i="5"/>
  <c r="K46" i="5" s="1"/>
  <c r="L46" i="5" s="1"/>
  <c r="H47" i="5"/>
  <c r="H48" i="5"/>
  <c r="H49" i="5"/>
  <c r="J51" i="5"/>
  <c r="K51" i="5" s="1"/>
  <c r="L51" i="5" s="1"/>
  <c r="H52" i="5"/>
  <c r="H53" i="5"/>
  <c r="H54" i="5"/>
  <c r="J56" i="5"/>
  <c r="K56" i="5" s="1"/>
  <c r="L56" i="5" s="1"/>
  <c r="H57" i="5"/>
  <c r="H58" i="5"/>
  <c r="H38" i="5" l="1"/>
  <c r="M34" i="5"/>
  <c r="W169" i="5" l="1"/>
  <c r="X169" i="5" s="1"/>
  <c r="W159" i="5"/>
  <c r="X159" i="5" s="1"/>
  <c r="W149" i="5"/>
  <c r="X149" i="5" s="1"/>
  <c r="W139" i="5"/>
  <c r="X139" i="5" s="1"/>
  <c r="W129" i="5"/>
  <c r="X129" i="5" s="1"/>
  <c r="W119" i="5"/>
  <c r="X119" i="5" s="1"/>
  <c r="W109" i="5"/>
  <c r="X109" i="5" s="1"/>
  <c r="W99" i="5"/>
  <c r="X99" i="5" s="1"/>
  <c r="W89" i="5"/>
  <c r="X89" i="5" s="1"/>
  <c r="W79" i="5"/>
  <c r="X79" i="5" s="1"/>
  <c r="W69" i="5"/>
  <c r="X69" i="5" s="1"/>
  <c r="W59" i="5"/>
  <c r="X59" i="5" s="1"/>
  <c r="W49" i="5"/>
  <c r="X49" i="5" s="1"/>
  <c r="P169" i="5"/>
  <c r="Q169" i="5" s="1"/>
  <c r="P159" i="5"/>
  <c r="Q159" i="5" s="1"/>
  <c r="P149" i="5"/>
  <c r="Q149" i="5" s="1"/>
  <c r="P139" i="5"/>
  <c r="Q139" i="5" s="1"/>
  <c r="P129" i="5"/>
  <c r="Q129" i="5" s="1"/>
  <c r="P119" i="5"/>
  <c r="Q119" i="5" s="1"/>
  <c r="P109" i="5"/>
  <c r="Q109" i="5" s="1"/>
  <c r="P99" i="5"/>
  <c r="Q99" i="5" s="1"/>
  <c r="P89" i="5"/>
  <c r="Q89" i="5" s="1"/>
  <c r="P79" i="5"/>
  <c r="Q79" i="5" s="1"/>
  <c r="P69" i="5"/>
  <c r="Q69" i="5" s="1"/>
  <c r="P59" i="5"/>
  <c r="Q59" i="5" s="1"/>
  <c r="P49" i="5"/>
  <c r="Q49" i="5" s="1"/>
  <c r="I79" i="5"/>
  <c r="J79" i="5" s="1"/>
  <c r="I74" i="5"/>
  <c r="J74" i="5" s="1"/>
  <c r="I69" i="5"/>
  <c r="J69" i="5" s="1"/>
  <c r="I64" i="5"/>
  <c r="J64" i="5" s="1"/>
  <c r="I54" i="5"/>
  <c r="J54" i="5" s="1"/>
  <c r="W174" i="5"/>
  <c r="X174" i="5" s="1"/>
  <c r="W164" i="5"/>
  <c r="X164" i="5" s="1"/>
  <c r="W154" i="5"/>
  <c r="X154" i="5" s="1"/>
  <c r="W144" i="5"/>
  <c r="X144" i="5" s="1"/>
  <c r="W134" i="5"/>
  <c r="X134" i="5" s="1"/>
  <c r="W124" i="5"/>
  <c r="X124" i="5" s="1"/>
  <c r="W114" i="5"/>
  <c r="X114" i="5" s="1"/>
  <c r="W104" i="5"/>
  <c r="X104" i="5" s="1"/>
  <c r="W94" i="5"/>
  <c r="X94" i="5" s="1"/>
  <c r="W84" i="5"/>
  <c r="X84" i="5" s="1"/>
  <c r="W74" i="5"/>
  <c r="X74" i="5" s="1"/>
  <c r="W64" i="5"/>
  <c r="X64" i="5" s="1"/>
  <c r="W54" i="5"/>
  <c r="X54" i="5" s="1"/>
  <c r="P174" i="5"/>
  <c r="Q174" i="5" s="1"/>
  <c r="P164" i="5"/>
  <c r="Q164" i="5" s="1"/>
  <c r="P154" i="5"/>
  <c r="Q154" i="5" s="1"/>
  <c r="P144" i="5"/>
  <c r="Q144" i="5" s="1"/>
  <c r="P134" i="5"/>
  <c r="Q134" i="5" s="1"/>
  <c r="P124" i="5"/>
  <c r="Q124" i="5" s="1"/>
  <c r="P114" i="5"/>
  <c r="Q114" i="5" s="1"/>
  <c r="P104" i="5"/>
  <c r="Q104" i="5" s="1"/>
  <c r="P94" i="5"/>
  <c r="Q94" i="5" s="1"/>
  <c r="P84" i="5"/>
  <c r="Q84" i="5" s="1"/>
  <c r="P74" i="5"/>
  <c r="Q74" i="5" s="1"/>
  <c r="P64" i="5"/>
  <c r="Q64" i="5" s="1"/>
  <c r="P54" i="5"/>
  <c r="Q54" i="5" s="1"/>
  <c r="I174" i="5"/>
  <c r="J174" i="5" s="1"/>
  <c r="I169" i="5"/>
  <c r="J169" i="5" s="1"/>
  <c r="I164" i="5"/>
  <c r="J164" i="5" s="1"/>
  <c r="I159" i="5"/>
  <c r="J159" i="5" s="1"/>
  <c r="I154" i="5"/>
  <c r="J154" i="5" s="1"/>
  <c r="I149" i="5"/>
  <c r="J149" i="5" s="1"/>
  <c r="I144" i="5"/>
  <c r="J144" i="5" s="1"/>
  <c r="I139" i="5"/>
  <c r="J139" i="5" s="1"/>
  <c r="I134" i="5"/>
  <c r="I129" i="5"/>
  <c r="J129" i="5" s="1"/>
  <c r="I124" i="5"/>
  <c r="J124" i="5" s="1"/>
  <c r="I119" i="5"/>
  <c r="J119" i="5" s="1"/>
  <c r="I114" i="5"/>
  <c r="J114" i="5" s="1"/>
  <c r="I109" i="5"/>
  <c r="J109" i="5" s="1"/>
  <c r="I104" i="5"/>
  <c r="J104" i="5" s="1"/>
  <c r="I99" i="5"/>
  <c r="J99" i="5" s="1"/>
  <c r="I94" i="5"/>
  <c r="J94" i="5" s="1"/>
  <c r="I89" i="5"/>
  <c r="I84" i="5"/>
  <c r="J84" i="5" s="1"/>
  <c r="I59" i="5"/>
  <c r="J59" i="5" s="1"/>
  <c r="I49" i="5"/>
  <c r="J49" i="5" s="1"/>
  <c r="B59" i="5"/>
  <c r="B54" i="5"/>
  <c r="B69" i="5"/>
  <c r="B49" i="5"/>
  <c r="B64" i="5"/>
  <c r="B44" i="5"/>
  <c r="W173" i="5"/>
  <c r="X173" i="5" s="1"/>
  <c r="W167" i="5"/>
  <c r="X167" i="5" s="1"/>
  <c r="W163" i="5"/>
  <c r="X163" i="5" s="1"/>
  <c r="W157" i="5"/>
  <c r="X157" i="5" s="1"/>
  <c r="W153" i="5"/>
  <c r="X153" i="5" s="1"/>
  <c r="W147" i="5"/>
  <c r="X147" i="5" s="1"/>
  <c r="W143" i="5"/>
  <c r="X143" i="5" s="1"/>
  <c r="W137" i="5"/>
  <c r="X137" i="5" s="1"/>
  <c r="W133" i="5"/>
  <c r="X133" i="5" s="1"/>
  <c r="W127" i="5"/>
  <c r="X127" i="5" s="1"/>
  <c r="W123" i="5"/>
  <c r="X123" i="5" s="1"/>
  <c r="W117" i="5"/>
  <c r="X117" i="5" s="1"/>
  <c r="W113" i="5"/>
  <c r="X113" i="5" s="1"/>
  <c r="W107" i="5"/>
  <c r="X107" i="5" s="1"/>
  <c r="W103" i="5"/>
  <c r="X103" i="5" s="1"/>
  <c r="W97" i="5"/>
  <c r="X97" i="5" s="1"/>
  <c r="W93" i="5"/>
  <c r="X93" i="5" s="1"/>
  <c r="W87" i="5"/>
  <c r="X87" i="5" s="1"/>
  <c r="W83" i="5"/>
  <c r="X83" i="5" s="1"/>
  <c r="W77" i="5"/>
  <c r="X77" i="5" s="1"/>
  <c r="W73" i="5"/>
  <c r="X73" i="5" s="1"/>
  <c r="W67" i="5"/>
  <c r="X67" i="5" s="1"/>
  <c r="W63" i="5"/>
  <c r="X63" i="5" s="1"/>
  <c r="W57" i="5"/>
  <c r="X57" i="5" s="1"/>
  <c r="W53" i="5"/>
  <c r="X53" i="5" s="1"/>
  <c r="W47" i="5"/>
  <c r="X47" i="5" s="1"/>
  <c r="P173" i="5"/>
  <c r="Q173" i="5" s="1"/>
  <c r="P167" i="5"/>
  <c r="Q167" i="5" s="1"/>
  <c r="P163" i="5"/>
  <c r="Q163" i="5" s="1"/>
  <c r="P157" i="5"/>
  <c r="Q157" i="5" s="1"/>
  <c r="P153" i="5"/>
  <c r="Q153" i="5" s="1"/>
  <c r="P147" i="5"/>
  <c r="Q147" i="5" s="1"/>
  <c r="P143" i="5"/>
  <c r="Q143" i="5" s="1"/>
  <c r="P137" i="5"/>
  <c r="Q137" i="5" s="1"/>
  <c r="P133" i="5"/>
  <c r="Q133" i="5" s="1"/>
  <c r="P127" i="5"/>
  <c r="Q127" i="5" s="1"/>
  <c r="P123" i="5"/>
  <c r="Q123" i="5" s="1"/>
  <c r="P117" i="5"/>
  <c r="Q117" i="5" s="1"/>
  <c r="P113" i="5"/>
  <c r="Q113" i="5" s="1"/>
  <c r="P107" i="5"/>
  <c r="Q107" i="5" s="1"/>
  <c r="P103" i="5"/>
  <c r="Q103" i="5" s="1"/>
  <c r="P97" i="5"/>
  <c r="Q97" i="5" s="1"/>
  <c r="P93" i="5"/>
  <c r="Q93" i="5" s="1"/>
  <c r="P87" i="5"/>
  <c r="Q87" i="5" s="1"/>
  <c r="P83" i="5"/>
  <c r="Q83" i="5" s="1"/>
  <c r="P77" i="5"/>
  <c r="Q77" i="5" s="1"/>
  <c r="P73" i="5"/>
  <c r="Q73" i="5" s="1"/>
  <c r="P67" i="5"/>
  <c r="Q67" i="5" s="1"/>
  <c r="P63" i="5"/>
  <c r="Q63" i="5" s="1"/>
  <c r="P57" i="5"/>
  <c r="Q57" i="5" s="1"/>
  <c r="P53" i="5"/>
  <c r="Q53" i="5" s="1"/>
  <c r="P47" i="5"/>
  <c r="Q47" i="5" s="1"/>
  <c r="I173" i="5"/>
  <c r="J173" i="5" s="1"/>
  <c r="I168" i="5"/>
  <c r="J168" i="5" s="1"/>
  <c r="I163" i="5"/>
  <c r="J163" i="5" s="1"/>
  <c r="I158" i="5"/>
  <c r="J158" i="5" s="1"/>
  <c r="I153" i="5"/>
  <c r="J153" i="5" s="1"/>
  <c r="I148" i="5"/>
  <c r="J148" i="5" s="1"/>
  <c r="I143" i="5"/>
  <c r="I138" i="5"/>
  <c r="J138" i="5" s="1"/>
  <c r="I133" i="5"/>
  <c r="J133" i="5" s="1"/>
  <c r="I128" i="5"/>
  <c r="J128" i="5" s="1"/>
  <c r="I123" i="5"/>
  <c r="J123" i="5" s="1"/>
  <c r="I118" i="5"/>
  <c r="J118" i="5" s="1"/>
  <c r="I113" i="5"/>
  <c r="J113" i="5" s="1"/>
  <c r="I108" i="5"/>
  <c r="J108" i="5" s="1"/>
  <c r="I103" i="5"/>
  <c r="J103" i="5" s="1"/>
  <c r="I98" i="5"/>
  <c r="I93" i="5"/>
  <c r="J93" i="5" s="1"/>
  <c r="I88" i="5"/>
  <c r="J88" i="5" s="1"/>
  <c r="I83" i="5"/>
  <c r="J83" i="5" s="1"/>
  <c r="I78" i="5"/>
  <c r="J78" i="5" s="1"/>
  <c r="I73" i="5"/>
  <c r="J73" i="5" s="1"/>
  <c r="I68" i="5"/>
  <c r="J68" i="5" s="1"/>
  <c r="I63" i="5"/>
  <c r="J63" i="5" s="1"/>
  <c r="I58" i="5"/>
  <c r="J58" i="5" s="1"/>
  <c r="I53" i="5"/>
  <c r="I48" i="5"/>
  <c r="J48" i="5" s="1"/>
  <c r="I87" i="5"/>
  <c r="J87" i="5" s="1"/>
  <c r="I62" i="5"/>
  <c r="I52" i="5"/>
  <c r="J52" i="5" s="1"/>
  <c r="I47" i="5"/>
  <c r="J47" i="5" s="1"/>
  <c r="W172" i="5"/>
  <c r="X172" i="5" s="1"/>
  <c r="W168" i="5"/>
  <c r="X168" i="5" s="1"/>
  <c r="W162" i="5"/>
  <c r="X162" i="5" s="1"/>
  <c r="W158" i="5"/>
  <c r="X158" i="5" s="1"/>
  <c r="W152" i="5"/>
  <c r="X152" i="5" s="1"/>
  <c r="W148" i="5"/>
  <c r="X148" i="5" s="1"/>
  <c r="W142" i="5"/>
  <c r="X142" i="5" s="1"/>
  <c r="W138" i="5"/>
  <c r="X138" i="5" s="1"/>
  <c r="W132" i="5"/>
  <c r="X132" i="5" s="1"/>
  <c r="W128" i="5"/>
  <c r="X128" i="5" s="1"/>
  <c r="W122" i="5"/>
  <c r="X122" i="5" s="1"/>
  <c r="W118" i="5"/>
  <c r="X118" i="5" s="1"/>
  <c r="W112" i="5"/>
  <c r="X112" i="5" s="1"/>
  <c r="W108" i="5"/>
  <c r="X108" i="5" s="1"/>
  <c r="W102" i="5"/>
  <c r="X102" i="5" s="1"/>
  <c r="W98" i="5"/>
  <c r="X98" i="5" s="1"/>
  <c r="W92" i="5"/>
  <c r="X92" i="5" s="1"/>
  <c r="W88" i="5"/>
  <c r="X88" i="5" s="1"/>
  <c r="W82" i="5"/>
  <c r="X82" i="5" s="1"/>
  <c r="W78" i="5"/>
  <c r="X78" i="5" s="1"/>
  <c r="W72" i="5"/>
  <c r="X72" i="5" s="1"/>
  <c r="W68" i="5"/>
  <c r="X68" i="5" s="1"/>
  <c r="W62" i="5"/>
  <c r="X62" i="5" s="1"/>
  <c r="W58" i="5"/>
  <c r="X58" i="5" s="1"/>
  <c r="W52" i="5"/>
  <c r="X52" i="5" s="1"/>
  <c r="W48" i="5"/>
  <c r="X48" i="5" s="1"/>
  <c r="P172" i="5"/>
  <c r="Q172" i="5" s="1"/>
  <c r="P168" i="5"/>
  <c r="Q168" i="5" s="1"/>
  <c r="P162" i="5"/>
  <c r="Q162" i="5" s="1"/>
  <c r="P158" i="5"/>
  <c r="Q158" i="5" s="1"/>
  <c r="P152" i="5"/>
  <c r="Q152" i="5" s="1"/>
  <c r="P148" i="5"/>
  <c r="Q148" i="5" s="1"/>
  <c r="P142" i="5"/>
  <c r="Q142" i="5" s="1"/>
  <c r="P138" i="5"/>
  <c r="Q138" i="5" s="1"/>
  <c r="P132" i="5"/>
  <c r="Q132" i="5" s="1"/>
  <c r="P128" i="5"/>
  <c r="Q128" i="5" s="1"/>
  <c r="P122" i="5"/>
  <c r="Q122" i="5" s="1"/>
  <c r="P118" i="5"/>
  <c r="Q118" i="5" s="1"/>
  <c r="P112" i="5"/>
  <c r="Q112" i="5" s="1"/>
  <c r="P108" i="5"/>
  <c r="Q108" i="5" s="1"/>
  <c r="P102" i="5"/>
  <c r="Q102" i="5" s="1"/>
  <c r="P98" i="5"/>
  <c r="Q98" i="5" s="1"/>
  <c r="P92" i="5"/>
  <c r="Q92" i="5" s="1"/>
  <c r="P88" i="5"/>
  <c r="Q88" i="5" s="1"/>
  <c r="P82" i="5"/>
  <c r="Q82" i="5" s="1"/>
  <c r="P78" i="5"/>
  <c r="Q78" i="5" s="1"/>
  <c r="P72" i="5"/>
  <c r="Q72" i="5" s="1"/>
  <c r="P68" i="5"/>
  <c r="Q68" i="5" s="1"/>
  <c r="P62" i="5"/>
  <c r="Q62" i="5" s="1"/>
  <c r="P58" i="5"/>
  <c r="Q58" i="5" s="1"/>
  <c r="P52" i="5"/>
  <c r="Q52" i="5" s="1"/>
  <c r="P48" i="5"/>
  <c r="Q48" i="5" s="1"/>
  <c r="I172" i="5"/>
  <c r="J172" i="5" s="1"/>
  <c r="I167" i="5"/>
  <c r="J167" i="5" s="1"/>
  <c r="I162" i="5"/>
  <c r="J162" i="5" s="1"/>
  <c r="I157" i="5"/>
  <c r="J157" i="5" s="1"/>
  <c r="I152" i="5"/>
  <c r="I147" i="5"/>
  <c r="J147" i="5" s="1"/>
  <c r="I142" i="5"/>
  <c r="J142" i="5" s="1"/>
  <c r="I137" i="5"/>
  <c r="J137" i="5" s="1"/>
  <c r="I132" i="5"/>
  <c r="J132" i="5" s="1"/>
  <c r="I127" i="5"/>
  <c r="J127" i="5" s="1"/>
  <c r="I122" i="5"/>
  <c r="J122" i="5" s="1"/>
  <c r="I117" i="5"/>
  <c r="J117" i="5" s="1"/>
  <c r="I112" i="5"/>
  <c r="J112" i="5" s="1"/>
  <c r="I107" i="5"/>
  <c r="I102" i="5"/>
  <c r="J102" i="5" s="1"/>
  <c r="I97" i="5"/>
  <c r="J97" i="5" s="1"/>
  <c r="I92" i="5"/>
  <c r="J92" i="5" s="1"/>
  <c r="I82" i="5"/>
  <c r="J82" i="5" s="1"/>
  <c r="I77" i="5"/>
  <c r="J77" i="5" s="1"/>
  <c r="I72" i="5"/>
  <c r="J72" i="5" s="1"/>
  <c r="I67" i="5"/>
  <c r="J67" i="5" s="1"/>
  <c r="I57" i="5"/>
  <c r="J57" i="5" s="1"/>
  <c r="B67" i="5"/>
  <c r="B53" i="5"/>
  <c r="B47" i="5"/>
  <c r="B68" i="5"/>
  <c r="B62" i="5"/>
  <c r="B48" i="5"/>
  <c r="B42" i="5"/>
  <c r="B63" i="5"/>
  <c r="B57" i="5"/>
  <c r="B43" i="5"/>
  <c r="B58" i="5"/>
  <c r="B52" i="5"/>
  <c r="B33" i="5"/>
  <c r="C33" i="5" s="1"/>
  <c r="B27" i="5"/>
  <c r="C27" i="5" s="1"/>
  <c r="B32" i="5"/>
  <c r="C32" i="5" s="1"/>
  <c r="B28" i="5"/>
  <c r="C28" i="5" s="1"/>
  <c r="B29" i="5"/>
  <c r="C29" i="5" s="1"/>
  <c r="B34" i="5"/>
  <c r="C34" i="5" s="1"/>
  <c r="P27" i="5"/>
  <c r="Q27" i="5" s="1"/>
  <c r="W27" i="5"/>
  <c r="X27" i="5" s="1"/>
  <c r="W43" i="5"/>
  <c r="X43" i="5" s="1"/>
  <c r="W39" i="5"/>
  <c r="X39" i="5" s="1"/>
  <c r="W37" i="5"/>
  <c r="X37" i="5" s="1"/>
  <c r="W33" i="5"/>
  <c r="X33" i="5" s="1"/>
  <c r="W28" i="5"/>
  <c r="X28" i="5" s="1"/>
  <c r="P44" i="5"/>
  <c r="Q44" i="5" s="1"/>
  <c r="P42" i="5"/>
  <c r="Q42" i="5" s="1"/>
  <c r="S44" i="5" s="1"/>
  <c r="P38" i="5"/>
  <c r="Q38" i="5" s="1"/>
  <c r="P34" i="5"/>
  <c r="Q34" i="5" s="1"/>
  <c r="P32" i="5"/>
  <c r="Q32" i="5" s="1"/>
  <c r="P29" i="5"/>
  <c r="Q29" i="5" s="1"/>
  <c r="I43" i="5"/>
  <c r="J43" i="5" s="1"/>
  <c r="I38" i="5"/>
  <c r="J38" i="5" s="1"/>
  <c r="I33" i="5"/>
  <c r="J33" i="5" s="1"/>
  <c r="I29" i="5"/>
  <c r="J29" i="5" s="1"/>
  <c r="W44" i="5"/>
  <c r="X44" i="5" s="1"/>
  <c r="W42" i="5"/>
  <c r="X42" i="5" s="1"/>
  <c r="Z43" i="5" s="1"/>
  <c r="W38" i="5"/>
  <c r="X38" i="5" s="1"/>
  <c r="W34" i="5"/>
  <c r="X34" i="5" s="1"/>
  <c r="W32" i="5"/>
  <c r="X32" i="5" s="1"/>
  <c r="W29" i="5"/>
  <c r="X29" i="5" s="1"/>
  <c r="P43" i="5"/>
  <c r="Q43" i="5" s="1"/>
  <c r="P39" i="5"/>
  <c r="Q39" i="5" s="1"/>
  <c r="P37" i="5"/>
  <c r="Q37" i="5" s="1"/>
  <c r="P33" i="5"/>
  <c r="Q33" i="5" s="1"/>
  <c r="P28" i="5"/>
  <c r="Q28" i="5" s="1"/>
  <c r="I44" i="5"/>
  <c r="I42" i="5"/>
  <c r="J42" i="5" s="1"/>
  <c r="I39" i="5"/>
  <c r="J39" i="5" s="1"/>
  <c r="I37" i="5"/>
  <c r="J37" i="5" s="1"/>
  <c r="I34" i="5"/>
  <c r="J34" i="5" s="1"/>
  <c r="I32" i="5"/>
  <c r="J32" i="5" s="1"/>
  <c r="I28" i="5"/>
  <c r="J28" i="5" s="1"/>
  <c r="I27" i="5"/>
  <c r="J27" i="5" s="1"/>
  <c r="Y39" i="5"/>
  <c r="E38" i="5"/>
  <c r="H44" i="5"/>
  <c r="H43" i="5"/>
  <c r="H42" i="5"/>
  <c r="J41" i="5"/>
  <c r="K41" i="5" s="1"/>
  <c r="L41" i="5" s="1"/>
  <c r="J26" i="5"/>
  <c r="K26" i="5" s="1"/>
  <c r="L26" i="5" s="1"/>
  <c r="H31" i="5"/>
  <c r="J31" i="5"/>
  <c r="K31" i="5" s="1"/>
  <c r="L31" i="5" s="1"/>
  <c r="H32" i="5"/>
  <c r="H33" i="5"/>
  <c r="H34" i="5"/>
  <c r="H36" i="5"/>
  <c r="J36" i="5"/>
  <c r="K36" i="5" s="1"/>
  <c r="L36" i="5" s="1"/>
  <c r="H37" i="5"/>
  <c r="E39" i="5"/>
  <c r="M41" i="5"/>
  <c r="M43" i="5"/>
  <c r="M44" i="5"/>
  <c r="H41" i="5"/>
  <c r="H39" i="5"/>
  <c r="M26" i="5"/>
  <c r="M31" i="5"/>
  <c r="M33" i="5"/>
  <c r="M36" i="5"/>
  <c r="M38" i="5"/>
  <c r="M39" i="5"/>
  <c r="C68" i="5" l="1"/>
  <c r="C41" i="18"/>
  <c r="C67" i="5"/>
  <c r="F68" i="5" s="1"/>
  <c r="C40" i="18"/>
  <c r="C69" i="5"/>
  <c r="C42" i="18"/>
  <c r="C63" i="5"/>
  <c r="C36" i="18"/>
  <c r="C64" i="5"/>
  <c r="C37" i="18"/>
  <c r="C62" i="5"/>
  <c r="C35" i="18"/>
  <c r="C58" i="5"/>
  <c r="C31" i="18"/>
  <c r="C59" i="5"/>
  <c r="C32" i="18"/>
  <c r="C57" i="5"/>
  <c r="C30" i="18"/>
  <c r="C52" i="5"/>
  <c r="C25" i="18"/>
  <c r="C54" i="5"/>
  <c r="C27" i="18"/>
  <c r="C53" i="5"/>
  <c r="F53" i="5" s="1"/>
  <c r="C26" i="18"/>
  <c r="E26" i="18" s="1"/>
  <c r="C47" i="5"/>
  <c r="C20" i="18"/>
  <c r="C48" i="5"/>
  <c r="C21" i="18"/>
  <c r="C49" i="5"/>
  <c r="C22" i="18"/>
  <c r="C44" i="5"/>
  <c r="C17" i="18"/>
  <c r="C42" i="5"/>
  <c r="F44" i="5" s="1"/>
  <c r="C15" i="18"/>
  <c r="C43" i="5"/>
  <c r="C16" i="18"/>
  <c r="J44" i="5"/>
  <c r="J152" i="5"/>
  <c r="J53" i="5"/>
  <c r="J143" i="5"/>
  <c r="J89" i="5"/>
  <c r="J107" i="5"/>
  <c r="J62" i="5"/>
  <c r="J98" i="5"/>
  <c r="J134" i="5"/>
  <c r="Y44" i="5"/>
  <c r="E64" i="5"/>
  <c r="E48" i="5"/>
  <c r="E44" i="5"/>
  <c r="E29" i="5"/>
  <c r="K28" i="5"/>
  <c r="R39" i="5"/>
  <c r="R34" i="5"/>
  <c r="R29" i="5"/>
  <c r="L44" i="5"/>
  <c r="K43" i="5"/>
  <c r="K44" i="5"/>
  <c r="E68" i="5"/>
  <c r="E58" i="5"/>
  <c r="E54" i="5"/>
  <c r="E34" i="5"/>
  <c r="K38" i="5"/>
  <c r="Z44" i="5"/>
  <c r="L43" i="5"/>
  <c r="Y34" i="5"/>
  <c r="K33" i="5"/>
  <c r="Y29" i="5"/>
  <c r="E28" i="5"/>
  <c r="Y38" i="5"/>
  <c r="AA37" i="5" s="1"/>
  <c r="E53" i="5"/>
  <c r="R28" i="5"/>
  <c r="S43" i="5"/>
  <c r="E59" i="5"/>
  <c r="R38" i="5"/>
  <c r="Y33" i="5"/>
  <c r="R33" i="5"/>
  <c r="R44" i="5"/>
  <c r="Y28" i="5"/>
  <c r="E63" i="5"/>
  <c r="E43" i="5"/>
  <c r="E33" i="5"/>
  <c r="E69" i="5"/>
  <c r="E49" i="5"/>
  <c r="Y48" i="5"/>
  <c r="Y49" i="5"/>
  <c r="Y58" i="5"/>
  <c r="Y59" i="5"/>
  <c r="Y53" i="5"/>
  <c r="Y54" i="5"/>
  <c r="Y63" i="5"/>
  <c r="Y64" i="5"/>
  <c r="Y68" i="5"/>
  <c r="Y69" i="5"/>
  <c r="R48" i="5"/>
  <c r="R49" i="5"/>
  <c r="R53" i="5"/>
  <c r="R54" i="5"/>
  <c r="R58" i="5"/>
  <c r="R59" i="5"/>
  <c r="R63" i="5"/>
  <c r="R64" i="5"/>
  <c r="R68" i="5"/>
  <c r="R69" i="5"/>
  <c r="R73" i="5"/>
  <c r="R74" i="5"/>
  <c r="R78" i="5"/>
  <c r="R79" i="5"/>
  <c r="R83" i="5"/>
  <c r="R84" i="5"/>
  <c r="R88" i="5"/>
  <c r="R89" i="5"/>
  <c r="R93" i="5"/>
  <c r="R94" i="5"/>
  <c r="R98" i="5"/>
  <c r="R99" i="5"/>
  <c r="R103" i="5"/>
  <c r="R104" i="5"/>
  <c r="R108" i="5"/>
  <c r="R109" i="5"/>
  <c r="R113" i="5"/>
  <c r="R114" i="5"/>
  <c r="R118" i="5"/>
  <c r="R119" i="5"/>
  <c r="R123" i="5"/>
  <c r="R124" i="5"/>
  <c r="R128" i="5"/>
  <c r="R129" i="5"/>
  <c r="R133" i="5"/>
  <c r="R134" i="5"/>
  <c r="R138" i="5"/>
  <c r="R139" i="5"/>
  <c r="R143" i="5"/>
  <c r="R144" i="5"/>
  <c r="R148" i="5"/>
  <c r="R149" i="5"/>
  <c r="R153" i="5"/>
  <c r="R154" i="5"/>
  <c r="R158" i="5"/>
  <c r="R159" i="5"/>
  <c r="R163" i="5"/>
  <c r="R164" i="5"/>
  <c r="R168" i="5"/>
  <c r="R169" i="5"/>
  <c r="R173" i="5"/>
  <c r="R174" i="5"/>
  <c r="Y73" i="5"/>
  <c r="Y74" i="5"/>
  <c r="Y78" i="5"/>
  <c r="Y79" i="5"/>
  <c r="Y83" i="5"/>
  <c r="Y84" i="5"/>
  <c r="Y88" i="5"/>
  <c r="Y89" i="5"/>
  <c r="Y93" i="5"/>
  <c r="Y94" i="5"/>
  <c r="Y98" i="5"/>
  <c r="Y99" i="5"/>
  <c r="Y103" i="5"/>
  <c r="Y104" i="5"/>
  <c r="Y108" i="5"/>
  <c r="Y109" i="5"/>
  <c r="Y113" i="5"/>
  <c r="Y114" i="5"/>
  <c r="Y118" i="5"/>
  <c r="Y119" i="5"/>
  <c r="Y123" i="5"/>
  <c r="Y124" i="5"/>
  <c r="Y128" i="5"/>
  <c r="Y129" i="5"/>
  <c r="Y133" i="5"/>
  <c r="Y134" i="5"/>
  <c r="Y138" i="5"/>
  <c r="Y139" i="5"/>
  <c r="Y143" i="5"/>
  <c r="Y144" i="5"/>
  <c r="Y148" i="5"/>
  <c r="Y149" i="5"/>
  <c r="Y153" i="5"/>
  <c r="Y154" i="5"/>
  <c r="Y158" i="5"/>
  <c r="Y159" i="5"/>
  <c r="Y163" i="5"/>
  <c r="Y164" i="5"/>
  <c r="Y168" i="5"/>
  <c r="Y169" i="5"/>
  <c r="Y173" i="5"/>
  <c r="Y174" i="5"/>
  <c r="K29" i="5"/>
  <c r="K48" i="5"/>
  <c r="K49" i="5"/>
  <c r="K53" i="5"/>
  <c r="K54" i="5"/>
  <c r="K58" i="5"/>
  <c r="K59" i="5"/>
  <c r="K63" i="5"/>
  <c r="K64" i="5"/>
  <c r="K68" i="5"/>
  <c r="K69" i="5"/>
  <c r="K73" i="5"/>
  <c r="K74" i="5"/>
  <c r="K78" i="5"/>
  <c r="K79" i="5"/>
  <c r="K83" i="5"/>
  <c r="K84" i="5"/>
  <c r="K88" i="5"/>
  <c r="K89" i="5"/>
  <c r="K93" i="5"/>
  <c r="K94" i="5"/>
  <c r="K98" i="5"/>
  <c r="K99" i="5"/>
  <c r="K103" i="5"/>
  <c r="K104" i="5"/>
  <c r="K108" i="5"/>
  <c r="K109" i="5"/>
  <c r="K113" i="5"/>
  <c r="K114" i="5"/>
  <c r="K118" i="5"/>
  <c r="K119" i="5"/>
  <c r="K123" i="5"/>
  <c r="K124" i="5"/>
  <c r="K128" i="5"/>
  <c r="K129" i="5"/>
  <c r="K133" i="5"/>
  <c r="K134" i="5"/>
  <c r="K138" i="5"/>
  <c r="K139" i="5"/>
  <c r="K143" i="5"/>
  <c r="K144" i="5"/>
  <c r="K148" i="5"/>
  <c r="K149" i="5"/>
  <c r="K153" i="5"/>
  <c r="K154" i="5"/>
  <c r="K158" i="5"/>
  <c r="K159" i="5"/>
  <c r="K163" i="5"/>
  <c r="K164" i="5"/>
  <c r="K168" i="5"/>
  <c r="K169" i="5"/>
  <c r="K173" i="5"/>
  <c r="K174" i="5"/>
  <c r="Y43" i="5"/>
  <c r="R43" i="5"/>
  <c r="Z38" i="5"/>
  <c r="Z33" i="5"/>
  <c r="Z28" i="5"/>
  <c r="F48" i="5"/>
  <c r="F58" i="5"/>
  <c r="F63" i="5"/>
  <c r="K34" i="5"/>
  <c r="K39" i="5"/>
  <c r="F28" i="5"/>
  <c r="F29" i="5"/>
  <c r="Z39" i="5"/>
  <c r="F49" i="5"/>
  <c r="F59" i="5"/>
  <c r="F38" i="5"/>
  <c r="F39" i="5"/>
  <c r="F34" i="5"/>
  <c r="F33" i="5"/>
  <c r="S39" i="5"/>
  <c r="S38" i="5"/>
  <c r="L39" i="5"/>
  <c r="L38" i="5"/>
  <c r="Z34" i="5"/>
  <c r="S34" i="5"/>
  <c r="S33" i="5"/>
  <c r="L34" i="5"/>
  <c r="L33" i="5"/>
  <c r="S29" i="5"/>
  <c r="S28" i="5"/>
  <c r="L29" i="5"/>
  <c r="L28" i="5"/>
  <c r="E22" i="18" l="1"/>
  <c r="F69" i="5"/>
  <c r="E42" i="18"/>
  <c r="E41" i="18"/>
  <c r="E37" i="18"/>
  <c r="E36" i="18"/>
  <c r="E32" i="18"/>
  <c r="E31" i="18"/>
  <c r="E27" i="18"/>
  <c r="H9" i="18" s="1"/>
  <c r="E21" i="18"/>
  <c r="H8" i="18" s="1"/>
  <c r="F43" i="5"/>
  <c r="E16" i="18"/>
  <c r="E17" i="18"/>
  <c r="M37" i="5"/>
  <c r="O36" i="5" s="1"/>
  <c r="B135" i="13"/>
  <c r="B133" i="13"/>
  <c r="B131" i="13"/>
  <c r="B134" i="13"/>
  <c r="B132" i="13"/>
  <c r="B99" i="13"/>
  <c r="B96" i="13"/>
  <c r="B98" i="13"/>
  <c r="B95" i="13"/>
  <c r="B97" i="13"/>
  <c r="B62" i="13"/>
  <c r="B60" i="13"/>
  <c r="B63" i="13"/>
  <c r="B61" i="13"/>
  <c r="B59" i="13"/>
  <c r="B108" i="13"/>
  <c r="B105" i="13"/>
  <c r="B107" i="13"/>
  <c r="B104" i="13"/>
  <c r="B106" i="13"/>
  <c r="B90" i="13"/>
  <c r="B87" i="13"/>
  <c r="B89" i="13"/>
  <c r="B86" i="13"/>
  <c r="B88" i="13"/>
  <c r="B144" i="13"/>
  <c r="B141" i="13"/>
  <c r="B143" i="13"/>
  <c r="B140" i="13"/>
  <c r="B142" i="13"/>
  <c r="B54" i="13"/>
  <c r="B51" i="13"/>
  <c r="B53" i="13"/>
  <c r="B50" i="13"/>
  <c r="B52" i="13"/>
  <c r="B153" i="13"/>
  <c r="B150" i="13"/>
  <c r="B152" i="13"/>
  <c r="B149" i="13"/>
  <c r="B151" i="13"/>
  <c r="B45" i="13"/>
  <c r="B43" i="13"/>
  <c r="B41" i="13"/>
  <c r="B44" i="13"/>
  <c r="B42" i="13"/>
  <c r="M32" i="5"/>
  <c r="O31" i="5" s="1"/>
  <c r="AA42" i="5"/>
  <c r="M27" i="5"/>
  <c r="O26" i="5" s="1"/>
  <c r="T32" i="5"/>
  <c r="V31" i="5" s="1"/>
  <c r="AA32" i="5"/>
  <c r="T42" i="5"/>
  <c r="V41" i="5" s="1"/>
  <c r="T37" i="5"/>
  <c r="V36" i="5" s="1"/>
  <c r="T27" i="5"/>
  <c r="V26" i="5" s="1"/>
  <c r="AA27" i="5"/>
  <c r="AA167" i="5"/>
  <c r="AA157" i="5"/>
  <c r="AA147" i="5"/>
  <c r="AA137" i="5"/>
  <c r="AA127" i="5"/>
  <c r="AA117" i="5"/>
  <c r="AA107" i="5"/>
  <c r="AA97" i="5"/>
  <c r="M42" i="5"/>
  <c r="O41" i="5" s="1"/>
  <c r="AA87" i="5"/>
  <c r="AA77" i="5"/>
  <c r="T172" i="5"/>
  <c r="V171" i="5" s="1"/>
  <c r="T162" i="5"/>
  <c r="V161" i="5" s="1"/>
  <c r="T152" i="5"/>
  <c r="V151" i="5" s="1"/>
  <c r="T132" i="5"/>
  <c r="V131" i="5" s="1"/>
  <c r="T72" i="5"/>
  <c r="V71" i="5" s="1"/>
  <c r="T142" i="5"/>
  <c r="V141" i="5" s="1"/>
  <c r="T122" i="5"/>
  <c r="V121" i="5" s="1"/>
  <c r="T112" i="5"/>
  <c r="V111" i="5" s="1"/>
  <c r="T92" i="5"/>
  <c r="V91" i="5" s="1"/>
  <c r="T82" i="5"/>
  <c r="V81" i="5" s="1"/>
  <c r="M167" i="5"/>
  <c r="O166" i="5" s="1"/>
  <c r="M157" i="5"/>
  <c r="O156" i="5" s="1"/>
  <c r="M147" i="5"/>
  <c r="O146" i="5" s="1"/>
  <c r="M137" i="5"/>
  <c r="O136" i="5" s="1"/>
  <c r="M127" i="5"/>
  <c r="O126" i="5" s="1"/>
  <c r="M117" i="5"/>
  <c r="O116" i="5" s="1"/>
  <c r="M97" i="5"/>
  <c r="O96" i="5" s="1"/>
  <c r="M87" i="5"/>
  <c r="O86" i="5" s="1"/>
  <c r="M77" i="5"/>
  <c r="O76" i="5" s="1"/>
  <c r="M67" i="5"/>
  <c r="O66" i="5" s="1"/>
  <c r="M57" i="5"/>
  <c r="O56" i="5" s="1"/>
  <c r="M47" i="5"/>
  <c r="O46" i="5" s="1"/>
  <c r="T102" i="5"/>
  <c r="V101" i="5" s="1"/>
  <c r="M107" i="5"/>
  <c r="O106" i="5" s="1"/>
  <c r="T62" i="5"/>
  <c r="V61" i="5" s="1"/>
  <c r="T52" i="5"/>
  <c r="V51" i="5" s="1"/>
  <c r="AA67" i="5"/>
  <c r="AA52" i="5"/>
  <c r="AA47" i="5"/>
  <c r="F64" i="5"/>
  <c r="Z29" i="5"/>
  <c r="F54" i="5"/>
  <c r="AA57" i="5"/>
  <c r="L174" i="5"/>
  <c r="L173" i="5"/>
  <c r="L164" i="5"/>
  <c r="L163" i="5"/>
  <c r="L154" i="5"/>
  <c r="L153" i="5"/>
  <c r="L144" i="5"/>
  <c r="L143" i="5"/>
  <c r="L134" i="5"/>
  <c r="L133" i="5"/>
  <c r="L124" i="5"/>
  <c r="L123" i="5"/>
  <c r="L113" i="5"/>
  <c r="L114" i="5"/>
  <c r="L103" i="5"/>
  <c r="L104" i="5"/>
  <c r="L93" i="5"/>
  <c r="L94" i="5"/>
  <c r="L83" i="5"/>
  <c r="L84" i="5"/>
  <c r="L73" i="5"/>
  <c r="L74" i="5"/>
  <c r="L63" i="5"/>
  <c r="L64" i="5"/>
  <c r="L53" i="5"/>
  <c r="L54" i="5"/>
  <c r="Z174" i="5"/>
  <c r="Z173" i="5"/>
  <c r="Z164" i="5"/>
  <c r="Z163" i="5"/>
  <c r="Z154" i="5"/>
  <c r="Z153" i="5"/>
  <c r="Z144" i="5"/>
  <c r="Z143" i="5"/>
  <c r="Z134" i="5"/>
  <c r="Z133" i="5"/>
  <c r="Z124" i="5"/>
  <c r="Z123" i="5"/>
  <c r="Z113" i="5"/>
  <c r="Z114" i="5"/>
  <c r="Z103" i="5"/>
  <c r="Z104" i="5"/>
  <c r="Z93" i="5"/>
  <c r="Z94" i="5"/>
  <c r="Z83" i="5"/>
  <c r="Z84" i="5"/>
  <c r="Z73" i="5"/>
  <c r="Z74" i="5"/>
  <c r="S169" i="5"/>
  <c r="S168" i="5"/>
  <c r="S159" i="5"/>
  <c r="S158" i="5"/>
  <c r="S149" i="5"/>
  <c r="S148" i="5"/>
  <c r="S139" i="5"/>
  <c r="S138" i="5"/>
  <c r="S129" i="5"/>
  <c r="S128" i="5"/>
  <c r="S118" i="5"/>
  <c r="S119" i="5"/>
  <c r="S108" i="5"/>
  <c r="S109" i="5"/>
  <c r="S98" i="5"/>
  <c r="S99" i="5"/>
  <c r="S88" i="5"/>
  <c r="S89" i="5"/>
  <c r="S78" i="5"/>
  <c r="S79" i="5"/>
  <c r="S68" i="5"/>
  <c r="S69" i="5"/>
  <c r="S58" i="5"/>
  <c r="S59" i="5"/>
  <c r="S48" i="5"/>
  <c r="S49" i="5"/>
  <c r="Z63" i="5"/>
  <c r="Z64" i="5"/>
  <c r="Z48" i="5"/>
  <c r="Z49" i="5"/>
  <c r="M172" i="5"/>
  <c r="O171" i="5" s="1"/>
  <c r="M162" i="5"/>
  <c r="O161" i="5" s="1"/>
  <c r="M152" i="5"/>
  <c r="O151" i="5" s="1"/>
  <c r="M142" i="5"/>
  <c r="O141" i="5" s="1"/>
  <c r="M132" i="5"/>
  <c r="O131" i="5" s="1"/>
  <c r="M122" i="5"/>
  <c r="O121" i="5" s="1"/>
  <c r="M112" i="5"/>
  <c r="O111" i="5" s="1"/>
  <c r="M102" i="5"/>
  <c r="O101" i="5" s="1"/>
  <c r="M92" i="5"/>
  <c r="O91" i="5" s="1"/>
  <c r="M82" i="5"/>
  <c r="O81" i="5" s="1"/>
  <c r="M72" i="5"/>
  <c r="O71" i="5" s="1"/>
  <c r="M62" i="5"/>
  <c r="O61" i="5" s="1"/>
  <c r="M52" i="5"/>
  <c r="O51" i="5" s="1"/>
  <c r="AA172" i="5"/>
  <c r="AA162" i="5"/>
  <c r="AA152" i="5"/>
  <c r="AA142" i="5"/>
  <c r="AA132" i="5"/>
  <c r="AA122" i="5"/>
  <c r="AA112" i="5"/>
  <c r="AA102" i="5"/>
  <c r="AA92" i="5"/>
  <c r="AA82" i="5"/>
  <c r="AA72" i="5"/>
  <c r="T167" i="5"/>
  <c r="V166" i="5" s="1"/>
  <c r="T157" i="5"/>
  <c r="V156" i="5" s="1"/>
  <c r="T147" i="5"/>
  <c r="V146" i="5" s="1"/>
  <c r="T137" i="5"/>
  <c r="V136" i="5" s="1"/>
  <c r="T127" i="5"/>
  <c r="V126" i="5" s="1"/>
  <c r="T117" i="5"/>
  <c r="V116" i="5" s="1"/>
  <c r="T107" i="5"/>
  <c r="V106" i="5" s="1"/>
  <c r="T97" i="5"/>
  <c r="V96" i="5" s="1"/>
  <c r="T87" i="5"/>
  <c r="V86" i="5" s="1"/>
  <c r="T77" i="5"/>
  <c r="V76" i="5" s="1"/>
  <c r="T67" i="5"/>
  <c r="V66" i="5" s="1"/>
  <c r="T57" i="5"/>
  <c r="V56" i="5" s="1"/>
  <c r="T47" i="5"/>
  <c r="V46" i="5" s="1"/>
  <c r="AA62" i="5"/>
  <c r="L169" i="5"/>
  <c r="L168" i="5"/>
  <c r="L159" i="5"/>
  <c r="L158" i="5"/>
  <c r="L149" i="5"/>
  <c r="L148" i="5"/>
  <c r="L139" i="5"/>
  <c r="L138" i="5"/>
  <c r="L129" i="5"/>
  <c r="L128" i="5"/>
  <c r="L118" i="5"/>
  <c r="L119" i="5"/>
  <c r="L108" i="5"/>
  <c r="L109" i="5"/>
  <c r="L98" i="5"/>
  <c r="L99" i="5"/>
  <c r="L88" i="5"/>
  <c r="L89" i="5"/>
  <c r="L78" i="5"/>
  <c r="L79" i="5"/>
  <c r="L68" i="5"/>
  <c r="L69" i="5"/>
  <c r="L58" i="5"/>
  <c r="L59" i="5"/>
  <c r="L48" i="5"/>
  <c r="L49" i="5"/>
  <c r="Z169" i="5"/>
  <c r="Z168" i="5"/>
  <c r="Z159" i="5"/>
  <c r="Z158" i="5"/>
  <c r="Z149" i="5"/>
  <c r="Z148" i="5"/>
  <c r="Z139" i="5"/>
  <c r="Z138" i="5"/>
  <c r="Z129" i="5"/>
  <c r="Z128" i="5"/>
  <c r="Z118" i="5"/>
  <c r="Z119" i="5"/>
  <c r="Z108" i="5"/>
  <c r="Z109" i="5"/>
  <c r="Z98" i="5"/>
  <c r="Z99" i="5"/>
  <c r="Z88" i="5"/>
  <c r="Z89" i="5"/>
  <c r="Z78" i="5"/>
  <c r="Z79" i="5"/>
  <c r="S174" i="5"/>
  <c r="S173" i="5"/>
  <c r="S164" i="5"/>
  <c r="S163" i="5"/>
  <c r="S154" i="5"/>
  <c r="S153" i="5"/>
  <c r="S144" i="5"/>
  <c r="S143" i="5"/>
  <c r="S134" i="5"/>
  <c r="S133" i="5"/>
  <c r="S124" i="5"/>
  <c r="S123" i="5"/>
  <c r="S113" i="5"/>
  <c r="S114" i="5"/>
  <c r="S103" i="5"/>
  <c r="S104" i="5"/>
  <c r="S93" i="5"/>
  <c r="S94" i="5"/>
  <c r="S83" i="5"/>
  <c r="S84" i="5"/>
  <c r="S73" i="5"/>
  <c r="S74" i="5"/>
  <c r="S63" i="5"/>
  <c r="S64" i="5"/>
  <c r="S53" i="5"/>
  <c r="S54" i="5"/>
  <c r="Z68" i="5"/>
  <c r="Z69" i="5"/>
  <c r="Z53" i="5"/>
  <c r="Z54" i="5"/>
  <c r="Z58" i="5"/>
  <c r="Z59" i="5"/>
  <c r="H11" i="18" l="1"/>
  <c r="H12" i="18"/>
  <c r="N34" i="18"/>
  <c r="N36" i="18"/>
  <c r="N37" i="18"/>
  <c r="N33" i="18"/>
  <c r="N39" i="18"/>
  <c r="N35" i="18"/>
  <c r="N38" i="18"/>
  <c r="H10" i="18"/>
  <c r="N29" i="18" s="1"/>
  <c r="N26" i="18"/>
  <c r="N31" i="18"/>
  <c r="N27" i="18"/>
  <c r="N28" i="18"/>
  <c r="N21" i="18"/>
  <c r="N24" i="18"/>
  <c r="N19" i="18"/>
  <c r="N20" i="18"/>
  <c r="N23" i="18"/>
  <c r="N22" i="18"/>
  <c r="N25" i="18"/>
  <c r="N13" i="18"/>
  <c r="N15" i="18"/>
  <c r="N17" i="18"/>
  <c r="N12" i="18"/>
  <c r="N14" i="18"/>
  <c r="N16" i="18"/>
  <c r="N18" i="18"/>
  <c r="H7" i="18"/>
  <c r="A11" i="2"/>
  <c r="N32" i="18" l="1"/>
  <c r="N44" i="18"/>
  <c r="N42" i="18"/>
  <c r="N46" i="18"/>
  <c r="N45" i="18"/>
  <c r="N43" i="18"/>
  <c r="N40" i="18"/>
  <c r="N41" i="18"/>
  <c r="N30" i="18"/>
  <c r="N5" i="18"/>
  <c r="N9" i="18"/>
  <c r="N7" i="18"/>
  <c r="N6" i="18"/>
  <c r="N8" i="18"/>
  <c r="N10" i="18"/>
  <c r="N11" i="18"/>
  <c r="D36" i="2"/>
  <c r="A43" i="2"/>
  <c r="N47" i="18" l="1"/>
  <c r="A16" i="2"/>
  <c r="A15" i="2"/>
  <c r="B15" i="2"/>
  <c r="E19" i="12"/>
  <c r="E18" i="12"/>
  <c r="B30" i="10"/>
  <c r="H104" i="2" s="1"/>
  <c r="B29" i="10"/>
  <c r="H103" i="2" s="1"/>
  <c r="O8" i="12"/>
  <c r="O9" i="12"/>
  <c r="B367" i="2"/>
  <c r="C367" i="2" s="1"/>
  <c r="B364" i="2"/>
  <c r="C364" i="2" s="1"/>
  <c r="B361" i="2"/>
  <c r="C361" i="2" s="1"/>
  <c r="B351" i="2"/>
  <c r="G350" i="2"/>
  <c r="B268" i="2"/>
  <c r="C268" i="2" s="1"/>
  <c r="B265" i="2"/>
  <c r="C265" i="2" s="1"/>
  <c r="B262" i="2"/>
  <c r="C262" i="2" s="1"/>
  <c r="B259" i="2"/>
  <c r="C259" i="2" s="1"/>
  <c r="B256" i="2"/>
  <c r="C256" i="2" s="1"/>
  <c r="B253" i="2"/>
  <c r="C253" i="2" s="1"/>
  <c r="B250" i="2"/>
  <c r="C250" i="2" s="1"/>
  <c r="B247" i="2"/>
  <c r="C247" i="2" s="1"/>
  <c r="B244" i="2"/>
  <c r="C244" i="2" s="1"/>
  <c r="B241" i="2"/>
  <c r="C241" i="2" s="1"/>
  <c r="B238" i="2"/>
  <c r="C238" i="2" s="1"/>
  <c r="B235" i="2"/>
  <c r="C235" i="2" s="1"/>
  <c r="B226" i="2"/>
  <c r="C226" i="2" s="1"/>
  <c r="B105" i="2" l="1"/>
  <c r="B102" i="2"/>
  <c r="B16" i="2"/>
  <c r="C15" i="2"/>
  <c r="B99" i="2"/>
  <c r="C351" i="2"/>
  <c r="A134" i="2"/>
  <c r="A152" i="2"/>
  <c r="A170" i="2"/>
  <c r="A188" i="2"/>
  <c r="A206" i="2"/>
  <c r="A224" i="2"/>
  <c r="A242" i="2"/>
  <c r="A260" i="2"/>
  <c r="A278" i="2"/>
  <c r="A296" i="2"/>
  <c r="A314" i="2"/>
  <c r="A332" i="2"/>
  <c r="A350" i="2"/>
  <c r="A98" i="2"/>
  <c r="G107" i="2"/>
  <c r="G125" i="2"/>
  <c r="G143" i="2"/>
  <c r="G161" i="2"/>
  <c r="G179" i="2"/>
  <c r="G197" i="2"/>
  <c r="G215" i="2"/>
  <c r="G233" i="2"/>
  <c r="G251" i="2"/>
  <c r="G269" i="2"/>
  <c r="G287" i="2"/>
  <c r="G305" i="2"/>
  <c r="G323" i="2"/>
  <c r="G341" i="2"/>
  <c r="G359" i="2"/>
  <c r="A116" i="2"/>
  <c r="A125" i="2"/>
  <c r="A143" i="2"/>
  <c r="A161" i="2"/>
  <c r="A179" i="2"/>
  <c r="A197" i="2"/>
  <c r="A215" i="2"/>
  <c r="A233" i="2"/>
  <c r="A251" i="2"/>
  <c r="A269" i="2"/>
  <c r="A287" i="2"/>
  <c r="A305" i="2"/>
  <c r="A323" i="2"/>
  <c r="A341" i="2"/>
  <c r="A359" i="2"/>
  <c r="G98" i="2"/>
  <c r="G116" i="2"/>
  <c r="G134" i="2"/>
  <c r="G152" i="2"/>
  <c r="G170" i="2"/>
  <c r="G188" i="2"/>
  <c r="G206" i="2"/>
  <c r="G224" i="2"/>
  <c r="G242" i="2"/>
  <c r="G260" i="2"/>
  <c r="G278" i="2"/>
  <c r="G296" i="2"/>
  <c r="G314" i="2"/>
  <c r="G332" i="2"/>
  <c r="B312" i="2"/>
  <c r="C312" i="2" s="1"/>
  <c r="B270" i="2"/>
  <c r="B288" i="2"/>
  <c r="B306" i="2"/>
  <c r="B324" i="2"/>
  <c r="B276" i="2"/>
  <c r="C276" i="2" s="1"/>
  <c r="B294" i="2"/>
  <c r="C294" i="2" s="1"/>
  <c r="B345" i="2"/>
  <c r="C345" i="2" s="1"/>
  <c r="B343" i="2"/>
  <c r="C343" i="2" s="1"/>
  <c r="B349" i="2"/>
  <c r="C349" i="2" s="1"/>
  <c r="B355" i="2"/>
  <c r="C355" i="2" s="1"/>
  <c r="B354" i="2"/>
  <c r="B357" i="2"/>
  <c r="C357" i="2" s="1"/>
  <c r="B342" i="2"/>
  <c r="B348" i="2"/>
  <c r="C348" i="2" s="1"/>
  <c r="B346" i="2"/>
  <c r="C346" i="2" s="1"/>
  <c r="B228" i="2"/>
  <c r="B231" i="2"/>
  <c r="C231" i="2" s="1"/>
  <c r="B274" i="2"/>
  <c r="C274" i="2" s="1"/>
  <c r="B282" i="2"/>
  <c r="C282" i="2" s="1"/>
  <c r="B280" i="2"/>
  <c r="C280" i="2" s="1"/>
  <c r="B286" i="2"/>
  <c r="C286" i="2" s="1"/>
  <c r="B292" i="2"/>
  <c r="C292" i="2" s="1"/>
  <c r="B300" i="2"/>
  <c r="C300" i="2" s="1"/>
  <c r="B298" i="2"/>
  <c r="C298" i="2" s="1"/>
  <c r="B304" i="2"/>
  <c r="C304" i="2" s="1"/>
  <c r="B310" i="2"/>
  <c r="C310" i="2" s="1"/>
  <c r="B318" i="2"/>
  <c r="B316" i="2"/>
  <c r="C316" i="2" s="1"/>
  <c r="B322" i="2"/>
  <c r="C322" i="2" s="1"/>
  <c r="B327" i="2"/>
  <c r="C327" i="2" s="1"/>
  <c r="B331" i="2"/>
  <c r="C331" i="2" s="1"/>
  <c r="B330" i="2"/>
  <c r="C330" i="2" s="1"/>
  <c r="B273" i="2"/>
  <c r="C273" i="2" s="1"/>
  <c r="B279" i="2"/>
  <c r="B285" i="2"/>
  <c r="C285" i="2" s="1"/>
  <c r="B291" i="2"/>
  <c r="C291" i="2" s="1"/>
  <c r="B297" i="2"/>
  <c r="B303" i="2"/>
  <c r="C303" i="2" s="1"/>
  <c r="B309" i="2"/>
  <c r="C309" i="2" s="1"/>
  <c r="B315" i="2"/>
  <c r="B321" i="2"/>
  <c r="C321" i="2" s="1"/>
  <c r="B333" i="2"/>
  <c r="B336" i="2"/>
  <c r="C336" i="2" s="1"/>
  <c r="B339" i="2"/>
  <c r="C339" i="2" s="1"/>
  <c r="B216" i="2"/>
  <c r="B219" i="2"/>
  <c r="C219" i="2" s="1"/>
  <c r="B222" i="2"/>
  <c r="C222" i="2" s="1"/>
  <c r="B207" i="2"/>
  <c r="B210" i="2"/>
  <c r="B213" i="2"/>
  <c r="C213" i="2" s="1"/>
  <c r="B198" i="2"/>
  <c r="B201" i="2"/>
  <c r="C201" i="2" s="1"/>
  <c r="B204" i="2"/>
  <c r="C204" i="2" s="1"/>
  <c r="B189" i="2"/>
  <c r="B192" i="2"/>
  <c r="B195" i="2"/>
  <c r="C195" i="2" s="1"/>
  <c r="B180" i="2"/>
  <c r="B183" i="2"/>
  <c r="C183" i="2" s="1"/>
  <c r="B186" i="2"/>
  <c r="C186" i="2" s="1"/>
  <c r="B171" i="2"/>
  <c r="B174" i="2"/>
  <c r="B177" i="2"/>
  <c r="C177" i="2" s="1"/>
  <c r="B162" i="2"/>
  <c r="B165" i="2"/>
  <c r="C165" i="2" s="1"/>
  <c r="B168" i="2"/>
  <c r="C168" i="2" s="1"/>
  <c r="B153" i="2"/>
  <c r="B156" i="2"/>
  <c r="B159" i="2"/>
  <c r="C159" i="2" s="1"/>
  <c r="B144" i="2"/>
  <c r="B147" i="2"/>
  <c r="C147" i="2" s="1"/>
  <c r="B150" i="2"/>
  <c r="C150" i="2" s="1"/>
  <c r="B135" i="2"/>
  <c r="B138" i="2"/>
  <c r="C138" i="2" s="1"/>
  <c r="B141" i="2"/>
  <c r="C141" i="2" s="1"/>
  <c r="B126" i="2"/>
  <c r="B129" i="2"/>
  <c r="C129" i="2" s="1"/>
  <c r="B132" i="2"/>
  <c r="C132" i="2" s="1"/>
  <c r="B117" i="2"/>
  <c r="B120" i="2"/>
  <c r="C120" i="2" s="1"/>
  <c r="B123" i="2"/>
  <c r="C123" i="2" s="1"/>
  <c r="B114" i="2"/>
  <c r="B115" i="2"/>
  <c r="C115" i="2" s="1"/>
  <c r="B111" i="2"/>
  <c r="B112" i="2"/>
  <c r="B108" i="2"/>
  <c r="B109" i="2"/>
  <c r="C109" i="2" s="1"/>
  <c r="A107" i="2"/>
  <c r="B12" i="2"/>
  <c r="B11" i="2"/>
  <c r="T154" i="12"/>
  <c r="O154" i="12"/>
  <c r="K154" i="12"/>
  <c r="J154" i="12"/>
  <c r="H154" i="12"/>
  <c r="T153" i="12"/>
  <c r="O153" i="12"/>
  <c r="K153" i="12"/>
  <c r="J153" i="12"/>
  <c r="H153" i="12"/>
  <c r="J152" i="12"/>
  <c r="H152" i="12"/>
  <c r="K151" i="12"/>
  <c r="J151" i="12"/>
  <c r="H151" i="12"/>
  <c r="T149" i="12"/>
  <c r="O149" i="12"/>
  <c r="K149" i="12"/>
  <c r="J149" i="12"/>
  <c r="H149" i="12"/>
  <c r="T148" i="12"/>
  <c r="O148" i="12"/>
  <c r="K148" i="12"/>
  <c r="J148" i="12"/>
  <c r="H148" i="12"/>
  <c r="J147" i="12"/>
  <c r="H147" i="12"/>
  <c r="K146" i="12"/>
  <c r="J146" i="12"/>
  <c r="H146" i="12"/>
  <c r="T144" i="12"/>
  <c r="O144" i="12"/>
  <c r="K144" i="12"/>
  <c r="J144" i="12"/>
  <c r="H144" i="12"/>
  <c r="T143" i="12"/>
  <c r="O143" i="12"/>
  <c r="K143" i="12"/>
  <c r="J143" i="12"/>
  <c r="H143" i="12"/>
  <c r="J142" i="12"/>
  <c r="H142" i="12"/>
  <c r="K141" i="12"/>
  <c r="J141" i="12"/>
  <c r="H141" i="12"/>
  <c r="T139" i="12"/>
  <c r="O139" i="12"/>
  <c r="K139" i="12"/>
  <c r="J139" i="12"/>
  <c r="H139" i="12"/>
  <c r="T138" i="12"/>
  <c r="O138" i="12"/>
  <c r="K138" i="12"/>
  <c r="J138" i="12"/>
  <c r="H138" i="12"/>
  <c r="J137" i="12"/>
  <c r="H137" i="12"/>
  <c r="K136" i="12"/>
  <c r="J136" i="12"/>
  <c r="H136" i="12"/>
  <c r="T134" i="12"/>
  <c r="O134" i="12"/>
  <c r="K134" i="12"/>
  <c r="J134" i="12"/>
  <c r="H134" i="12"/>
  <c r="T133" i="12"/>
  <c r="O133" i="12"/>
  <c r="K133" i="12"/>
  <c r="J133" i="12"/>
  <c r="H133" i="12"/>
  <c r="J132" i="12"/>
  <c r="H132" i="12"/>
  <c r="K131" i="12"/>
  <c r="J131" i="12"/>
  <c r="H131" i="12"/>
  <c r="T129" i="12"/>
  <c r="O129" i="12"/>
  <c r="K129" i="12"/>
  <c r="J129" i="12"/>
  <c r="H129" i="12"/>
  <c r="T128" i="12"/>
  <c r="O128" i="12"/>
  <c r="K128" i="12"/>
  <c r="J128" i="12"/>
  <c r="H128" i="12"/>
  <c r="J127" i="12"/>
  <c r="H127" i="12"/>
  <c r="K126" i="12"/>
  <c r="J126" i="12"/>
  <c r="H126" i="12"/>
  <c r="T124" i="12"/>
  <c r="O124" i="12"/>
  <c r="K124" i="12"/>
  <c r="J124" i="12"/>
  <c r="H124" i="12"/>
  <c r="T123" i="12"/>
  <c r="O123" i="12"/>
  <c r="K123" i="12"/>
  <c r="J123" i="12"/>
  <c r="H123" i="12"/>
  <c r="J122" i="12"/>
  <c r="H122" i="12"/>
  <c r="K121" i="12"/>
  <c r="J121" i="12"/>
  <c r="H121" i="12"/>
  <c r="T119" i="12"/>
  <c r="O119" i="12"/>
  <c r="K119" i="12"/>
  <c r="J119" i="12"/>
  <c r="H119" i="12"/>
  <c r="T118" i="12"/>
  <c r="O118" i="12"/>
  <c r="K118" i="12"/>
  <c r="J118" i="12"/>
  <c r="H118" i="12"/>
  <c r="J117" i="12"/>
  <c r="H117" i="12"/>
  <c r="K116" i="12"/>
  <c r="J116" i="12"/>
  <c r="H116" i="12"/>
  <c r="T114" i="12"/>
  <c r="O114" i="12"/>
  <c r="K114" i="12"/>
  <c r="J114" i="12"/>
  <c r="H114" i="12"/>
  <c r="T113" i="12"/>
  <c r="O113" i="12"/>
  <c r="K113" i="12"/>
  <c r="J113" i="12"/>
  <c r="H113" i="12"/>
  <c r="J112" i="12"/>
  <c r="H112" i="12"/>
  <c r="K111" i="12"/>
  <c r="J111" i="12"/>
  <c r="H111" i="12"/>
  <c r="T109" i="12"/>
  <c r="O109" i="12"/>
  <c r="K109" i="12"/>
  <c r="J109" i="12"/>
  <c r="H109" i="12"/>
  <c r="T108" i="12"/>
  <c r="O108" i="12"/>
  <c r="K108" i="12"/>
  <c r="J108" i="12"/>
  <c r="H108" i="12"/>
  <c r="J107" i="12"/>
  <c r="H107" i="12"/>
  <c r="K106" i="12"/>
  <c r="J106" i="12"/>
  <c r="H106" i="12"/>
  <c r="T104" i="12"/>
  <c r="O104" i="12"/>
  <c r="K104" i="12"/>
  <c r="J104" i="12"/>
  <c r="H104" i="12"/>
  <c r="T103" i="12"/>
  <c r="O103" i="12"/>
  <c r="K103" i="12"/>
  <c r="J103" i="12"/>
  <c r="H103" i="12"/>
  <c r="J102" i="12"/>
  <c r="H102" i="12"/>
  <c r="K101" i="12"/>
  <c r="J101" i="12"/>
  <c r="H101" i="12"/>
  <c r="T99" i="12"/>
  <c r="O99" i="12"/>
  <c r="K99" i="12"/>
  <c r="J99" i="12"/>
  <c r="H99" i="12"/>
  <c r="T98" i="12"/>
  <c r="O98" i="12"/>
  <c r="K98" i="12"/>
  <c r="J98" i="12"/>
  <c r="H98" i="12"/>
  <c r="J97" i="12"/>
  <c r="H97" i="12"/>
  <c r="K96" i="12"/>
  <c r="J96" i="12"/>
  <c r="H96" i="12"/>
  <c r="T94" i="12"/>
  <c r="O94" i="12"/>
  <c r="K94" i="12"/>
  <c r="J94" i="12"/>
  <c r="H94" i="12"/>
  <c r="T93" i="12"/>
  <c r="O93" i="12"/>
  <c r="K93" i="12"/>
  <c r="J93" i="12"/>
  <c r="H93" i="12"/>
  <c r="J92" i="12"/>
  <c r="H92" i="12"/>
  <c r="K91" i="12"/>
  <c r="J91" i="12"/>
  <c r="H91" i="12"/>
  <c r="T89" i="12"/>
  <c r="O89" i="12"/>
  <c r="K89" i="12"/>
  <c r="J89" i="12"/>
  <c r="H89" i="12"/>
  <c r="T88" i="12"/>
  <c r="O88" i="12"/>
  <c r="K88" i="12"/>
  <c r="J88" i="12"/>
  <c r="H88" i="12"/>
  <c r="J87" i="12"/>
  <c r="H87" i="12"/>
  <c r="K86" i="12"/>
  <c r="J86" i="12"/>
  <c r="H86" i="12"/>
  <c r="T84" i="12"/>
  <c r="O84" i="12"/>
  <c r="K84" i="12"/>
  <c r="J84" i="12"/>
  <c r="H84" i="12"/>
  <c r="T83" i="12"/>
  <c r="O83" i="12"/>
  <c r="K83" i="12"/>
  <c r="J83" i="12"/>
  <c r="H83" i="12"/>
  <c r="J82" i="12"/>
  <c r="H82" i="12"/>
  <c r="K81" i="12"/>
  <c r="J81" i="12"/>
  <c r="H81" i="12"/>
  <c r="T79" i="12"/>
  <c r="O79" i="12"/>
  <c r="K79" i="12"/>
  <c r="J79" i="12"/>
  <c r="H79" i="12"/>
  <c r="T78" i="12"/>
  <c r="U77" i="12" s="1"/>
  <c r="O78" i="12"/>
  <c r="K78" i="12"/>
  <c r="J78" i="12"/>
  <c r="H78" i="12"/>
  <c r="J77" i="12"/>
  <c r="H77" i="12"/>
  <c r="K76" i="12"/>
  <c r="J76" i="12"/>
  <c r="H76" i="12"/>
  <c r="T74" i="12"/>
  <c r="O74" i="12"/>
  <c r="K74" i="12"/>
  <c r="J74" i="12"/>
  <c r="H74" i="12"/>
  <c r="T73" i="12"/>
  <c r="O73" i="12"/>
  <c r="K73" i="12"/>
  <c r="J73" i="12"/>
  <c r="H73" i="12"/>
  <c r="J72" i="12"/>
  <c r="H72" i="12"/>
  <c r="K71" i="12"/>
  <c r="J71" i="12"/>
  <c r="H71" i="12"/>
  <c r="T69" i="12"/>
  <c r="O69" i="12"/>
  <c r="K69" i="12"/>
  <c r="J69" i="12"/>
  <c r="H69" i="12"/>
  <c r="T68" i="12"/>
  <c r="O68" i="12"/>
  <c r="K68" i="12"/>
  <c r="J68" i="12"/>
  <c r="H68" i="12"/>
  <c r="J67" i="12"/>
  <c r="H67" i="12"/>
  <c r="K66" i="12"/>
  <c r="J66" i="12"/>
  <c r="H66" i="12"/>
  <c r="T64" i="12"/>
  <c r="O64" i="12"/>
  <c r="K64" i="12"/>
  <c r="J64" i="12"/>
  <c r="H64" i="12"/>
  <c r="T63" i="12"/>
  <c r="O63" i="12"/>
  <c r="K63" i="12"/>
  <c r="J63" i="12"/>
  <c r="H63" i="12"/>
  <c r="J62" i="12"/>
  <c r="H62" i="12"/>
  <c r="K61" i="12"/>
  <c r="J61" i="12"/>
  <c r="H61" i="12"/>
  <c r="T59" i="12"/>
  <c r="O59" i="12"/>
  <c r="K59" i="12"/>
  <c r="J59" i="12"/>
  <c r="H59" i="12"/>
  <c r="T58" i="12"/>
  <c r="O58" i="12"/>
  <c r="K58" i="12"/>
  <c r="J58" i="12"/>
  <c r="H58" i="12"/>
  <c r="J57" i="12"/>
  <c r="H57" i="12"/>
  <c r="K56" i="12"/>
  <c r="J56" i="12"/>
  <c r="H56" i="12"/>
  <c r="T54" i="12"/>
  <c r="O54" i="12"/>
  <c r="K54" i="12"/>
  <c r="J54" i="12"/>
  <c r="H54" i="12"/>
  <c r="T53" i="12"/>
  <c r="O53" i="12"/>
  <c r="K53" i="12"/>
  <c r="J53" i="12"/>
  <c r="H53" i="12"/>
  <c r="J52" i="12"/>
  <c r="H52" i="12"/>
  <c r="K51" i="12"/>
  <c r="J51" i="12"/>
  <c r="H51" i="12"/>
  <c r="T49" i="12"/>
  <c r="O49" i="12"/>
  <c r="K49" i="12"/>
  <c r="J49" i="12"/>
  <c r="H49" i="12"/>
  <c r="T48" i="12"/>
  <c r="O48" i="12"/>
  <c r="K48" i="12"/>
  <c r="J48" i="12"/>
  <c r="H48" i="12"/>
  <c r="J47" i="12"/>
  <c r="H47" i="12"/>
  <c r="K46" i="12"/>
  <c r="J46" i="12"/>
  <c r="H46" i="12"/>
  <c r="T44" i="12"/>
  <c r="O44" i="12"/>
  <c r="K44" i="12"/>
  <c r="J44" i="12"/>
  <c r="H44" i="12"/>
  <c r="E49" i="12"/>
  <c r="T43" i="12"/>
  <c r="U42" i="12" s="1"/>
  <c r="O43" i="12"/>
  <c r="K43" i="12"/>
  <c r="J43" i="12"/>
  <c r="H43" i="12"/>
  <c r="E48" i="12"/>
  <c r="K42" i="12"/>
  <c r="N41" i="12" s="1"/>
  <c r="J42" i="12"/>
  <c r="H42" i="12"/>
  <c r="K41" i="12"/>
  <c r="J41" i="12"/>
  <c r="H41" i="12"/>
  <c r="T39" i="12"/>
  <c r="O39" i="12"/>
  <c r="K39" i="12"/>
  <c r="J39" i="12"/>
  <c r="H39" i="12"/>
  <c r="E44" i="12"/>
  <c r="T38" i="12"/>
  <c r="U37" i="12" s="1"/>
  <c r="O38" i="12"/>
  <c r="K38" i="12"/>
  <c r="J38" i="12"/>
  <c r="H38" i="12"/>
  <c r="E43" i="12"/>
  <c r="J37" i="12"/>
  <c r="H37" i="12"/>
  <c r="K36" i="12"/>
  <c r="J36" i="12"/>
  <c r="H36" i="12"/>
  <c r="T34" i="12"/>
  <c r="O34" i="12"/>
  <c r="K34" i="12"/>
  <c r="J34" i="12"/>
  <c r="H34" i="12"/>
  <c r="E39" i="12"/>
  <c r="T33" i="12"/>
  <c r="O33" i="12"/>
  <c r="K33" i="12"/>
  <c r="J33" i="12"/>
  <c r="H33" i="12"/>
  <c r="E38" i="12"/>
  <c r="J32" i="12"/>
  <c r="H32" i="12"/>
  <c r="K31" i="12"/>
  <c r="J31" i="12"/>
  <c r="H31" i="12"/>
  <c r="T29" i="12"/>
  <c r="O29" i="12"/>
  <c r="K29" i="12"/>
  <c r="J29" i="12"/>
  <c r="H29" i="12"/>
  <c r="E34" i="12"/>
  <c r="T28" i="12"/>
  <c r="O28" i="12"/>
  <c r="K28" i="12"/>
  <c r="J28" i="12"/>
  <c r="H28" i="12"/>
  <c r="E33" i="12"/>
  <c r="U27" i="12"/>
  <c r="J27" i="12"/>
  <c r="H27" i="12"/>
  <c r="K26" i="12"/>
  <c r="J26" i="12"/>
  <c r="H26" i="12"/>
  <c r="T24" i="12"/>
  <c r="O24" i="12"/>
  <c r="K24" i="12"/>
  <c r="J24" i="12"/>
  <c r="H24" i="12"/>
  <c r="E29" i="12"/>
  <c r="T23" i="12"/>
  <c r="U22" i="12" s="1"/>
  <c r="O23" i="12"/>
  <c r="K23" i="12"/>
  <c r="J23" i="12"/>
  <c r="H23" i="12"/>
  <c r="E28" i="12"/>
  <c r="J22" i="12"/>
  <c r="H22" i="12"/>
  <c r="K21" i="12"/>
  <c r="J21" i="12"/>
  <c r="H21" i="12"/>
  <c r="T19" i="12"/>
  <c r="O19" i="12"/>
  <c r="K19" i="12"/>
  <c r="J19" i="12"/>
  <c r="H19" i="12"/>
  <c r="E24" i="12"/>
  <c r="T18" i="12"/>
  <c r="O18" i="12"/>
  <c r="K18" i="12"/>
  <c r="J18" i="12"/>
  <c r="H18" i="12"/>
  <c r="E23" i="12"/>
  <c r="U17" i="12"/>
  <c r="J17" i="12"/>
  <c r="H17" i="12"/>
  <c r="K16" i="12"/>
  <c r="J16" i="12"/>
  <c r="H16" i="12"/>
  <c r="T14" i="12"/>
  <c r="O14" i="12"/>
  <c r="K14" i="12"/>
  <c r="J14" i="12"/>
  <c r="H14" i="12"/>
  <c r="E14" i="12"/>
  <c r="T13" i="12"/>
  <c r="O13" i="12"/>
  <c r="K13" i="12"/>
  <c r="J13" i="12"/>
  <c r="H13" i="12"/>
  <c r="E13" i="12"/>
  <c r="J12" i="12"/>
  <c r="H12" i="12"/>
  <c r="K11" i="12"/>
  <c r="J11" i="12"/>
  <c r="H11" i="12"/>
  <c r="T9" i="12"/>
  <c r="K9" i="12"/>
  <c r="J9" i="12"/>
  <c r="H9" i="12"/>
  <c r="E9" i="12"/>
  <c r="T8" i="12"/>
  <c r="K8" i="12"/>
  <c r="J8" i="12"/>
  <c r="H8" i="12"/>
  <c r="E8" i="12"/>
  <c r="J7" i="12"/>
  <c r="H7" i="12"/>
  <c r="K6" i="12"/>
  <c r="J6" i="12"/>
  <c r="F157" i="10"/>
  <c r="H366" i="2" s="1"/>
  <c r="F156" i="10"/>
  <c r="H365" i="2" s="1"/>
  <c r="F155" i="10"/>
  <c r="H364" i="2" s="1"/>
  <c r="F154" i="10"/>
  <c r="H363" i="2" s="1"/>
  <c r="F153" i="10"/>
  <c r="H362" i="2" s="1"/>
  <c r="F152" i="10"/>
  <c r="H361" i="2" s="1"/>
  <c r="F151" i="10"/>
  <c r="H360" i="2" s="1"/>
  <c r="B157" i="10"/>
  <c r="H357" i="2" s="1"/>
  <c r="B156" i="10"/>
  <c r="H356" i="2" s="1"/>
  <c r="B155" i="10"/>
  <c r="H355" i="2" s="1"/>
  <c r="B154" i="10"/>
  <c r="H354" i="2" s="1"/>
  <c r="B153" i="10"/>
  <c r="H353" i="2" s="1"/>
  <c r="L353" i="2" s="1"/>
  <c r="B152" i="10"/>
  <c r="H352" i="2" s="1"/>
  <c r="B151" i="10"/>
  <c r="H351" i="2" s="1"/>
  <c r="F148" i="10"/>
  <c r="H348" i="2" s="1"/>
  <c r="F147" i="10"/>
  <c r="H347" i="2" s="1"/>
  <c r="F146" i="10"/>
  <c r="H346" i="2" s="1"/>
  <c r="F145" i="10"/>
  <c r="H345" i="2" s="1"/>
  <c r="F144" i="10"/>
  <c r="H344" i="2" s="1"/>
  <c r="F143" i="10"/>
  <c r="H343" i="2" s="1"/>
  <c r="F142" i="10"/>
  <c r="H342" i="2" s="1"/>
  <c r="B148" i="10"/>
  <c r="H339" i="2" s="1"/>
  <c r="B147" i="10"/>
  <c r="H338" i="2" s="1"/>
  <c r="B146" i="10"/>
  <c r="H337" i="2" s="1"/>
  <c r="B145" i="10"/>
  <c r="H336" i="2" s="1"/>
  <c r="B144" i="10"/>
  <c r="H335" i="2" s="1"/>
  <c r="B143" i="10"/>
  <c r="H334" i="2" s="1"/>
  <c r="B142" i="10"/>
  <c r="H333" i="2" s="1"/>
  <c r="F139" i="10"/>
  <c r="H330" i="2" s="1"/>
  <c r="F138" i="10"/>
  <c r="H329" i="2" s="1"/>
  <c r="F137" i="10"/>
  <c r="H328" i="2" s="1"/>
  <c r="F136" i="10"/>
  <c r="H327" i="2" s="1"/>
  <c r="F135" i="10"/>
  <c r="H326" i="2" s="1"/>
  <c r="F134" i="10"/>
  <c r="H325" i="2" s="1"/>
  <c r="F133" i="10"/>
  <c r="H324" i="2" s="1"/>
  <c r="B139" i="10"/>
  <c r="H321" i="2" s="1"/>
  <c r="B138" i="10"/>
  <c r="H320" i="2" s="1"/>
  <c r="B137" i="10"/>
  <c r="H319" i="2" s="1"/>
  <c r="B136" i="10"/>
  <c r="H318" i="2" s="1"/>
  <c r="B135" i="10"/>
  <c r="H317" i="2" s="1"/>
  <c r="B134" i="10"/>
  <c r="H316" i="2" s="1"/>
  <c r="B133" i="10"/>
  <c r="H315" i="2" s="1"/>
  <c r="F130" i="10"/>
  <c r="H312" i="2" s="1"/>
  <c r="F129" i="10"/>
  <c r="H311" i="2" s="1"/>
  <c r="F128" i="10"/>
  <c r="H310" i="2" s="1"/>
  <c r="F127" i="10"/>
  <c r="H309" i="2" s="1"/>
  <c r="F126" i="10"/>
  <c r="H308" i="2" s="1"/>
  <c r="F125" i="10"/>
  <c r="H307" i="2" s="1"/>
  <c r="F124" i="10"/>
  <c r="H306" i="2" s="1"/>
  <c r="B130" i="10"/>
  <c r="H303" i="2" s="1"/>
  <c r="B129" i="10"/>
  <c r="H302" i="2" s="1"/>
  <c r="B128" i="10"/>
  <c r="H301" i="2" s="1"/>
  <c r="B127" i="10"/>
  <c r="H300" i="2" s="1"/>
  <c r="B126" i="10"/>
  <c r="H299" i="2" s="1"/>
  <c r="B125" i="10"/>
  <c r="H298" i="2" s="1"/>
  <c r="B124" i="10"/>
  <c r="H297" i="2" s="1"/>
  <c r="F121" i="10"/>
  <c r="H294" i="2" s="1"/>
  <c r="F120" i="10"/>
  <c r="H293" i="2" s="1"/>
  <c r="F119" i="10"/>
  <c r="H292" i="2" s="1"/>
  <c r="F118" i="10"/>
  <c r="H291" i="2" s="1"/>
  <c r="F117" i="10"/>
  <c r="H290" i="2" s="1"/>
  <c r="F116" i="10"/>
  <c r="H289" i="2" s="1"/>
  <c r="F115" i="10"/>
  <c r="H288" i="2" s="1"/>
  <c r="B121" i="10"/>
  <c r="H285" i="2" s="1"/>
  <c r="B120" i="10"/>
  <c r="H284" i="2" s="1"/>
  <c r="B119" i="10"/>
  <c r="H283" i="2" s="1"/>
  <c r="B118" i="10"/>
  <c r="H282" i="2" s="1"/>
  <c r="B117" i="10"/>
  <c r="H281" i="2" s="1"/>
  <c r="B116" i="10"/>
  <c r="H280" i="2" s="1"/>
  <c r="B115" i="10"/>
  <c r="H279" i="2" s="1"/>
  <c r="F112" i="10"/>
  <c r="H276" i="2" s="1"/>
  <c r="F111" i="10"/>
  <c r="H275" i="2" s="1"/>
  <c r="F110" i="10"/>
  <c r="H274" i="2" s="1"/>
  <c r="F109" i="10"/>
  <c r="H273" i="2" s="1"/>
  <c r="F108" i="10"/>
  <c r="H272" i="2" s="1"/>
  <c r="F107" i="10"/>
  <c r="H271" i="2" s="1"/>
  <c r="F106" i="10"/>
  <c r="H270" i="2" s="1"/>
  <c r="B112" i="10"/>
  <c r="H267" i="2" s="1"/>
  <c r="B111" i="10"/>
  <c r="H266" i="2" s="1"/>
  <c r="B110" i="10"/>
  <c r="H265" i="2" s="1"/>
  <c r="B109" i="10"/>
  <c r="H264" i="2" s="1"/>
  <c r="B108" i="10"/>
  <c r="H263" i="2" s="1"/>
  <c r="B107" i="10"/>
  <c r="H262" i="2" s="1"/>
  <c r="B106" i="10"/>
  <c r="H261" i="2" s="1"/>
  <c r="F103" i="10"/>
  <c r="H258" i="2" s="1"/>
  <c r="F102" i="10"/>
  <c r="H257" i="2" s="1"/>
  <c r="F101" i="10"/>
  <c r="H256" i="2" s="1"/>
  <c r="F100" i="10"/>
  <c r="H255" i="2" s="1"/>
  <c r="F99" i="10"/>
  <c r="H254" i="2" s="1"/>
  <c r="F98" i="10"/>
  <c r="H253" i="2" s="1"/>
  <c r="F97" i="10"/>
  <c r="H252" i="2" s="1"/>
  <c r="B103" i="10"/>
  <c r="H249" i="2" s="1"/>
  <c r="B102" i="10"/>
  <c r="H248" i="2" s="1"/>
  <c r="B101" i="10"/>
  <c r="H247" i="2" s="1"/>
  <c r="B100" i="10"/>
  <c r="H246" i="2" s="1"/>
  <c r="B99" i="10"/>
  <c r="H245" i="2" s="1"/>
  <c r="B98" i="10"/>
  <c r="H244" i="2" s="1"/>
  <c r="B97" i="10"/>
  <c r="H243" i="2" s="1"/>
  <c r="F94" i="10"/>
  <c r="H240" i="2" s="1"/>
  <c r="F93" i="10"/>
  <c r="H239" i="2" s="1"/>
  <c r="F92" i="10"/>
  <c r="H238" i="2" s="1"/>
  <c r="F91" i="10"/>
  <c r="H237" i="2" s="1"/>
  <c r="F90" i="10"/>
  <c r="H236" i="2" s="1"/>
  <c r="F89" i="10"/>
  <c r="H235" i="2" s="1"/>
  <c r="F88" i="10"/>
  <c r="H234" i="2" s="1"/>
  <c r="B94" i="10"/>
  <c r="H231" i="2" s="1"/>
  <c r="B93" i="10"/>
  <c r="H230" i="2" s="1"/>
  <c r="B92" i="10"/>
  <c r="H229" i="2" s="1"/>
  <c r="B91" i="10"/>
  <c r="H228" i="2" s="1"/>
  <c r="B90" i="10"/>
  <c r="H227" i="2" s="1"/>
  <c r="B89" i="10"/>
  <c r="H226" i="2" s="1"/>
  <c r="B88" i="10"/>
  <c r="H225" i="2" s="1"/>
  <c r="F85" i="10"/>
  <c r="H222" i="2" s="1"/>
  <c r="F84" i="10"/>
  <c r="H221" i="2" s="1"/>
  <c r="F83" i="10"/>
  <c r="H220" i="2" s="1"/>
  <c r="F82" i="10"/>
  <c r="H219" i="2" s="1"/>
  <c r="F81" i="10"/>
  <c r="H218" i="2" s="1"/>
  <c r="F80" i="10"/>
  <c r="H217" i="2" s="1"/>
  <c r="F79" i="10"/>
  <c r="H216" i="2" s="1"/>
  <c r="B85" i="10"/>
  <c r="H213" i="2" s="1"/>
  <c r="B84" i="10"/>
  <c r="H212" i="2" s="1"/>
  <c r="B83" i="10"/>
  <c r="H211" i="2" s="1"/>
  <c r="B82" i="10"/>
  <c r="H210" i="2" s="1"/>
  <c r="B81" i="10"/>
  <c r="H209" i="2" s="1"/>
  <c r="B80" i="10"/>
  <c r="H208" i="2" s="1"/>
  <c r="B79" i="10"/>
  <c r="H207" i="2" s="1"/>
  <c r="F76" i="10"/>
  <c r="H204" i="2" s="1"/>
  <c r="F75" i="10"/>
  <c r="H203" i="2" s="1"/>
  <c r="F74" i="10"/>
  <c r="H202" i="2" s="1"/>
  <c r="F73" i="10"/>
  <c r="H201" i="2" s="1"/>
  <c r="F72" i="10"/>
  <c r="H200" i="2" s="1"/>
  <c r="F71" i="10"/>
  <c r="H199" i="2" s="1"/>
  <c r="F70" i="10"/>
  <c r="H198" i="2" s="1"/>
  <c r="B76" i="10"/>
  <c r="H195" i="2" s="1"/>
  <c r="B75" i="10"/>
  <c r="H194" i="2" s="1"/>
  <c r="B74" i="10"/>
  <c r="H193" i="2" s="1"/>
  <c r="B73" i="10"/>
  <c r="H192" i="2" s="1"/>
  <c r="B72" i="10"/>
  <c r="H191" i="2" s="1"/>
  <c r="B71" i="10"/>
  <c r="H190" i="2" s="1"/>
  <c r="B70" i="10"/>
  <c r="H189" i="2" s="1"/>
  <c r="F67" i="10"/>
  <c r="H186" i="2" s="1"/>
  <c r="F66" i="10"/>
  <c r="H185" i="2" s="1"/>
  <c r="F65" i="10"/>
  <c r="H184" i="2" s="1"/>
  <c r="F64" i="10"/>
  <c r="H183" i="2" s="1"/>
  <c r="F63" i="10"/>
  <c r="H182" i="2" s="1"/>
  <c r="F62" i="10"/>
  <c r="H181" i="2" s="1"/>
  <c r="F61" i="10"/>
  <c r="H180" i="2" s="1"/>
  <c r="B67" i="10"/>
  <c r="H177" i="2" s="1"/>
  <c r="B66" i="10"/>
  <c r="H176" i="2" s="1"/>
  <c r="B65" i="10"/>
  <c r="H175" i="2" s="1"/>
  <c r="B64" i="10"/>
  <c r="H174" i="2" s="1"/>
  <c r="B63" i="10"/>
  <c r="H173" i="2" s="1"/>
  <c r="B62" i="10"/>
  <c r="H172" i="2" s="1"/>
  <c r="B61" i="10"/>
  <c r="H171" i="2" s="1"/>
  <c r="F58" i="10"/>
  <c r="H168" i="2" s="1"/>
  <c r="F57" i="10"/>
  <c r="H167" i="2" s="1"/>
  <c r="F56" i="10"/>
  <c r="H166" i="2" s="1"/>
  <c r="F55" i="10"/>
  <c r="H165" i="2" s="1"/>
  <c r="F54" i="10"/>
  <c r="H164" i="2" s="1"/>
  <c r="F53" i="10"/>
  <c r="H163" i="2" s="1"/>
  <c r="F52" i="10"/>
  <c r="H162" i="2" s="1"/>
  <c r="B58" i="10"/>
  <c r="H159" i="2" s="1"/>
  <c r="B57" i="10"/>
  <c r="H158" i="2" s="1"/>
  <c r="B56" i="10"/>
  <c r="H157" i="2" s="1"/>
  <c r="B55" i="10"/>
  <c r="H156" i="2" s="1"/>
  <c r="B54" i="10"/>
  <c r="H155" i="2" s="1"/>
  <c r="B53" i="10"/>
  <c r="H154" i="2" s="1"/>
  <c r="B52" i="10"/>
  <c r="H153" i="2" s="1"/>
  <c r="F49" i="10"/>
  <c r="H150" i="2" s="1"/>
  <c r="F48" i="10"/>
  <c r="H149" i="2" s="1"/>
  <c r="F47" i="10"/>
  <c r="H148" i="2" s="1"/>
  <c r="F46" i="10"/>
  <c r="H147" i="2" s="1"/>
  <c r="F45" i="10"/>
  <c r="H146" i="2" s="1"/>
  <c r="F44" i="10"/>
  <c r="H145" i="2" s="1"/>
  <c r="F43" i="10"/>
  <c r="H144" i="2" s="1"/>
  <c r="B49" i="10"/>
  <c r="H141" i="2" s="1"/>
  <c r="B48" i="10"/>
  <c r="H140" i="2" s="1"/>
  <c r="B47" i="10"/>
  <c r="H139" i="2" s="1"/>
  <c r="B46" i="10"/>
  <c r="H138" i="2" s="1"/>
  <c r="B45" i="10"/>
  <c r="H137" i="2" s="1"/>
  <c r="B44" i="10"/>
  <c r="H136" i="2" s="1"/>
  <c r="B43" i="10"/>
  <c r="H135" i="2" s="1"/>
  <c r="F40" i="10"/>
  <c r="H132" i="2" s="1"/>
  <c r="F39" i="10"/>
  <c r="H131" i="2" s="1"/>
  <c r="F38" i="10"/>
  <c r="H130" i="2" s="1"/>
  <c r="F37" i="10"/>
  <c r="H129" i="2" s="1"/>
  <c r="F36" i="10"/>
  <c r="H128" i="2" s="1"/>
  <c r="F35" i="10"/>
  <c r="H127" i="2" s="1"/>
  <c r="F34" i="10"/>
  <c r="H126" i="2" s="1"/>
  <c r="B40" i="10"/>
  <c r="H123" i="2" s="1"/>
  <c r="B39" i="10"/>
  <c r="H122" i="2" s="1"/>
  <c r="B38" i="10"/>
  <c r="H121" i="2" s="1"/>
  <c r="B37" i="10"/>
  <c r="H120" i="2" s="1"/>
  <c r="B36" i="10"/>
  <c r="H119" i="2" s="1"/>
  <c r="B35" i="10"/>
  <c r="H118" i="2" s="1"/>
  <c r="B34" i="10"/>
  <c r="H117" i="2" s="1"/>
  <c r="F31" i="10"/>
  <c r="H114" i="2" s="1"/>
  <c r="F30" i="10"/>
  <c r="H113" i="2" s="1"/>
  <c r="F29" i="10"/>
  <c r="H112" i="2" s="1"/>
  <c r="F28" i="10"/>
  <c r="H111" i="2" s="1"/>
  <c r="F27" i="10"/>
  <c r="H110" i="2" s="1"/>
  <c r="F26" i="10"/>
  <c r="H109" i="2" s="1"/>
  <c r="F25" i="10"/>
  <c r="H108" i="2" s="1"/>
  <c r="B26" i="10"/>
  <c r="H100" i="2" s="1"/>
  <c r="B27" i="10"/>
  <c r="H101" i="2" s="1"/>
  <c r="B28" i="10"/>
  <c r="H102" i="2" s="1"/>
  <c r="B31" i="10"/>
  <c r="H105" i="2" s="1"/>
  <c r="F41" i="10"/>
  <c r="I116" i="2" l="1"/>
  <c r="H116" i="2"/>
  <c r="H152" i="2"/>
  <c r="I152" i="2"/>
  <c r="I188" i="2"/>
  <c r="H188" i="2"/>
  <c r="I224" i="2"/>
  <c r="H224" i="2"/>
  <c r="I260" i="2"/>
  <c r="H260" i="2"/>
  <c r="I296" i="2"/>
  <c r="H296" i="2"/>
  <c r="I332" i="2"/>
  <c r="H332" i="2"/>
  <c r="H107" i="2"/>
  <c r="I107" i="2"/>
  <c r="H143" i="2"/>
  <c r="I143" i="2"/>
  <c r="H179" i="2"/>
  <c r="I179" i="2"/>
  <c r="H215" i="2"/>
  <c r="I215" i="2"/>
  <c r="H251" i="2"/>
  <c r="I251" i="2"/>
  <c r="H287" i="2"/>
  <c r="I287" i="2"/>
  <c r="H323" i="2"/>
  <c r="I323" i="2"/>
  <c r="H359" i="2"/>
  <c r="L360" i="2"/>
  <c r="I359" i="2"/>
  <c r="H134" i="2"/>
  <c r="I134" i="2"/>
  <c r="H170" i="2"/>
  <c r="I170" i="2"/>
  <c r="H206" i="2"/>
  <c r="I206" i="2"/>
  <c r="H242" i="2"/>
  <c r="I242" i="2"/>
  <c r="H278" i="2"/>
  <c r="I278" i="2"/>
  <c r="H314" i="2"/>
  <c r="I314" i="2"/>
  <c r="H350" i="2"/>
  <c r="I350" i="2"/>
  <c r="H125" i="2"/>
  <c r="I125" i="2"/>
  <c r="I161" i="2"/>
  <c r="H161" i="2"/>
  <c r="I197" i="2"/>
  <c r="H197" i="2"/>
  <c r="I233" i="2"/>
  <c r="H233" i="2"/>
  <c r="I269" i="2"/>
  <c r="H269" i="2"/>
  <c r="I305" i="2"/>
  <c r="H305" i="2"/>
  <c r="I341" i="2"/>
  <c r="H341" i="2"/>
  <c r="I98" i="2"/>
  <c r="H98" i="2"/>
  <c r="K17" i="12"/>
  <c r="N16" i="12" s="1"/>
  <c r="P36" i="5" s="1"/>
  <c r="T36" i="5" s="1"/>
  <c r="K37" i="12"/>
  <c r="N36" i="12" s="1"/>
  <c r="P56" i="5" s="1"/>
  <c r="U32" i="12"/>
  <c r="K32" i="12"/>
  <c r="N31" i="12" s="1"/>
  <c r="P51" i="5" s="1"/>
  <c r="U67" i="12"/>
  <c r="U57" i="12"/>
  <c r="U47" i="12"/>
  <c r="B38" i="2"/>
  <c r="P61" i="5"/>
  <c r="O64" i="5" s="1"/>
  <c r="P147" i="12"/>
  <c r="R146" i="12" s="1"/>
  <c r="P127" i="12"/>
  <c r="R126" i="12" s="1"/>
  <c r="D342" i="2"/>
  <c r="D345" i="2" s="1"/>
  <c r="D348" i="2" s="1"/>
  <c r="D315" i="2"/>
  <c r="D279" i="2"/>
  <c r="D297" i="2"/>
  <c r="D300" i="2" s="1"/>
  <c r="D303" i="2" s="1"/>
  <c r="C228" i="2"/>
  <c r="C114" i="2"/>
  <c r="C156" i="2"/>
  <c r="C174" i="2"/>
  <c r="C192" i="2"/>
  <c r="C210" i="2"/>
  <c r="C318" i="2"/>
  <c r="C354" i="2"/>
  <c r="C105" i="2"/>
  <c r="C112" i="2"/>
  <c r="C111" i="2"/>
  <c r="D108" i="2"/>
  <c r="D111" i="2" s="1"/>
  <c r="D114" i="2" s="1"/>
  <c r="C16" i="2"/>
  <c r="K12" i="12"/>
  <c r="N11" i="12" s="1"/>
  <c r="M13" i="12" s="1"/>
  <c r="U7" i="12"/>
  <c r="K27" i="12"/>
  <c r="N26" i="12" s="1"/>
  <c r="M29" i="12" s="1"/>
  <c r="K7" i="12"/>
  <c r="N6" i="12" s="1"/>
  <c r="P26" i="5" s="1"/>
  <c r="B340" i="2"/>
  <c r="C340" i="2" s="1"/>
  <c r="B358" i="2"/>
  <c r="C358" i="2" s="1"/>
  <c r="B313" i="2"/>
  <c r="C313" i="2" s="1"/>
  <c r="B366" i="2"/>
  <c r="C366" i="2" s="1"/>
  <c r="B295" i="2"/>
  <c r="C295" i="2" s="1"/>
  <c r="B267" i="2"/>
  <c r="C267" i="2" s="1"/>
  <c r="B249" i="2"/>
  <c r="C249" i="2" s="1"/>
  <c r="B277" i="2"/>
  <c r="C277" i="2" s="1"/>
  <c r="B258" i="2"/>
  <c r="C258" i="2" s="1"/>
  <c r="B240" i="2"/>
  <c r="C240" i="2" s="1"/>
  <c r="B169" i="2"/>
  <c r="C169" i="2" s="1"/>
  <c r="B178" i="2"/>
  <c r="C178" i="2" s="1"/>
  <c r="B187" i="2"/>
  <c r="C187" i="2" s="1"/>
  <c r="B196" i="2"/>
  <c r="C196" i="2" s="1"/>
  <c r="B205" i="2"/>
  <c r="C205" i="2" s="1"/>
  <c r="B214" i="2"/>
  <c r="C214" i="2" s="1"/>
  <c r="B223" i="2"/>
  <c r="C223" i="2" s="1"/>
  <c r="B232" i="2"/>
  <c r="C232" i="2" s="1"/>
  <c r="B124" i="2"/>
  <c r="C124" i="2" s="1"/>
  <c r="B133" i="2"/>
  <c r="C133" i="2" s="1"/>
  <c r="B142" i="2"/>
  <c r="C142" i="2" s="1"/>
  <c r="B151" i="2"/>
  <c r="C151" i="2" s="1"/>
  <c r="B160" i="2"/>
  <c r="C160" i="2" s="1"/>
  <c r="B106" i="2"/>
  <c r="B363" i="2"/>
  <c r="C363" i="2" s="1"/>
  <c r="B337" i="2"/>
  <c r="C337" i="2" s="1"/>
  <c r="B328" i="2"/>
  <c r="C328" i="2" s="1"/>
  <c r="B319" i="2"/>
  <c r="C319" i="2" s="1"/>
  <c r="B301" i="2"/>
  <c r="C301" i="2" s="1"/>
  <c r="B283" i="2"/>
  <c r="C283" i="2" s="1"/>
  <c r="B264" i="2"/>
  <c r="C264" i="2" s="1"/>
  <c r="B255" i="2"/>
  <c r="C255" i="2" s="1"/>
  <c r="B246" i="2"/>
  <c r="C246" i="2" s="1"/>
  <c r="B237" i="2"/>
  <c r="C237" i="2" s="1"/>
  <c r="B229" i="2"/>
  <c r="C229" i="2" s="1"/>
  <c r="B220" i="2"/>
  <c r="C220" i="2" s="1"/>
  <c r="B211" i="2"/>
  <c r="C211" i="2" s="1"/>
  <c r="B202" i="2"/>
  <c r="C202" i="2" s="1"/>
  <c r="B193" i="2"/>
  <c r="C193" i="2" s="1"/>
  <c r="B184" i="2"/>
  <c r="C184" i="2" s="1"/>
  <c r="B175" i="2"/>
  <c r="C175" i="2" s="1"/>
  <c r="B166" i="2"/>
  <c r="C166" i="2" s="1"/>
  <c r="B157" i="2"/>
  <c r="C157" i="2" s="1"/>
  <c r="B148" i="2"/>
  <c r="C148" i="2" s="1"/>
  <c r="B139" i="2"/>
  <c r="C139" i="2" s="1"/>
  <c r="B130" i="2"/>
  <c r="C130" i="2" s="1"/>
  <c r="B121" i="2"/>
  <c r="C121" i="2" s="1"/>
  <c r="B103" i="2"/>
  <c r="C108" i="2"/>
  <c r="B307" i="2"/>
  <c r="C307" i="2" s="1"/>
  <c r="C297" i="2"/>
  <c r="B271" i="2"/>
  <c r="C271" i="2" s="1"/>
  <c r="B252" i="2"/>
  <c r="B234" i="2"/>
  <c r="B325" i="2"/>
  <c r="C325" i="2" s="1"/>
  <c r="B360" i="2"/>
  <c r="C342" i="2"/>
  <c r="E342" i="2" s="1"/>
  <c r="B352" i="2"/>
  <c r="C352" i="2" s="1"/>
  <c r="C324" i="2"/>
  <c r="C288" i="2"/>
  <c r="A164" i="2"/>
  <c r="B100" i="2"/>
  <c r="D99" i="2" s="1"/>
  <c r="B118" i="2"/>
  <c r="C118" i="2" s="1"/>
  <c r="C117" i="2"/>
  <c r="B127" i="2"/>
  <c r="C127" i="2" s="1"/>
  <c r="C126" i="2"/>
  <c r="B136" i="2"/>
  <c r="C136" i="2" s="1"/>
  <c r="C135" i="2"/>
  <c r="B145" i="2"/>
  <c r="C145" i="2" s="1"/>
  <c r="C144" i="2"/>
  <c r="B154" i="2"/>
  <c r="C154" i="2" s="1"/>
  <c r="C153" i="2"/>
  <c r="B163" i="2"/>
  <c r="C163" i="2" s="1"/>
  <c r="C162" i="2"/>
  <c r="B172" i="2"/>
  <c r="C172" i="2" s="1"/>
  <c r="C171" i="2"/>
  <c r="B181" i="2"/>
  <c r="C181" i="2" s="1"/>
  <c r="C180" i="2"/>
  <c r="B190" i="2"/>
  <c r="C190" i="2" s="1"/>
  <c r="C189" i="2"/>
  <c r="B199" i="2"/>
  <c r="C199" i="2" s="1"/>
  <c r="C198" i="2"/>
  <c r="B208" i="2"/>
  <c r="C208" i="2" s="1"/>
  <c r="C207" i="2"/>
  <c r="B217" i="2"/>
  <c r="C217" i="2" s="1"/>
  <c r="C216" i="2"/>
  <c r="B334" i="2"/>
  <c r="C334" i="2" s="1"/>
  <c r="C333" i="2"/>
  <c r="C315" i="2"/>
  <c r="B289" i="2"/>
  <c r="C289" i="2" s="1"/>
  <c r="C279" i="2"/>
  <c r="B261" i="2"/>
  <c r="B243" i="2"/>
  <c r="B225" i="2"/>
  <c r="C306" i="2"/>
  <c r="C270" i="2"/>
  <c r="C102" i="2"/>
  <c r="C99" i="2"/>
  <c r="U12" i="12"/>
  <c r="K22" i="12"/>
  <c r="N21" i="12" s="1"/>
  <c r="P24" i="12" s="1"/>
  <c r="U52" i="12"/>
  <c r="U62" i="12"/>
  <c r="U72" i="12"/>
  <c r="M31" i="12"/>
  <c r="M36" i="12"/>
  <c r="M41" i="12"/>
  <c r="K47" i="12"/>
  <c r="N46" i="12" s="1"/>
  <c r="P49" i="12" s="1"/>
  <c r="K52" i="12"/>
  <c r="K57" i="12"/>
  <c r="N56" i="12" s="1"/>
  <c r="K62" i="12"/>
  <c r="K67" i="12"/>
  <c r="N66" i="12" s="1"/>
  <c r="P69" i="12" s="1"/>
  <c r="K72" i="12"/>
  <c r="K77" i="12"/>
  <c r="N76" i="12" s="1"/>
  <c r="M79" i="12" s="1"/>
  <c r="P107" i="12"/>
  <c r="R106" i="12" s="1"/>
  <c r="P117" i="12"/>
  <c r="R116" i="12" s="1"/>
  <c r="U127" i="12"/>
  <c r="K132" i="12"/>
  <c r="N131" i="12" s="1"/>
  <c r="P132" i="12"/>
  <c r="K87" i="12"/>
  <c r="P87" i="12"/>
  <c r="R86" i="12" s="1"/>
  <c r="K97" i="12"/>
  <c r="P97" i="12"/>
  <c r="R96" i="12" s="1"/>
  <c r="U107" i="12"/>
  <c r="K112" i="12"/>
  <c r="N111" i="12" s="1"/>
  <c r="P112" i="12"/>
  <c r="R111" i="12" s="1"/>
  <c r="P137" i="12"/>
  <c r="R136" i="12" s="1"/>
  <c r="U147" i="12"/>
  <c r="K152" i="12"/>
  <c r="N151" i="12" s="1"/>
  <c r="P152" i="12"/>
  <c r="R151" i="12" s="1"/>
  <c r="K82" i="12"/>
  <c r="N81" i="12" s="1"/>
  <c r="P82" i="12"/>
  <c r="R81" i="12" s="1"/>
  <c r="K92" i="12"/>
  <c r="P92" i="12"/>
  <c r="R91" i="12" s="1"/>
  <c r="K102" i="12"/>
  <c r="U117" i="12"/>
  <c r="K122" i="12"/>
  <c r="N121" i="12" s="1"/>
  <c r="P122" i="12"/>
  <c r="R121" i="12" s="1"/>
  <c r="U137" i="12"/>
  <c r="K142" i="12"/>
  <c r="N141" i="12" s="1"/>
  <c r="P142" i="12"/>
  <c r="R141" i="12" s="1"/>
  <c r="M56" i="12"/>
  <c r="R131" i="12"/>
  <c r="P7" i="12"/>
  <c r="S6" i="12" s="1"/>
  <c r="W26" i="5" s="1"/>
  <c r="P12" i="12"/>
  <c r="R11" i="12" s="1"/>
  <c r="P17" i="12"/>
  <c r="S16" i="12" s="1"/>
  <c r="W36" i="5" s="1"/>
  <c r="P22" i="12"/>
  <c r="R21" i="12" s="1"/>
  <c r="P27" i="12"/>
  <c r="R26" i="12" s="1"/>
  <c r="P32" i="12"/>
  <c r="S31" i="12" s="1"/>
  <c r="W51" i="5" s="1"/>
  <c r="P37" i="12"/>
  <c r="S36" i="12" s="1"/>
  <c r="W56" i="5" s="1"/>
  <c r="P42" i="12"/>
  <c r="R41" i="12" s="1"/>
  <c r="P47" i="12"/>
  <c r="P52" i="12"/>
  <c r="R51" i="12" s="1"/>
  <c r="P57" i="12"/>
  <c r="P62" i="12"/>
  <c r="P67" i="12"/>
  <c r="P72" i="12"/>
  <c r="P77" i="12"/>
  <c r="U82" i="12"/>
  <c r="U87" i="12"/>
  <c r="U92" i="12"/>
  <c r="U97" i="12"/>
  <c r="P102" i="12"/>
  <c r="U102" i="12"/>
  <c r="K107" i="12"/>
  <c r="N106" i="12" s="1"/>
  <c r="U112" i="12"/>
  <c r="K117" i="12"/>
  <c r="N116" i="12" s="1"/>
  <c r="U122" i="12"/>
  <c r="K127" i="12"/>
  <c r="N126" i="12" s="1"/>
  <c r="U132" i="12"/>
  <c r="K137" i="12"/>
  <c r="N136" i="12" s="1"/>
  <c r="U142" i="12"/>
  <c r="K147" i="12"/>
  <c r="N146" i="12" s="1"/>
  <c r="U152" i="12"/>
  <c r="M9" i="12"/>
  <c r="S11" i="12"/>
  <c r="W31" i="5" s="1"/>
  <c r="P29" i="12"/>
  <c r="P28" i="12"/>
  <c r="P39" i="12"/>
  <c r="P38" i="12"/>
  <c r="M38" i="12"/>
  <c r="M37" i="12"/>
  <c r="O37" i="12"/>
  <c r="O36" i="12"/>
  <c r="R36" i="12"/>
  <c r="P44" i="12"/>
  <c r="M44" i="12"/>
  <c r="P43" i="12"/>
  <c r="M43" i="12"/>
  <c r="M42" i="12"/>
  <c r="P41" i="12"/>
  <c r="O42" i="12"/>
  <c r="O41" i="12"/>
  <c r="M49" i="12"/>
  <c r="P46" i="12"/>
  <c r="M48" i="12"/>
  <c r="O46" i="12"/>
  <c r="R46" i="12"/>
  <c r="P59" i="12"/>
  <c r="M59" i="12"/>
  <c r="M57" i="12"/>
  <c r="P56" i="12"/>
  <c r="P58" i="12"/>
  <c r="M58" i="12"/>
  <c r="O57" i="12"/>
  <c r="O56" i="12"/>
  <c r="R56" i="12"/>
  <c r="R61" i="12"/>
  <c r="M69" i="12"/>
  <c r="P66" i="12"/>
  <c r="M68" i="12"/>
  <c r="O66" i="12"/>
  <c r="R66" i="12"/>
  <c r="R71" i="12"/>
  <c r="M77" i="12"/>
  <c r="O77" i="12"/>
  <c r="R76" i="12"/>
  <c r="R101" i="12"/>
  <c r="M111" i="12"/>
  <c r="M121" i="12"/>
  <c r="M141" i="12"/>
  <c r="M151" i="12"/>
  <c r="M116" i="12"/>
  <c r="M126" i="12"/>
  <c r="M136" i="12"/>
  <c r="K350" i="2" l="1"/>
  <c r="L350" i="2"/>
  <c r="N350" i="2"/>
  <c r="O350" i="2"/>
  <c r="L278" i="2"/>
  <c r="O278" i="2"/>
  <c r="K278" i="2"/>
  <c r="N278" i="2"/>
  <c r="N206" i="2"/>
  <c r="K206" i="2"/>
  <c r="L206" i="2"/>
  <c r="O206" i="2"/>
  <c r="K134" i="2"/>
  <c r="L296" i="2"/>
  <c r="N296" i="2"/>
  <c r="K296" i="2"/>
  <c r="O296" i="2"/>
  <c r="N224" i="2"/>
  <c r="K224" i="2"/>
  <c r="O224" i="2"/>
  <c r="L224" i="2"/>
  <c r="K341" i="2"/>
  <c r="O341" i="2"/>
  <c r="L341" i="2"/>
  <c r="N341" i="2"/>
  <c r="L269" i="2"/>
  <c r="N269" i="2"/>
  <c r="O269" i="2"/>
  <c r="K269" i="2"/>
  <c r="N197" i="2"/>
  <c r="K197" i="2"/>
  <c r="O197" i="2"/>
  <c r="L197" i="2"/>
  <c r="O323" i="2"/>
  <c r="L323" i="2"/>
  <c r="N323" i="2"/>
  <c r="K323" i="2"/>
  <c r="N251" i="2"/>
  <c r="K251" i="2"/>
  <c r="O251" i="2"/>
  <c r="L251" i="2"/>
  <c r="K179" i="2"/>
  <c r="O179" i="2"/>
  <c r="L179" i="2"/>
  <c r="N179" i="2"/>
  <c r="K107" i="2"/>
  <c r="L152" i="2"/>
  <c r="K152" i="2"/>
  <c r="O152" i="2"/>
  <c r="N152" i="2"/>
  <c r="K125" i="2"/>
  <c r="K314" i="2"/>
  <c r="L314" i="2"/>
  <c r="N314" i="2"/>
  <c r="O314" i="2"/>
  <c r="L242" i="2"/>
  <c r="N242" i="2"/>
  <c r="O242" i="2"/>
  <c r="K242" i="2"/>
  <c r="L170" i="2"/>
  <c r="N170" i="2"/>
  <c r="K170" i="2"/>
  <c r="O170" i="2"/>
  <c r="K332" i="2"/>
  <c r="O332" i="2"/>
  <c r="L332" i="2"/>
  <c r="N332" i="2"/>
  <c r="N260" i="2"/>
  <c r="L260" i="2"/>
  <c r="K260" i="2"/>
  <c r="O260" i="2"/>
  <c r="N188" i="2"/>
  <c r="K188" i="2"/>
  <c r="O188" i="2"/>
  <c r="L188" i="2"/>
  <c r="K116" i="2"/>
  <c r="L305" i="2"/>
  <c r="N305" i="2"/>
  <c r="K305" i="2"/>
  <c r="O305" i="2"/>
  <c r="N233" i="2"/>
  <c r="K233" i="2"/>
  <c r="O233" i="2"/>
  <c r="L233" i="2"/>
  <c r="K161" i="2"/>
  <c r="O161" i="2"/>
  <c r="L161" i="2"/>
  <c r="N161" i="2"/>
  <c r="K359" i="2"/>
  <c r="N359" i="2"/>
  <c r="O359" i="2"/>
  <c r="L287" i="2"/>
  <c r="K287" i="2"/>
  <c r="N287" i="2"/>
  <c r="O287" i="2"/>
  <c r="O215" i="2"/>
  <c r="K215" i="2"/>
  <c r="L215" i="2"/>
  <c r="N215" i="2"/>
  <c r="K143" i="2"/>
  <c r="O32" i="12"/>
  <c r="M32" i="12"/>
  <c r="P33" i="12"/>
  <c r="P34" i="12"/>
  <c r="O27" i="12"/>
  <c r="M27" i="12"/>
  <c r="O21" i="12"/>
  <c r="P21" i="12"/>
  <c r="P16" i="12"/>
  <c r="M16" i="12"/>
  <c r="M19" i="12"/>
  <c r="M17" i="12"/>
  <c r="P19" i="12"/>
  <c r="A119" i="2"/>
  <c r="O38" i="5"/>
  <c r="O16" i="12"/>
  <c r="M18" i="12"/>
  <c r="T38" i="5"/>
  <c r="O17" i="12"/>
  <c r="P18" i="12"/>
  <c r="Q36" i="5"/>
  <c r="R36" i="5" s="1"/>
  <c r="S36" i="5" s="1"/>
  <c r="O12" i="12"/>
  <c r="P13" i="12"/>
  <c r="P11" i="12"/>
  <c r="M14" i="12"/>
  <c r="M12" i="12"/>
  <c r="P14" i="12"/>
  <c r="O11" i="12"/>
  <c r="O37" i="5"/>
  <c r="O39" i="5"/>
  <c r="T39" i="5"/>
  <c r="M8" i="12"/>
  <c r="O6" i="12"/>
  <c r="P6" i="12"/>
  <c r="O59" i="5"/>
  <c r="T58" i="5"/>
  <c r="P36" i="12"/>
  <c r="M39" i="12"/>
  <c r="M146" i="12"/>
  <c r="R31" i="12"/>
  <c r="O31" i="12"/>
  <c r="P31" i="12"/>
  <c r="M33" i="12"/>
  <c r="M34" i="12"/>
  <c r="M23" i="12"/>
  <c r="M24" i="12"/>
  <c r="O22" i="12"/>
  <c r="M22" i="12"/>
  <c r="P23" i="12"/>
  <c r="M106" i="12"/>
  <c r="M11" i="12"/>
  <c r="M131" i="12"/>
  <c r="O67" i="12"/>
  <c r="P68" i="12"/>
  <c r="M67" i="12"/>
  <c r="T56" i="5"/>
  <c r="A155" i="2"/>
  <c r="O58" i="5"/>
  <c r="P78" i="12"/>
  <c r="P79" i="12"/>
  <c r="Q56" i="5"/>
  <c r="R56" i="5" s="1"/>
  <c r="S56" i="5" s="1"/>
  <c r="T51" i="5"/>
  <c r="O54" i="5"/>
  <c r="T54" i="5"/>
  <c r="A146" i="2"/>
  <c r="M66" i="12"/>
  <c r="O57" i="5"/>
  <c r="M21" i="12"/>
  <c r="M76" i="12"/>
  <c r="D318" i="2"/>
  <c r="D321" i="2" s="1"/>
  <c r="O76" i="12"/>
  <c r="M78" i="12"/>
  <c r="P76" i="12"/>
  <c r="O47" i="12"/>
  <c r="P48" i="12"/>
  <c r="M47" i="12"/>
  <c r="M46" i="12"/>
  <c r="O53" i="5"/>
  <c r="O52" i="5"/>
  <c r="T53" i="5"/>
  <c r="Q51" i="5"/>
  <c r="R51" i="5" s="1"/>
  <c r="S51" i="5" s="1"/>
  <c r="O26" i="12"/>
  <c r="P26" i="12"/>
  <c r="M28" i="12"/>
  <c r="M26" i="12"/>
  <c r="R16" i="12"/>
  <c r="S21" i="12"/>
  <c r="U21" i="12" s="1"/>
  <c r="T59" i="5"/>
  <c r="E297" i="2"/>
  <c r="E300" i="2" s="1"/>
  <c r="E303" i="2" s="1"/>
  <c r="E315" i="2"/>
  <c r="E318" i="2" s="1"/>
  <c r="E321" i="2" s="1"/>
  <c r="E279" i="2"/>
  <c r="O63" i="5"/>
  <c r="O62" i="5"/>
  <c r="T64" i="5"/>
  <c r="T61" i="5"/>
  <c r="Q61" i="5"/>
  <c r="R61" i="5" s="1"/>
  <c r="S61" i="5" s="1"/>
  <c r="T63" i="5"/>
  <c r="M4" i="12"/>
  <c r="O7" i="12"/>
  <c r="M7" i="12"/>
  <c r="P8" i="12"/>
  <c r="P9" i="12"/>
  <c r="M6" i="12"/>
  <c r="S41" i="12"/>
  <c r="W61" i="5" s="1"/>
  <c r="A167" i="2" s="1"/>
  <c r="P141" i="5"/>
  <c r="A308" i="2" s="1"/>
  <c r="S121" i="12"/>
  <c r="W141" i="5" s="1"/>
  <c r="M101" i="12"/>
  <c r="N101" i="12"/>
  <c r="P104" i="12" s="1"/>
  <c r="M91" i="12"/>
  <c r="N91" i="12"/>
  <c r="P93" i="12" s="1"/>
  <c r="P101" i="5"/>
  <c r="S81" i="12"/>
  <c r="W101" i="5" s="1"/>
  <c r="M96" i="12"/>
  <c r="N96" i="12"/>
  <c r="P99" i="12" s="1"/>
  <c r="M86" i="12"/>
  <c r="N86" i="12"/>
  <c r="P88" i="12" s="1"/>
  <c r="P151" i="5"/>
  <c r="A326" i="2" s="1"/>
  <c r="S131" i="12"/>
  <c r="W151" i="5" s="1"/>
  <c r="P96" i="5"/>
  <c r="A227" i="2" s="1"/>
  <c r="S76" i="12"/>
  <c r="W96" i="5" s="1"/>
  <c r="A230" i="2" s="1"/>
  <c r="P86" i="5"/>
  <c r="S66" i="12"/>
  <c r="W86" i="5" s="1"/>
  <c r="A212" i="2" s="1"/>
  <c r="P76" i="5"/>
  <c r="A191" i="2" s="1"/>
  <c r="S56" i="12"/>
  <c r="W76" i="5" s="1"/>
  <c r="P66" i="5"/>
  <c r="S46" i="12"/>
  <c r="W66" i="5" s="1"/>
  <c r="A176" i="2" s="1"/>
  <c r="P166" i="5"/>
  <c r="A353" i="2" s="1"/>
  <c r="S146" i="12"/>
  <c r="W166" i="5" s="1"/>
  <c r="P156" i="5"/>
  <c r="A335" i="2" s="1"/>
  <c r="S136" i="12"/>
  <c r="W156" i="5" s="1"/>
  <c r="P146" i="5"/>
  <c r="S126" i="12"/>
  <c r="W146" i="5" s="1"/>
  <c r="P136" i="5"/>
  <c r="A299" i="2" s="1"/>
  <c r="S116" i="12"/>
  <c r="W136" i="5" s="1"/>
  <c r="P126" i="5"/>
  <c r="A281" i="2" s="1"/>
  <c r="S106" i="12"/>
  <c r="W126" i="5" s="1"/>
  <c r="P161" i="5"/>
  <c r="A344" i="2" s="1"/>
  <c r="S141" i="12"/>
  <c r="W161" i="5" s="1"/>
  <c r="P171" i="5"/>
  <c r="S151" i="12"/>
  <c r="W171" i="5" s="1"/>
  <c r="P131" i="5"/>
  <c r="S111" i="12"/>
  <c r="W131" i="5" s="1"/>
  <c r="M71" i="12"/>
  <c r="N71" i="12"/>
  <c r="M61" i="12"/>
  <c r="N61" i="12"/>
  <c r="M51" i="12"/>
  <c r="N51" i="12"/>
  <c r="P46" i="5"/>
  <c r="A137" i="2" s="1"/>
  <c r="S26" i="12"/>
  <c r="W46" i="5" s="1"/>
  <c r="A140" i="2" s="1"/>
  <c r="P41" i="5"/>
  <c r="A128" i="2" s="1"/>
  <c r="P31" i="5"/>
  <c r="A110" i="2" s="1"/>
  <c r="O28" i="5"/>
  <c r="O27" i="5"/>
  <c r="O29" i="5"/>
  <c r="T29" i="5"/>
  <c r="O24" i="5"/>
  <c r="T26" i="5"/>
  <c r="Q26" i="5"/>
  <c r="R26" i="5" s="1"/>
  <c r="S26" i="5" s="1"/>
  <c r="T28" i="5"/>
  <c r="D282" i="2"/>
  <c r="D285" i="2" s="1"/>
  <c r="E345" i="2"/>
  <c r="E348" i="2" s="1"/>
  <c r="D360" i="2"/>
  <c r="D363" i="2" s="1"/>
  <c r="D366" i="2" s="1"/>
  <c r="A362" i="2"/>
  <c r="D351" i="2"/>
  <c r="D324" i="2"/>
  <c r="A317" i="2"/>
  <c r="D333" i="2"/>
  <c r="A290" i="2"/>
  <c r="D288" i="2"/>
  <c r="D306" i="2"/>
  <c r="D261" i="2"/>
  <c r="D264" i="2" s="1"/>
  <c r="D267" i="2" s="1"/>
  <c r="D270" i="2"/>
  <c r="D252" i="2"/>
  <c r="D255" i="2" s="1"/>
  <c r="D258" i="2" s="1"/>
  <c r="D243" i="2"/>
  <c r="D246" i="2" s="1"/>
  <c r="D249" i="2" s="1"/>
  <c r="D216" i="2"/>
  <c r="D207" i="2"/>
  <c r="A209" i="2"/>
  <c r="D225" i="2"/>
  <c r="D228" i="2" s="1"/>
  <c r="D231" i="2" s="1"/>
  <c r="D234" i="2"/>
  <c r="D237" i="2" s="1"/>
  <c r="D240" i="2" s="1"/>
  <c r="D180" i="2"/>
  <c r="D198" i="2"/>
  <c r="A194" i="2"/>
  <c r="A173" i="2"/>
  <c r="D189" i="2"/>
  <c r="D171" i="2"/>
  <c r="A158" i="2"/>
  <c r="A149" i="2"/>
  <c r="O49" i="5"/>
  <c r="Q46" i="5"/>
  <c r="R46" i="5" s="1"/>
  <c r="S46" i="5" s="1"/>
  <c r="D153" i="2"/>
  <c r="D162" i="2"/>
  <c r="D144" i="2"/>
  <c r="D135" i="2"/>
  <c r="V37" i="5"/>
  <c r="X36" i="5"/>
  <c r="Y36" i="5" s="1"/>
  <c r="Z36" i="5" s="1"/>
  <c r="V38" i="5"/>
  <c r="V39" i="5"/>
  <c r="AA36" i="5"/>
  <c r="AA38" i="5"/>
  <c r="AA39" i="5"/>
  <c r="AA34" i="5"/>
  <c r="X31" i="5"/>
  <c r="Y31" i="5" s="1"/>
  <c r="Z31" i="5" s="1"/>
  <c r="V34" i="5"/>
  <c r="V32" i="5"/>
  <c r="V33" i="5"/>
  <c r="AA31" i="5"/>
  <c r="AA33" i="5"/>
  <c r="AA29" i="5"/>
  <c r="X26" i="5"/>
  <c r="Y26" i="5" s="1"/>
  <c r="Z26" i="5" s="1"/>
  <c r="V27" i="5"/>
  <c r="V28" i="5"/>
  <c r="AA28" i="5"/>
  <c r="V24" i="5"/>
  <c r="V29" i="5"/>
  <c r="AA26" i="5"/>
  <c r="D126" i="2"/>
  <c r="E108" i="2"/>
  <c r="E111" i="2" s="1"/>
  <c r="E114" i="2" s="1"/>
  <c r="A122" i="2"/>
  <c r="A113" i="2"/>
  <c r="A104" i="2"/>
  <c r="A101" i="2"/>
  <c r="D102" i="2"/>
  <c r="C106" i="2"/>
  <c r="C103" i="2"/>
  <c r="D117" i="2"/>
  <c r="C100" i="2"/>
  <c r="E99" i="2" s="1"/>
  <c r="R6" i="12"/>
  <c r="C225" i="2"/>
  <c r="C243" i="2"/>
  <c r="C261" i="2"/>
  <c r="C360" i="2"/>
  <c r="C234" i="2"/>
  <c r="C252" i="2"/>
  <c r="U153" i="12"/>
  <c r="U128" i="12"/>
  <c r="U118" i="12"/>
  <c r="M81" i="12"/>
  <c r="P96" i="12"/>
  <c r="P149" i="12"/>
  <c r="M149" i="12"/>
  <c r="M147" i="12"/>
  <c r="P146" i="12"/>
  <c r="P148" i="12"/>
  <c r="M148" i="12"/>
  <c r="O147" i="12"/>
  <c r="O146" i="12"/>
  <c r="P139" i="12"/>
  <c r="M139" i="12"/>
  <c r="M137" i="12"/>
  <c r="P136" i="12"/>
  <c r="P138" i="12"/>
  <c r="M138" i="12"/>
  <c r="O137" i="12"/>
  <c r="O136" i="12"/>
  <c r="P129" i="12"/>
  <c r="M129" i="12"/>
  <c r="M127" i="12"/>
  <c r="P126" i="12"/>
  <c r="P128" i="12"/>
  <c r="M128" i="12"/>
  <c r="O127" i="12"/>
  <c r="O126" i="12"/>
  <c r="P119" i="12"/>
  <c r="M119" i="12"/>
  <c r="M117" i="12"/>
  <c r="P116" i="12"/>
  <c r="P118" i="12"/>
  <c r="M118" i="12"/>
  <c r="O117" i="12"/>
  <c r="O116" i="12"/>
  <c r="P109" i="12"/>
  <c r="M109" i="12"/>
  <c r="M107" i="12"/>
  <c r="P106" i="12"/>
  <c r="P108" i="12"/>
  <c r="M108" i="12"/>
  <c r="O107" i="12"/>
  <c r="O106" i="12"/>
  <c r="M93" i="12"/>
  <c r="O91" i="12"/>
  <c r="P94" i="12"/>
  <c r="P91" i="12"/>
  <c r="M88" i="12"/>
  <c r="O86" i="12"/>
  <c r="P89" i="12"/>
  <c r="P86" i="12"/>
  <c r="P154" i="12"/>
  <c r="M154" i="12"/>
  <c r="M152" i="12"/>
  <c r="P151" i="12"/>
  <c r="P153" i="12"/>
  <c r="M153" i="12"/>
  <c r="O152" i="12"/>
  <c r="O151" i="12"/>
  <c r="P144" i="12"/>
  <c r="M144" i="12"/>
  <c r="M142" i="12"/>
  <c r="P141" i="12"/>
  <c r="P143" i="12"/>
  <c r="M143" i="12"/>
  <c r="O142" i="12"/>
  <c r="O141" i="12"/>
  <c r="P134" i="12"/>
  <c r="M134" i="12"/>
  <c r="M132" i="12"/>
  <c r="P131" i="12"/>
  <c r="P133" i="12"/>
  <c r="M133" i="12"/>
  <c r="O132" i="12"/>
  <c r="O131" i="12"/>
  <c r="P124" i="12"/>
  <c r="M124" i="12"/>
  <c r="M122" i="12"/>
  <c r="P121" i="12"/>
  <c r="P123" i="12"/>
  <c r="M123" i="12"/>
  <c r="O122" i="12"/>
  <c r="O121" i="12"/>
  <c r="P114" i="12"/>
  <c r="M114" i="12"/>
  <c r="M112" i="12"/>
  <c r="P111" i="12"/>
  <c r="P113" i="12"/>
  <c r="M113" i="12"/>
  <c r="O112" i="12"/>
  <c r="O111" i="12"/>
  <c r="U78" i="12"/>
  <c r="R78" i="12"/>
  <c r="T77" i="12"/>
  <c r="U76" i="12"/>
  <c r="U79" i="12"/>
  <c r="R79" i="12"/>
  <c r="R77" i="12"/>
  <c r="T76" i="12"/>
  <c r="U68" i="12"/>
  <c r="R68" i="12"/>
  <c r="T67" i="12"/>
  <c r="U66" i="12"/>
  <c r="U69" i="12"/>
  <c r="R69" i="12"/>
  <c r="R67" i="12"/>
  <c r="T66" i="12"/>
  <c r="U58" i="12"/>
  <c r="R58" i="12"/>
  <c r="T57" i="12"/>
  <c r="U56" i="12"/>
  <c r="U59" i="12"/>
  <c r="R59" i="12"/>
  <c r="R57" i="12"/>
  <c r="T56" i="12"/>
  <c r="R48" i="12"/>
  <c r="U46" i="12"/>
  <c r="R49" i="12"/>
  <c r="T46" i="12"/>
  <c r="T42" i="12"/>
  <c r="U41" i="12"/>
  <c r="U44" i="12"/>
  <c r="R44" i="12"/>
  <c r="U43" i="12"/>
  <c r="R43" i="12"/>
  <c r="R42" i="12"/>
  <c r="T41" i="12"/>
  <c r="T37" i="12"/>
  <c r="U36" i="12"/>
  <c r="U39" i="12"/>
  <c r="R39" i="12"/>
  <c r="U38" i="12"/>
  <c r="R38" i="12"/>
  <c r="R37" i="12"/>
  <c r="T36" i="12"/>
  <c r="T32" i="12"/>
  <c r="U31" i="12"/>
  <c r="U34" i="12"/>
  <c r="R34" i="12"/>
  <c r="U33" i="12"/>
  <c r="R33" i="12"/>
  <c r="R32" i="12"/>
  <c r="T31" i="12"/>
  <c r="T17" i="12"/>
  <c r="U16" i="12"/>
  <c r="U19" i="12"/>
  <c r="R19" i="12"/>
  <c r="U18" i="12"/>
  <c r="R18" i="12"/>
  <c r="R17" i="12"/>
  <c r="T16" i="12"/>
  <c r="T12" i="12"/>
  <c r="U11" i="12"/>
  <c r="U14" i="12"/>
  <c r="R14" i="12"/>
  <c r="U13" i="12"/>
  <c r="R13" i="12"/>
  <c r="R12" i="12"/>
  <c r="T11" i="12"/>
  <c r="T7" i="12"/>
  <c r="U6" i="12"/>
  <c r="R4" i="12"/>
  <c r="U9" i="12"/>
  <c r="R9" i="12"/>
  <c r="U8" i="12"/>
  <c r="R8" i="12"/>
  <c r="R7" i="12"/>
  <c r="T6" i="12"/>
  <c r="U26" i="12" l="1"/>
  <c r="O48" i="5"/>
  <c r="O47" i="5"/>
  <c r="U23" i="12"/>
  <c r="T22" i="12"/>
  <c r="W41" i="5"/>
  <c r="A131" i="2" s="1"/>
  <c r="T21" i="12"/>
  <c r="R24" i="12"/>
  <c r="R22" i="12"/>
  <c r="U24" i="12"/>
  <c r="R23" i="12"/>
  <c r="T49" i="5"/>
  <c r="R29" i="12"/>
  <c r="T26" i="12"/>
  <c r="R28" i="12"/>
  <c r="M89" i="12"/>
  <c r="M87" i="12"/>
  <c r="O87" i="12"/>
  <c r="M94" i="12"/>
  <c r="M92" i="12"/>
  <c r="O92" i="12"/>
  <c r="U108" i="12"/>
  <c r="T46" i="5"/>
  <c r="T48" i="5"/>
  <c r="U123" i="12"/>
  <c r="U138" i="12"/>
  <c r="R47" i="12"/>
  <c r="U49" i="12"/>
  <c r="T47" i="12"/>
  <c r="U48" i="12"/>
  <c r="R27" i="12"/>
  <c r="U28" i="12"/>
  <c r="U29" i="12"/>
  <c r="T27" i="12"/>
  <c r="U133" i="12"/>
  <c r="U143" i="12"/>
  <c r="U148" i="12"/>
  <c r="U113" i="12"/>
  <c r="E282" i="2"/>
  <c r="E285" i="2" s="1"/>
  <c r="E360" i="2"/>
  <c r="E363" i="2" s="1"/>
  <c r="E366" i="2" s="1"/>
  <c r="E234" i="2"/>
  <c r="E237" i="2" s="1"/>
  <c r="E240" i="2" s="1"/>
  <c r="E243" i="2"/>
  <c r="E246" i="2" s="1"/>
  <c r="E249" i="2" s="1"/>
  <c r="E225" i="2"/>
  <c r="E228" i="2" s="1"/>
  <c r="E231" i="2" s="1"/>
  <c r="E252" i="2"/>
  <c r="E255" i="2" s="1"/>
  <c r="E258" i="2" s="1"/>
  <c r="E261" i="2"/>
  <c r="E264" i="2" s="1"/>
  <c r="E267" i="2" s="1"/>
  <c r="P71" i="5"/>
  <c r="A182" i="2" s="1"/>
  <c r="S51" i="12"/>
  <c r="M54" i="12"/>
  <c r="P51" i="12"/>
  <c r="M53" i="12"/>
  <c r="O51" i="12"/>
  <c r="P54" i="12"/>
  <c r="M52" i="12"/>
  <c r="P53" i="12"/>
  <c r="O52" i="12"/>
  <c r="P81" i="5"/>
  <c r="A200" i="2" s="1"/>
  <c r="S61" i="12"/>
  <c r="M64" i="12"/>
  <c r="P61" i="12"/>
  <c r="M63" i="12"/>
  <c r="O61" i="12"/>
  <c r="P64" i="12"/>
  <c r="M62" i="12"/>
  <c r="P63" i="12"/>
  <c r="O62" i="12"/>
  <c r="P91" i="5"/>
  <c r="A218" i="2" s="1"/>
  <c r="S71" i="12"/>
  <c r="M74" i="12"/>
  <c r="P71" i="12"/>
  <c r="M73" i="12"/>
  <c r="O71" i="12"/>
  <c r="P74" i="12"/>
  <c r="M72" i="12"/>
  <c r="P73" i="12"/>
  <c r="O72" i="12"/>
  <c r="P106" i="5"/>
  <c r="A245" i="2" s="1"/>
  <c r="S86" i="12"/>
  <c r="P116" i="5"/>
  <c r="A263" i="2" s="1"/>
  <c r="S96" i="12"/>
  <c r="P98" i="12"/>
  <c r="O97" i="12"/>
  <c r="M99" i="12"/>
  <c r="M98" i="12"/>
  <c r="O96" i="12"/>
  <c r="M97" i="12"/>
  <c r="P111" i="5"/>
  <c r="A254" i="2" s="1"/>
  <c r="S91" i="12"/>
  <c r="P121" i="5"/>
  <c r="A272" i="2" s="1"/>
  <c r="S101" i="12"/>
  <c r="P101" i="12"/>
  <c r="P103" i="12"/>
  <c r="O102" i="12"/>
  <c r="M102" i="12"/>
  <c r="M104" i="12"/>
  <c r="M103" i="12"/>
  <c r="O101" i="12"/>
  <c r="O44" i="5"/>
  <c r="O42" i="5"/>
  <c r="O43" i="5"/>
  <c r="Q41" i="5"/>
  <c r="R41" i="5" s="1"/>
  <c r="S41" i="5" s="1"/>
  <c r="T41" i="5"/>
  <c r="T43" i="5"/>
  <c r="T44" i="5"/>
  <c r="V42" i="5"/>
  <c r="T34" i="5"/>
  <c r="Q31" i="5"/>
  <c r="R31" i="5" s="1"/>
  <c r="S31" i="5" s="1"/>
  <c r="O32" i="5"/>
  <c r="O33" i="5"/>
  <c r="O34" i="5"/>
  <c r="T33" i="5"/>
  <c r="T31" i="5"/>
  <c r="V174" i="5"/>
  <c r="V172" i="5"/>
  <c r="AA171" i="5"/>
  <c r="AA173" i="5"/>
  <c r="AA174" i="5"/>
  <c r="X171" i="5"/>
  <c r="Y171" i="5" s="1"/>
  <c r="Z171" i="5" s="1"/>
  <c r="V173" i="5"/>
  <c r="E351" i="2"/>
  <c r="D354" i="2"/>
  <c r="D357" i="2" s="1"/>
  <c r="O169" i="5"/>
  <c r="T168" i="5"/>
  <c r="T169" i="5"/>
  <c r="Q166" i="5"/>
  <c r="R166" i="5" s="1"/>
  <c r="S166" i="5" s="1"/>
  <c r="O168" i="5"/>
  <c r="T166" i="5"/>
  <c r="O167" i="5"/>
  <c r="V169" i="5"/>
  <c r="AA166" i="5"/>
  <c r="AA168" i="5"/>
  <c r="AA169" i="5"/>
  <c r="V167" i="5"/>
  <c r="X166" i="5"/>
  <c r="Y166" i="5" s="1"/>
  <c r="Z166" i="5" s="1"/>
  <c r="V168" i="5"/>
  <c r="O174" i="5"/>
  <c r="T171" i="5"/>
  <c r="Q171" i="5"/>
  <c r="R171" i="5" s="1"/>
  <c r="S171" i="5" s="1"/>
  <c r="O173" i="5"/>
  <c r="T173" i="5"/>
  <c r="T174" i="5"/>
  <c r="O172" i="5"/>
  <c r="V149" i="5"/>
  <c r="X146" i="5"/>
  <c r="Y146" i="5" s="1"/>
  <c r="Z146" i="5" s="1"/>
  <c r="V148" i="5"/>
  <c r="AA146" i="5"/>
  <c r="AA148" i="5"/>
  <c r="AA149" i="5"/>
  <c r="V147" i="5"/>
  <c r="V159" i="5"/>
  <c r="AA156" i="5"/>
  <c r="AA158" i="5"/>
  <c r="AA159" i="5"/>
  <c r="X156" i="5"/>
  <c r="Y156" i="5" s="1"/>
  <c r="Z156" i="5" s="1"/>
  <c r="V158" i="5"/>
  <c r="V157" i="5"/>
  <c r="O149" i="5"/>
  <c r="T146" i="5"/>
  <c r="O147" i="5"/>
  <c r="T148" i="5"/>
  <c r="T149" i="5"/>
  <c r="Q146" i="5"/>
  <c r="R146" i="5" s="1"/>
  <c r="S146" i="5" s="1"/>
  <c r="O148" i="5"/>
  <c r="O159" i="5"/>
  <c r="T158" i="5"/>
  <c r="T159" i="5"/>
  <c r="O157" i="5"/>
  <c r="T156" i="5"/>
  <c r="Q156" i="5"/>
  <c r="R156" i="5" s="1"/>
  <c r="S156" i="5" s="1"/>
  <c r="O158" i="5"/>
  <c r="D327" i="2"/>
  <c r="D330" i="2" s="1"/>
  <c r="E324" i="2"/>
  <c r="V154" i="5"/>
  <c r="X151" i="5"/>
  <c r="Y151" i="5" s="1"/>
  <c r="Z151" i="5" s="1"/>
  <c r="V153" i="5"/>
  <c r="AA151" i="5"/>
  <c r="AA153" i="5"/>
  <c r="AA154" i="5"/>
  <c r="V152" i="5"/>
  <c r="V164" i="5"/>
  <c r="X161" i="5"/>
  <c r="Y161" i="5" s="1"/>
  <c r="Z161" i="5" s="1"/>
  <c r="V163" i="5"/>
  <c r="AA161" i="5"/>
  <c r="AA163" i="5"/>
  <c r="AA164" i="5"/>
  <c r="V162" i="5"/>
  <c r="E333" i="2"/>
  <c r="D336" i="2"/>
  <c r="D339" i="2" s="1"/>
  <c r="O154" i="5"/>
  <c r="T151" i="5"/>
  <c r="O152" i="5"/>
  <c r="T153" i="5"/>
  <c r="T154" i="5"/>
  <c r="Q151" i="5"/>
  <c r="R151" i="5" s="1"/>
  <c r="S151" i="5" s="1"/>
  <c r="O153" i="5"/>
  <c r="O164" i="5"/>
  <c r="T161" i="5"/>
  <c r="O162" i="5"/>
  <c r="T163" i="5"/>
  <c r="T164" i="5"/>
  <c r="Q161" i="5"/>
  <c r="R161" i="5" s="1"/>
  <c r="S161" i="5" s="1"/>
  <c r="O163" i="5"/>
  <c r="V129" i="5"/>
  <c r="AA126" i="5"/>
  <c r="AA128" i="5"/>
  <c r="AA129" i="5"/>
  <c r="X126" i="5"/>
  <c r="Y126" i="5" s="1"/>
  <c r="Z126" i="5" s="1"/>
  <c r="V128" i="5"/>
  <c r="V127" i="5"/>
  <c r="V139" i="5"/>
  <c r="X136" i="5"/>
  <c r="Y136" i="5" s="1"/>
  <c r="Z136" i="5" s="1"/>
  <c r="V138" i="5"/>
  <c r="AA136" i="5"/>
  <c r="AA138" i="5"/>
  <c r="AA139" i="5"/>
  <c r="V137" i="5"/>
  <c r="E288" i="2"/>
  <c r="D291" i="2"/>
  <c r="D294" i="2" s="1"/>
  <c r="V134" i="5"/>
  <c r="X131" i="5"/>
  <c r="Y131" i="5" s="1"/>
  <c r="Z131" i="5" s="1"/>
  <c r="V133" i="5"/>
  <c r="AA131" i="5"/>
  <c r="AA133" i="5"/>
  <c r="AA134" i="5"/>
  <c r="V132" i="5"/>
  <c r="V144" i="5"/>
  <c r="AA141" i="5"/>
  <c r="AA143" i="5"/>
  <c r="AA144" i="5"/>
  <c r="X141" i="5"/>
  <c r="Y141" i="5" s="1"/>
  <c r="Z141" i="5" s="1"/>
  <c r="V143" i="5"/>
  <c r="V142" i="5"/>
  <c r="O129" i="5"/>
  <c r="T128" i="5"/>
  <c r="T129" i="5"/>
  <c r="O127" i="5"/>
  <c r="T126" i="5"/>
  <c r="Q126" i="5"/>
  <c r="R126" i="5" s="1"/>
  <c r="S126" i="5" s="1"/>
  <c r="O128" i="5"/>
  <c r="O139" i="5"/>
  <c r="T136" i="5"/>
  <c r="O137" i="5"/>
  <c r="T138" i="5"/>
  <c r="T139" i="5"/>
  <c r="Q136" i="5"/>
  <c r="R136" i="5" s="1"/>
  <c r="S136" i="5" s="1"/>
  <c r="O138" i="5"/>
  <c r="E306" i="2"/>
  <c r="D309" i="2"/>
  <c r="D312" i="2" s="1"/>
  <c r="O134" i="5"/>
  <c r="T131" i="5"/>
  <c r="O132" i="5"/>
  <c r="T133" i="5"/>
  <c r="T134" i="5"/>
  <c r="Q131" i="5"/>
  <c r="R131" i="5" s="1"/>
  <c r="S131" i="5" s="1"/>
  <c r="O133" i="5"/>
  <c r="O144" i="5"/>
  <c r="T143" i="5"/>
  <c r="T144" i="5"/>
  <c r="O142" i="5"/>
  <c r="T141" i="5"/>
  <c r="Q141" i="5"/>
  <c r="R141" i="5" s="1"/>
  <c r="S141" i="5" s="1"/>
  <c r="O143" i="5"/>
  <c r="O119" i="5"/>
  <c r="Q121" i="5"/>
  <c r="R121" i="5" s="1"/>
  <c r="S121" i="5" s="1"/>
  <c r="T121" i="5"/>
  <c r="O112" i="5"/>
  <c r="D273" i="2"/>
  <c r="D276" i="2" s="1"/>
  <c r="E270" i="2"/>
  <c r="Q106" i="5"/>
  <c r="R106" i="5" s="1"/>
  <c r="S106" i="5" s="1"/>
  <c r="O89" i="5"/>
  <c r="T86" i="5"/>
  <c r="O87" i="5"/>
  <c r="T88" i="5"/>
  <c r="T89" i="5"/>
  <c r="Q86" i="5"/>
  <c r="R86" i="5" s="1"/>
  <c r="S86" i="5" s="1"/>
  <c r="O88" i="5"/>
  <c r="T91" i="5"/>
  <c r="V89" i="5"/>
  <c r="X86" i="5"/>
  <c r="Y86" i="5" s="1"/>
  <c r="Z86" i="5" s="1"/>
  <c r="V88" i="5"/>
  <c r="AA86" i="5"/>
  <c r="AA88" i="5"/>
  <c r="AA89" i="5"/>
  <c r="V87" i="5"/>
  <c r="V99" i="5"/>
  <c r="AA96" i="5"/>
  <c r="AA98" i="5"/>
  <c r="AA99" i="5"/>
  <c r="X96" i="5"/>
  <c r="Y96" i="5" s="1"/>
  <c r="Z96" i="5" s="1"/>
  <c r="V98" i="5"/>
  <c r="V97" i="5"/>
  <c r="D210" i="2"/>
  <c r="D213" i="2" s="1"/>
  <c r="E207" i="2"/>
  <c r="O104" i="5"/>
  <c r="T101" i="5"/>
  <c r="O102" i="5"/>
  <c r="T103" i="5"/>
  <c r="T104" i="5"/>
  <c r="Q101" i="5"/>
  <c r="R101" i="5" s="1"/>
  <c r="S101" i="5" s="1"/>
  <c r="O103" i="5"/>
  <c r="E216" i="2"/>
  <c r="D219" i="2"/>
  <c r="D222" i="2" s="1"/>
  <c r="O99" i="5"/>
  <c r="T98" i="5"/>
  <c r="T99" i="5"/>
  <c r="O97" i="5"/>
  <c r="T96" i="5"/>
  <c r="Q96" i="5"/>
  <c r="R96" i="5" s="1"/>
  <c r="S96" i="5" s="1"/>
  <c r="O98" i="5"/>
  <c r="E189" i="2"/>
  <c r="D192" i="2"/>
  <c r="D195" i="2" s="1"/>
  <c r="E180" i="2"/>
  <c r="D183" i="2"/>
  <c r="D186" i="2" s="1"/>
  <c r="D174" i="2"/>
  <c r="D177" i="2" s="1"/>
  <c r="E171" i="2"/>
  <c r="O69" i="5"/>
  <c r="T68" i="5"/>
  <c r="T69" i="5"/>
  <c r="O67" i="5"/>
  <c r="T66" i="5"/>
  <c r="Q66" i="5"/>
  <c r="R66" i="5" s="1"/>
  <c r="S66" i="5" s="1"/>
  <c r="O68" i="5"/>
  <c r="T73" i="5"/>
  <c r="V69" i="5"/>
  <c r="AA66" i="5"/>
  <c r="AA68" i="5"/>
  <c r="AA69" i="5"/>
  <c r="X66" i="5"/>
  <c r="Y66" i="5" s="1"/>
  <c r="Z66" i="5" s="1"/>
  <c r="V68" i="5"/>
  <c r="V67" i="5"/>
  <c r="V79" i="5"/>
  <c r="X76" i="5"/>
  <c r="Y76" i="5" s="1"/>
  <c r="Z76" i="5" s="1"/>
  <c r="V78" i="5"/>
  <c r="AA76" i="5"/>
  <c r="AA78" i="5"/>
  <c r="AA79" i="5"/>
  <c r="V77" i="5"/>
  <c r="E198" i="2"/>
  <c r="D201" i="2"/>
  <c r="D204" i="2" s="1"/>
  <c r="O79" i="5"/>
  <c r="T76" i="5"/>
  <c r="O77" i="5"/>
  <c r="T78" i="5"/>
  <c r="T79" i="5"/>
  <c r="Q76" i="5"/>
  <c r="R76" i="5" s="1"/>
  <c r="S76" i="5" s="1"/>
  <c r="O78" i="5"/>
  <c r="T83" i="5"/>
  <c r="O82" i="5"/>
  <c r="Q81" i="5"/>
  <c r="R81" i="5" s="1"/>
  <c r="S81" i="5" s="1"/>
  <c r="E135" i="2"/>
  <c r="D138" i="2"/>
  <c r="D141" i="2" s="1"/>
  <c r="V49" i="5"/>
  <c r="AA46" i="5"/>
  <c r="AA48" i="5"/>
  <c r="AA49" i="5"/>
  <c r="V47" i="5"/>
  <c r="X46" i="5"/>
  <c r="Y46" i="5" s="1"/>
  <c r="Z46" i="5" s="1"/>
  <c r="V48" i="5"/>
  <c r="E162" i="2"/>
  <c r="D165" i="2"/>
  <c r="D168" i="2" s="1"/>
  <c r="E144" i="2"/>
  <c r="D147" i="2"/>
  <c r="D150" i="2" s="1"/>
  <c r="E153" i="2"/>
  <c r="D156" i="2"/>
  <c r="D159" i="2" s="1"/>
  <c r="V54" i="5"/>
  <c r="V52" i="5"/>
  <c r="AA51" i="5"/>
  <c r="AA53" i="5"/>
  <c r="AA54" i="5"/>
  <c r="X51" i="5"/>
  <c r="Y51" i="5" s="1"/>
  <c r="Z51" i="5" s="1"/>
  <c r="V53" i="5"/>
  <c r="V59" i="5"/>
  <c r="AA56" i="5"/>
  <c r="AA58" i="5"/>
  <c r="AA59" i="5"/>
  <c r="V57" i="5"/>
  <c r="X56" i="5"/>
  <c r="Y56" i="5" s="1"/>
  <c r="Z56" i="5" s="1"/>
  <c r="V58" i="5"/>
  <c r="V64" i="5"/>
  <c r="AA61" i="5"/>
  <c r="AA63" i="5"/>
  <c r="AA64" i="5"/>
  <c r="V62" i="5"/>
  <c r="X61" i="5"/>
  <c r="Y61" i="5" s="1"/>
  <c r="Z61" i="5" s="1"/>
  <c r="V63" i="5"/>
  <c r="E126" i="2"/>
  <c r="D129" i="2"/>
  <c r="D132" i="2" s="1"/>
  <c r="D120" i="2"/>
  <c r="D123" i="2" s="1"/>
  <c r="E117" i="2"/>
  <c r="E102" i="2"/>
  <c r="D105" i="2"/>
  <c r="A365" i="2"/>
  <c r="T151" i="12"/>
  <c r="R154" i="12"/>
  <c r="U151" i="12"/>
  <c r="R153" i="12"/>
  <c r="R152" i="12"/>
  <c r="U154" i="12"/>
  <c r="T152" i="12"/>
  <c r="A356" i="2"/>
  <c r="R147" i="12"/>
  <c r="U149" i="12"/>
  <c r="T147" i="12"/>
  <c r="T146" i="12"/>
  <c r="R149" i="12"/>
  <c r="U146" i="12"/>
  <c r="R148" i="12"/>
  <c r="A347" i="2"/>
  <c r="T141" i="12"/>
  <c r="R144" i="12"/>
  <c r="U141" i="12"/>
  <c r="R143" i="12"/>
  <c r="R142" i="12"/>
  <c r="U144" i="12"/>
  <c r="T142" i="12"/>
  <c r="A338" i="2"/>
  <c r="R137" i="12"/>
  <c r="U139" i="12"/>
  <c r="T137" i="12"/>
  <c r="T136" i="12"/>
  <c r="R139" i="12"/>
  <c r="U136" i="12"/>
  <c r="R138" i="12"/>
  <c r="A329" i="2"/>
  <c r="T131" i="12"/>
  <c r="R134" i="12"/>
  <c r="U131" i="12"/>
  <c r="R133" i="12"/>
  <c r="R132" i="12"/>
  <c r="U134" i="12"/>
  <c r="T132" i="12"/>
  <c r="A320" i="2"/>
  <c r="R127" i="12"/>
  <c r="U129" i="12"/>
  <c r="T127" i="12"/>
  <c r="T126" i="12"/>
  <c r="R129" i="12"/>
  <c r="U126" i="12"/>
  <c r="R128" i="12"/>
  <c r="A311" i="2"/>
  <c r="T121" i="12"/>
  <c r="R124" i="12"/>
  <c r="U121" i="12"/>
  <c r="R123" i="12"/>
  <c r="R122" i="12"/>
  <c r="U124" i="12"/>
  <c r="T122" i="12"/>
  <c r="A302" i="2"/>
  <c r="R117" i="12"/>
  <c r="U119" i="12"/>
  <c r="T116" i="12"/>
  <c r="R119" i="12"/>
  <c r="U116" i="12"/>
  <c r="R118" i="12"/>
  <c r="T117" i="12"/>
  <c r="A293" i="2"/>
  <c r="T111" i="12"/>
  <c r="R114" i="12"/>
  <c r="U111" i="12"/>
  <c r="R113" i="12"/>
  <c r="R112" i="12"/>
  <c r="U114" i="12"/>
  <c r="T112" i="12"/>
  <c r="A284" i="2"/>
  <c r="R107" i="12"/>
  <c r="U109" i="12"/>
  <c r="T107" i="12"/>
  <c r="T106" i="12"/>
  <c r="R109" i="12"/>
  <c r="U106" i="12"/>
  <c r="R108" i="12"/>
  <c r="A236" i="2"/>
  <c r="P83" i="12"/>
  <c r="O82" i="12"/>
  <c r="M82" i="12"/>
  <c r="M84" i="12"/>
  <c r="M83" i="12"/>
  <c r="O81" i="12"/>
  <c r="P84" i="12"/>
  <c r="P81" i="12"/>
  <c r="A361" i="2"/>
  <c r="A360" i="2"/>
  <c r="A352" i="2"/>
  <c r="A351" i="2"/>
  <c r="A343" i="2"/>
  <c r="A342" i="2"/>
  <c r="A334" i="2"/>
  <c r="A333" i="2"/>
  <c r="A330" i="2"/>
  <c r="A325" i="2"/>
  <c r="A324" i="2"/>
  <c r="A316" i="2"/>
  <c r="A315" i="2"/>
  <c r="A307" i="2"/>
  <c r="A306" i="2"/>
  <c r="A298" i="2"/>
  <c r="A297" i="2"/>
  <c r="A289" i="2"/>
  <c r="A288" i="2"/>
  <c r="A280" i="2"/>
  <c r="A279" i="2"/>
  <c r="A271" i="2"/>
  <c r="A270" i="2"/>
  <c r="A262" i="2"/>
  <c r="A261" i="2"/>
  <c r="A253" i="2"/>
  <c r="A252" i="2"/>
  <c r="A244" i="2"/>
  <c r="A243" i="2"/>
  <c r="A235" i="2"/>
  <c r="A234" i="2"/>
  <c r="A226" i="2"/>
  <c r="A225" i="2"/>
  <c r="A204" i="2"/>
  <c r="D15" i="10"/>
  <c r="E15" i="10"/>
  <c r="F15" i="10"/>
  <c r="G15" i="10"/>
  <c r="H15" i="10"/>
  <c r="N8" i="2" s="1"/>
  <c r="C16" i="10"/>
  <c r="D16" i="10"/>
  <c r="E16" i="10"/>
  <c r="K9" i="2" s="1"/>
  <c r="F16" i="10"/>
  <c r="G16" i="10"/>
  <c r="H16" i="10"/>
  <c r="C17" i="10"/>
  <c r="D17" i="10"/>
  <c r="E17" i="10"/>
  <c r="F17" i="10"/>
  <c r="G17" i="10"/>
  <c r="H17" i="10"/>
  <c r="C18" i="10"/>
  <c r="D18" i="10"/>
  <c r="E18" i="10"/>
  <c r="F18" i="10"/>
  <c r="G18" i="10"/>
  <c r="H18" i="10"/>
  <c r="C19" i="10"/>
  <c r="I12" i="2" s="1"/>
  <c r="D19" i="10"/>
  <c r="E19" i="10"/>
  <c r="F19" i="10"/>
  <c r="G19" i="10"/>
  <c r="H19" i="10"/>
  <c r="C20" i="10"/>
  <c r="D20" i="10"/>
  <c r="E20" i="10"/>
  <c r="F20" i="10"/>
  <c r="G20" i="10"/>
  <c r="H20" i="10"/>
  <c r="C21" i="10"/>
  <c r="D21" i="10"/>
  <c r="E21" i="10"/>
  <c r="F21" i="10"/>
  <c r="G21" i="10"/>
  <c r="H21" i="10"/>
  <c r="N14" i="2" s="1"/>
  <c r="B16" i="10"/>
  <c r="H9" i="2" s="1"/>
  <c r="B17" i="10"/>
  <c r="H10" i="2" s="1"/>
  <c r="B18" i="10"/>
  <c r="H11" i="2" s="1"/>
  <c r="B19" i="10"/>
  <c r="H12" i="2" s="1"/>
  <c r="B20" i="10"/>
  <c r="H13" i="2" s="1"/>
  <c r="B21" i="10"/>
  <c r="H14" i="2" s="1"/>
  <c r="F150" i="10"/>
  <c r="B150" i="10"/>
  <c r="E150" i="10" s="1"/>
  <c r="F141" i="10"/>
  <c r="A150" i="10" s="1"/>
  <c r="B141" i="10"/>
  <c r="E141" i="10" s="1"/>
  <c r="F132" i="10"/>
  <c r="A141" i="10" s="1"/>
  <c r="B132" i="10"/>
  <c r="E132" i="10" s="1"/>
  <c r="F123" i="10"/>
  <c r="A132" i="10" s="1"/>
  <c r="B123" i="10"/>
  <c r="E123" i="10" s="1"/>
  <c r="F114" i="10"/>
  <c r="A123" i="10" s="1"/>
  <c r="B114" i="10"/>
  <c r="E114" i="10" s="1"/>
  <c r="F105" i="10"/>
  <c r="A114" i="10" s="1"/>
  <c r="B105" i="10"/>
  <c r="E105" i="10" s="1"/>
  <c r="F96" i="10"/>
  <c r="A105" i="10" s="1"/>
  <c r="B96" i="10"/>
  <c r="E96" i="10" s="1"/>
  <c r="F87" i="10"/>
  <c r="A96" i="10" s="1"/>
  <c r="B87" i="10"/>
  <c r="E87" i="10" s="1"/>
  <c r="F78" i="10"/>
  <c r="A87" i="10" s="1"/>
  <c r="B78" i="10"/>
  <c r="E78" i="10" s="1"/>
  <c r="F69" i="10"/>
  <c r="A78" i="10" s="1"/>
  <c r="B69" i="10"/>
  <c r="E69" i="10" s="1"/>
  <c r="F60" i="10"/>
  <c r="A69" i="10" s="1"/>
  <c r="B60" i="10"/>
  <c r="E60" i="10" s="1"/>
  <c r="F51" i="10"/>
  <c r="A60" i="10" s="1"/>
  <c r="B51" i="10"/>
  <c r="E51" i="10" s="1"/>
  <c r="F42" i="10"/>
  <c r="A51" i="10" s="1"/>
  <c r="B42" i="10"/>
  <c r="E42" i="10" s="1"/>
  <c r="F33" i="10"/>
  <c r="A42" i="10" s="1"/>
  <c r="B33" i="10"/>
  <c r="E33" i="10" s="1"/>
  <c r="F24" i="10"/>
  <c r="A33" i="10" s="1"/>
  <c r="B24" i="10"/>
  <c r="E24" i="10" s="1"/>
  <c r="A142" i="2"/>
  <c r="A151" i="2"/>
  <c r="A160" i="2"/>
  <c r="A169" i="2"/>
  <c r="A178" i="2"/>
  <c r="A196" i="2"/>
  <c r="A213" i="2"/>
  <c r="A232" i="2"/>
  <c r="A217" i="2"/>
  <c r="A216" i="2"/>
  <c r="A208" i="2"/>
  <c r="A207" i="2"/>
  <c r="A199" i="2"/>
  <c r="A198" i="2"/>
  <c r="A190" i="2"/>
  <c r="A189" i="2"/>
  <c r="A181" i="2"/>
  <c r="A180" i="2"/>
  <c r="A172" i="2"/>
  <c r="A171" i="2"/>
  <c r="A163" i="2"/>
  <c r="A162" i="2"/>
  <c r="A154" i="2"/>
  <c r="A153" i="2"/>
  <c r="A145" i="2"/>
  <c r="A144" i="2"/>
  <c r="A136" i="2"/>
  <c r="A135" i="2"/>
  <c r="A127" i="2"/>
  <c r="A126" i="2"/>
  <c r="A118" i="2"/>
  <c r="A117" i="2"/>
  <c r="A109" i="2"/>
  <c r="A108" i="2"/>
  <c r="A100" i="2"/>
  <c r="A99" i="2"/>
  <c r="G8" i="2"/>
  <c r="H8" i="2"/>
  <c r="I8" i="2"/>
  <c r="J8" i="2"/>
  <c r="M8" i="2"/>
  <c r="G9" i="2"/>
  <c r="G10" i="2"/>
  <c r="M10" i="2"/>
  <c r="G11" i="2"/>
  <c r="K11" i="2"/>
  <c r="N11" i="2"/>
  <c r="G12" i="2"/>
  <c r="M12" i="2"/>
  <c r="G13" i="2"/>
  <c r="L13" i="2"/>
  <c r="G14" i="2"/>
  <c r="J14" i="2"/>
  <c r="H7" i="2"/>
  <c r="I7" i="2"/>
  <c r="J7" i="2"/>
  <c r="K7" i="2"/>
  <c r="L7" i="2"/>
  <c r="M7" i="2"/>
  <c r="N7" i="2"/>
  <c r="G7" i="2"/>
  <c r="A28" i="2"/>
  <c r="A27" i="2"/>
  <c r="A26" i="2"/>
  <c r="A25" i="2"/>
  <c r="A24" i="2"/>
  <c r="A23" i="2"/>
  <c r="A22" i="2"/>
  <c r="A21" i="2"/>
  <c r="A20" i="2"/>
  <c r="A19" i="2"/>
  <c r="A61" i="2"/>
  <c r="A58" i="2"/>
  <c r="A55" i="2"/>
  <c r="A52" i="2"/>
  <c r="A49" i="2"/>
  <c r="A18" i="2"/>
  <c r="A17" i="2"/>
  <c r="A14" i="2"/>
  <c r="A13" i="2"/>
  <c r="A12" i="2"/>
  <c r="A46" i="2"/>
  <c r="A40" i="2"/>
  <c r="A37" i="2"/>
  <c r="B13" i="2"/>
  <c r="B14" i="2"/>
  <c r="C14" i="2" s="1"/>
  <c r="C11" i="2"/>
  <c r="C12" i="2"/>
  <c r="A120" i="2"/>
  <c r="A129" i="2"/>
  <c r="A147" i="2"/>
  <c r="A304" i="2"/>
  <c r="A124" i="2"/>
  <c r="A115" i="2"/>
  <c r="A111" i="2"/>
  <c r="K14" i="2" l="1"/>
  <c r="O25" i="18"/>
  <c r="M13" i="2"/>
  <c r="R31" i="19"/>
  <c r="I13" i="2"/>
  <c r="O10" i="18"/>
  <c r="K12" i="2"/>
  <c r="C29" i="4" s="1"/>
  <c r="N29" i="4" s="1"/>
  <c r="O23" i="18"/>
  <c r="P33" i="19"/>
  <c r="M11" i="2"/>
  <c r="C42" i="4" s="1"/>
  <c r="N42" i="4" s="1"/>
  <c r="R30" i="19"/>
  <c r="I11" i="2"/>
  <c r="N33" i="19"/>
  <c r="O8" i="18"/>
  <c r="K10" i="2"/>
  <c r="P30" i="19"/>
  <c r="O21" i="18"/>
  <c r="M9" i="2"/>
  <c r="I9" i="2"/>
  <c r="O6" i="18"/>
  <c r="K8" i="2"/>
  <c r="C25" i="4" s="1"/>
  <c r="N25" i="4" s="1"/>
  <c r="O19" i="18"/>
  <c r="O33" i="19"/>
  <c r="O18" i="18"/>
  <c r="Q30" i="19"/>
  <c r="O31" i="18"/>
  <c r="N12" i="2"/>
  <c r="S33" i="19"/>
  <c r="J12" i="2"/>
  <c r="O16" i="18"/>
  <c r="O32" i="19"/>
  <c r="L11" i="2"/>
  <c r="O29" i="18"/>
  <c r="N10" i="2"/>
  <c r="C48" i="4" s="1"/>
  <c r="S30" i="19"/>
  <c r="J10" i="2"/>
  <c r="O14" i="18"/>
  <c r="L9" i="2"/>
  <c r="C33" i="4" s="1"/>
  <c r="N33" i="4" s="1"/>
  <c r="Q33" i="19"/>
  <c r="O27" i="18"/>
  <c r="O31" i="19"/>
  <c r="O12" i="18"/>
  <c r="M14" i="2"/>
  <c r="R32" i="19"/>
  <c r="I14" i="2"/>
  <c r="C17" i="4" s="1"/>
  <c r="O11" i="18"/>
  <c r="N30" i="19"/>
  <c r="K13" i="2"/>
  <c r="P32" i="19"/>
  <c r="O24" i="18"/>
  <c r="R33" i="19"/>
  <c r="N32" i="19"/>
  <c r="O9" i="18"/>
  <c r="O22" i="18"/>
  <c r="P31" i="19"/>
  <c r="R29" i="19"/>
  <c r="O7" i="18"/>
  <c r="N31" i="19"/>
  <c r="P29" i="19"/>
  <c r="O20" i="18"/>
  <c r="O33" i="18"/>
  <c r="I10" i="2"/>
  <c r="C13" i="4" s="1"/>
  <c r="N13" i="4" s="1"/>
  <c r="L14" i="2"/>
  <c r="O32" i="18"/>
  <c r="Q31" i="19"/>
  <c r="N13" i="2"/>
  <c r="C51" i="4" s="1"/>
  <c r="S32" i="19"/>
  <c r="J13" i="2"/>
  <c r="C23" i="4" s="1"/>
  <c r="O17" i="18"/>
  <c r="L12" i="2"/>
  <c r="Q29" i="19"/>
  <c r="O30" i="18"/>
  <c r="S31" i="19"/>
  <c r="J11" i="2"/>
  <c r="C21" i="4" s="1"/>
  <c r="N21" i="4" s="1"/>
  <c r="O29" i="19"/>
  <c r="O15" i="18"/>
  <c r="L10" i="2"/>
  <c r="O28" i="18"/>
  <c r="Q32" i="19"/>
  <c r="N9" i="2"/>
  <c r="S29" i="19"/>
  <c r="J9" i="2"/>
  <c r="C19" i="4" s="1"/>
  <c r="N19" i="4" s="1"/>
  <c r="O13" i="18"/>
  <c r="O30" i="19"/>
  <c r="A24" i="10"/>
  <c r="O26" i="18"/>
  <c r="AA41" i="5"/>
  <c r="V44" i="5"/>
  <c r="AA44" i="5"/>
  <c r="V43" i="5"/>
  <c r="A133" i="2"/>
  <c r="AA43" i="5"/>
  <c r="X41" i="5"/>
  <c r="Y41" i="5" s="1"/>
  <c r="Z41" i="5" s="1"/>
  <c r="C24" i="4"/>
  <c r="C44" i="4"/>
  <c r="C9" i="4"/>
  <c r="C49" i="4"/>
  <c r="C47" i="4"/>
  <c r="C52" i="4"/>
  <c r="C10" i="4"/>
  <c r="C37" i="4"/>
  <c r="C5" i="4"/>
  <c r="C8" i="4"/>
  <c r="C38" i="4"/>
  <c r="C50" i="4"/>
  <c r="C7" i="4"/>
  <c r="C45" i="4"/>
  <c r="C30" i="4"/>
  <c r="C31" i="4"/>
  <c r="C16" i="4"/>
  <c r="C46" i="4"/>
  <c r="C6" i="4"/>
  <c r="C15" i="4"/>
  <c r="N15" i="4" s="1"/>
  <c r="C28" i="4"/>
  <c r="N28" i="4" s="1"/>
  <c r="C14" i="4"/>
  <c r="N14" i="4" s="1"/>
  <c r="C27" i="4"/>
  <c r="N27" i="4" s="1"/>
  <c r="C26" i="4"/>
  <c r="N26" i="4" s="1"/>
  <c r="C12" i="4"/>
  <c r="N12" i="4" s="1"/>
  <c r="C39" i="4"/>
  <c r="N39" i="4" s="1"/>
  <c r="C18" i="4"/>
  <c r="N18" i="4" s="1"/>
  <c r="C43" i="4"/>
  <c r="N43" i="4" s="1"/>
  <c r="C22" i="4"/>
  <c r="N22" i="4" s="1"/>
  <c r="C41" i="4"/>
  <c r="N41" i="4" s="1"/>
  <c r="C20" i="4"/>
  <c r="N20" i="4" s="1"/>
  <c r="C40" i="4"/>
  <c r="N40" i="4" s="1"/>
  <c r="C11" i="4"/>
  <c r="N11" i="4" s="1"/>
  <c r="C36" i="4"/>
  <c r="N36" i="4" s="1"/>
  <c r="C35" i="4"/>
  <c r="N35" i="4" s="1"/>
  <c r="C34" i="4"/>
  <c r="N34" i="4" s="1"/>
  <c r="Q91" i="5"/>
  <c r="R91" i="5" s="1"/>
  <c r="S91" i="5" s="1"/>
  <c r="O114" i="5"/>
  <c r="T106" i="5"/>
  <c r="T108" i="5"/>
  <c r="T113" i="5"/>
  <c r="O118" i="5"/>
  <c r="L8" i="2"/>
  <c r="T93" i="5"/>
  <c r="Q111" i="5"/>
  <c r="R111" i="5" s="1"/>
  <c r="S111" i="5" s="1"/>
  <c r="T123" i="5"/>
  <c r="O117" i="5"/>
  <c r="T119" i="5"/>
  <c r="O83" i="5"/>
  <c r="T81" i="5"/>
  <c r="T84" i="5"/>
  <c r="O84" i="5"/>
  <c r="Q71" i="5"/>
  <c r="R71" i="5" s="1"/>
  <c r="S71" i="5" s="1"/>
  <c r="T71" i="5"/>
  <c r="O93" i="5"/>
  <c r="T94" i="5"/>
  <c r="O92" i="5"/>
  <c r="O94" i="5"/>
  <c r="O107" i="5"/>
  <c r="O108" i="5"/>
  <c r="T109" i="5"/>
  <c r="O109" i="5"/>
  <c r="T114" i="5"/>
  <c r="O113" i="5"/>
  <c r="T111" i="5"/>
  <c r="O122" i="5"/>
  <c r="O123" i="5"/>
  <c r="T124" i="5"/>
  <c r="O124" i="5"/>
  <c r="T116" i="5"/>
  <c r="Q116" i="5"/>
  <c r="R116" i="5" s="1"/>
  <c r="S116" i="5" s="1"/>
  <c r="T118" i="5"/>
  <c r="O73" i="5"/>
  <c r="T74" i="5"/>
  <c r="O72" i="5"/>
  <c r="O74" i="5"/>
  <c r="W121" i="5"/>
  <c r="R104" i="12"/>
  <c r="T101" i="12"/>
  <c r="U103" i="12"/>
  <c r="U101" i="12"/>
  <c r="U104" i="12"/>
  <c r="R102" i="12"/>
  <c r="T102" i="12"/>
  <c r="R103" i="12"/>
  <c r="W111" i="5"/>
  <c r="A257" i="2" s="1"/>
  <c r="R94" i="12"/>
  <c r="T91" i="12"/>
  <c r="U93" i="12"/>
  <c r="U91" i="12"/>
  <c r="U94" i="12"/>
  <c r="R92" i="12"/>
  <c r="T92" i="12"/>
  <c r="R93" i="12"/>
  <c r="W116" i="5"/>
  <c r="R99" i="12"/>
  <c r="T96" i="12"/>
  <c r="U98" i="12"/>
  <c r="U96" i="12"/>
  <c r="U99" i="12"/>
  <c r="R97" i="12"/>
  <c r="T97" i="12"/>
  <c r="R98" i="12"/>
  <c r="W106" i="5"/>
  <c r="A248" i="2" s="1"/>
  <c r="R89" i="12"/>
  <c r="T86" i="12"/>
  <c r="U88" i="12"/>
  <c r="U86" i="12"/>
  <c r="U89" i="12"/>
  <c r="R87" i="12"/>
  <c r="T87" i="12"/>
  <c r="R88" i="12"/>
  <c r="W91" i="5"/>
  <c r="A222" i="2" s="1"/>
  <c r="R73" i="12"/>
  <c r="U71" i="12"/>
  <c r="R74" i="12"/>
  <c r="T71" i="12"/>
  <c r="U73" i="12"/>
  <c r="T72" i="12"/>
  <c r="U74" i="12"/>
  <c r="R72" i="12"/>
  <c r="W81" i="5"/>
  <c r="R63" i="12"/>
  <c r="U61" i="12"/>
  <c r="R64" i="12"/>
  <c r="T61" i="12"/>
  <c r="U63" i="12"/>
  <c r="T62" i="12"/>
  <c r="U64" i="12"/>
  <c r="R62" i="12"/>
  <c r="W71" i="5"/>
  <c r="A186" i="2" s="1"/>
  <c r="R53" i="12"/>
  <c r="U51" i="12"/>
  <c r="R54" i="12"/>
  <c r="T51" i="12"/>
  <c r="U53" i="12"/>
  <c r="T52" i="12"/>
  <c r="U54" i="12"/>
  <c r="R52" i="12"/>
  <c r="E327" i="2"/>
  <c r="E330" i="2" s="1"/>
  <c r="E120" i="2"/>
  <c r="E123" i="2" s="1"/>
  <c r="E156" i="2"/>
  <c r="E159" i="2" s="1"/>
  <c r="E147" i="2"/>
  <c r="E150" i="2" s="1"/>
  <c r="E165" i="2"/>
  <c r="E168" i="2" s="1"/>
  <c r="E174" i="2"/>
  <c r="E177" i="2" s="1"/>
  <c r="E219" i="2"/>
  <c r="E222" i="2" s="1"/>
  <c r="E210" i="2"/>
  <c r="E213" i="2" s="1"/>
  <c r="E273" i="2"/>
  <c r="E276" i="2" s="1"/>
  <c r="E309" i="2"/>
  <c r="E312" i="2" s="1"/>
  <c r="E291" i="2"/>
  <c r="E294" i="2" s="1"/>
  <c r="E354" i="2"/>
  <c r="E357" i="2" s="1"/>
  <c r="E336" i="2"/>
  <c r="E339" i="2" s="1"/>
  <c r="E201" i="2"/>
  <c r="E204" i="2" s="1"/>
  <c r="E183" i="2"/>
  <c r="E186" i="2" s="1"/>
  <c r="E192" i="2"/>
  <c r="E195" i="2" s="1"/>
  <c r="E138" i="2"/>
  <c r="E141" i="2" s="1"/>
  <c r="AA109" i="5"/>
  <c r="V114" i="5"/>
  <c r="V104" i="5"/>
  <c r="X101" i="5"/>
  <c r="Y101" i="5" s="1"/>
  <c r="Z101" i="5" s="1"/>
  <c r="V103" i="5"/>
  <c r="AA101" i="5"/>
  <c r="AA103" i="5"/>
  <c r="AA104" i="5"/>
  <c r="V102" i="5"/>
  <c r="E129" i="2"/>
  <c r="E132" i="2" s="1"/>
  <c r="E105" i="2"/>
  <c r="K98" i="2" s="1"/>
  <c r="B39" i="2"/>
  <c r="C13" i="2"/>
  <c r="B41" i="2"/>
  <c r="B18" i="2"/>
  <c r="C18" i="2" s="1"/>
  <c r="B20" i="2"/>
  <c r="C20" i="2" s="1"/>
  <c r="B22" i="2"/>
  <c r="C22" i="2" s="1"/>
  <c r="B24" i="2"/>
  <c r="C24" i="2" s="1"/>
  <c r="B26" i="2"/>
  <c r="C26" i="2" s="1"/>
  <c r="B28" i="2"/>
  <c r="C28" i="2" s="1"/>
  <c r="B17" i="2"/>
  <c r="B19" i="2"/>
  <c r="B21" i="2"/>
  <c r="B23" i="2"/>
  <c r="B25" i="2"/>
  <c r="B27" i="2"/>
  <c r="C4" i="4"/>
  <c r="A239" i="2"/>
  <c r="U84" i="12"/>
  <c r="R82" i="12"/>
  <c r="T82" i="12"/>
  <c r="R83" i="12"/>
  <c r="R84" i="12"/>
  <c r="T81" i="12"/>
  <c r="U83" i="12"/>
  <c r="U81" i="12"/>
  <c r="A303" i="2"/>
  <c r="A231" i="2"/>
  <c r="A214" i="2"/>
  <c r="A195" i="2"/>
  <c r="A184" i="2"/>
  <c r="A183" i="2"/>
  <c r="A177" i="2"/>
  <c r="A168" i="2"/>
  <c r="A159" i="2"/>
  <c r="A148" i="2"/>
  <c r="A150" i="2"/>
  <c r="A139" i="2"/>
  <c r="A141" i="2"/>
  <c r="A130" i="2"/>
  <c r="A132" i="2"/>
  <c r="A121" i="2"/>
  <c r="A123" i="2"/>
  <c r="A112" i="2"/>
  <c r="A114" i="2"/>
  <c r="H15" i="18" l="1"/>
  <c r="U26" i="18"/>
  <c r="U30" i="18"/>
  <c r="U35" i="18"/>
  <c r="U12" i="18"/>
  <c r="O28" i="19"/>
  <c r="O12" i="19"/>
  <c r="O13" i="19"/>
  <c r="O16" i="19" s="1"/>
  <c r="P28" i="19"/>
  <c r="P13" i="19"/>
  <c r="P16" i="19" s="1"/>
  <c r="P12" i="19"/>
  <c r="U32" i="18"/>
  <c r="R34" i="19"/>
  <c r="R36" i="19" s="1"/>
  <c r="U7" i="18"/>
  <c r="U22" i="18"/>
  <c r="U39" i="18"/>
  <c r="U29" i="18"/>
  <c r="U31" i="18"/>
  <c r="R28" i="19"/>
  <c r="R12" i="19"/>
  <c r="R13" i="19"/>
  <c r="R16" i="19" s="1"/>
  <c r="U10" i="18"/>
  <c r="AB10" i="19" s="1"/>
  <c r="AD10" i="19" s="1"/>
  <c r="Q28" i="19"/>
  <c r="Q12" i="19"/>
  <c r="Q13" i="19"/>
  <c r="Q16" i="19" s="1"/>
  <c r="U13" i="18"/>
  <c r="U15" i="18"/>
  <c r="O34" i="19"/>
  <c r="U20" i="18"/>
  <c r="U9" i="18"/>
  <c r="U24" i="18"/>
  <c r="U11" i="18"/>
  <c r="S28" i="19"/>
  <c r="S12" i="19"/>
  <c r="S13" i="19"/>
  <c r="S16" i="19" s="1"/>
  <c r="U14" i="18"/>
  <c r="S34" i="19"/>
  <c r="N29" i="19"/>
  <c r="N13" i="19"/>
  <c r="N16" i="19" s="1"/>
  <c r="N12" i="19"/>
  <c r="U34" i="18"/>
  <c r="U36" i="18"/>
  <c r="U23" i="18"/>
  <c r="U25" i="18"/>
  <c r="U17" i="18"/>
  <c r="U27" i="18"/>
  <c r="U18" i="18"/>
  <c r="U6" i="18"/>
  <c r="U5" i="18"/>
  <c r="O47" i="18"/>
  <c r="V26" i="18" s="1"/>
  <c r="H14" i="18"/>
  <c r="U8" i="18"/>
  <c r="P34" i="19"/>
  <c r="U28" i="18"/>
  <c r="U33" i="18"/>
  <c r="U37" i="18"/>
  <c r="Q34" i="19"/>
  <c r="U16" i="18"/>
  <c r="U19" i="18"/>
  <c r="U21" i="18"/>
  <c r="N34" i="19"/>
  <c r="U38" i="18"/>
  <c r="N24" i="4"/>
  <c r="N4" i="4"/>
  <c r="A4" i="4"/>
  <c r="N6" i="4"/>
  <c r="A6" i="4"/>
  <c r="N16" i="4"/>
  <c r="N31" i="4"/>
  <c r="N17" i="4"/>
  <c r="N7" i="4"/>
  <c r="A7" i="4"/>
  <c r="N50" i="4"/>
  <c r="N38" i="4"/>
  <c r="N5" i="4"/>
  <c r="A5" i="4"/>
  <c r="N10" i="4"/>
  <c r="A10" i="4"/>
  <c r="N47" i="4"/>
  <c r="N46" i="4"/>
  <c r="N30" i="4"/>
  <c r="N45" i="4"/>
  <c r="N48" i="4"/>
  <c r="N23" i="4"/>
  <c r="N8" i="4"/>
  <c r="A8" i="4"/>
  <c r="N37" i="4"/>
  <c r="N9" i="4"/>
  <c r="A9" i="4"/>
  <c r="N49" i="4"/>
  <c r="N44" i="4"/>
  <c r="C32" i="4"/>
  <c r="N32" i="4" s="1"/>
  <c r="AA114" i="5"/>
  <c r="X106" i="5"/>
  <c r="Y106" i="5" s="1"/>
  <c r="Z106" i="5" s="1"/>
  <c r="AA106" i="5"/>
  <c r="V113" i="5"/>
  <c r="AA111" i="5"/>
  <c r="V108" i="5"/>
  <c r="V107" i="5"/>
  <c r="AA108" i="5"/>
  <c r="V109" i="5"/>
  <c r="A187" i="2"/>
  <c r="X111" i="5"/>
  <c r="Y111" i="5" s="1"/>
  <c r="Z111" i="5" s="1"/>
  <c r="AA113" i="5"/>
  <c r="V112" i="5"/>
  <c r="A185" i="2"/>
  <c r="X71" i="5"/>
  <c r="Y71" i="5" s="1"/>
  <c r="Z71" i="5" s="1"/>
  <c r="AA71" i="5"/>
  <c r="AA74" i="5"/>
  <c r="V74" i="5"/>
  <c r="V73" i="5"/>
  <c r="AA73" i="5"/>
  <c r="V72" i="5"/>
  <c r="A221" i="2"/>
  <c r="V94" i="5"/>
  <c r="V93" i="5"/>
  <c r="AA93" i="5"/>
  <c r="V92" i="5"/>
  <c r="X91" i="5"/>
  <c r="Y91" i="5" s="1"/>
  <c r="Z91" i="5" s="1"/>
  <c r="AA91" i="5"/>
  <c r="AA94" i="5"/>
  <c r="A223" i="2"/>
  <c r="A266" i="2"/>
  <c r="V119" i="5"/>
  <c r="AA118" i="5"/>
  <c r="V117" i="5"/>
  <c r="V118" i="5"/>
  <c r="AA116" i="5"/>
  <c r="AA119" i="5"/>
  <c r="X116" i="5"/>
  <c r="Y116" i="5" s="1"/>
  <c r="Z116" i="5" s="1"/>
  <c r="A275" i="2"/>
  <c r="V124" i="5"/>
  <c r="AA123" i="5"/>
  <c r="V122" i="5"/>
  <c r="V123" i="5"/>
  <c r="AA121" i="5"/>
  <c r="AA124" i="5"/>
  <c r="X121" i="5"/>
  <c r="Y121" i="5" s="1"/>
  <c r="Z121" i="5" s="1"/>
  <c r="A203" i="2"/>
  <c r="AA81" i="5"/>
  <c r="AA84" i="5"/>
  <c r="V83" i="5"/>
  <c r="V84" i="5"/>
  <c r="AA83" i="5"/>
  <c r="X81" i="5"/>
  <c r="Y81" i="5" s="1"/>
  <c r="Z81" i="5" s="1"/>
  <c r="V82" i="5"/>
  <c r="A205" i="2"/>
  <c r="B42" i="2"/>
  <c r="B45" i="2" s="1"/>
  <c r="C27" i="2"/>
  <c r="C19" i="2"/>
  <c r="C21" i="2"/>
  <c r="C23" i="2"/>
  <c r="C25" i="2"/>
  <c r="D38" i="2"/>
  <c r="C17" i="2"/>
  <c r="B44" i="2"/>
  <c r="A106" i="2"/>
  <c r="A138" i="2"/>
  <c r="A105" i="2"/>
  <c r="A364" i="2"/>
  <c r="A363" i="2"/>
  <c r="A354" i="2"/>
  <c r="A355" i="2"/>
  <c r="A346" i="2"/>
  <c r="A345" i="2"/>
  <c r="A336" i="2"/>
  <c r="A337" i="2"/>
  <c r="A310" i="2"/>
  <c r="A309" i="2"/>
  <c r="A300" i="2"/>
  <c r="A301" i="2"/>
  <c r="A292" i="2"/>
  <c r="A291" i="2"/>
  <c r="A282" i="2"/>
  <c r="A283" i="2"/>
  <c r="A274" i="2"/>
  <c r="A273" i="2"/>
  <c r="A264" i="2"/>
  <c r="A265" i="2"/>
  <c r="A256" i="2"/>
  <c r="A255" i="2"/>
  <c r="A246" i="2"/>
  <c r="A247" i="2"/>
  <c r="A238" i="2"/>
  <c r="A237" i="2"/>
  <c r="A228" i="2"/>
  <c r="A229" i="2"/>
  <c r="A220" i="2"/>
  <c r="A219" i="2"/>
  <c r="A211" i="2"/>
  <c r="A210" i="2"/>
  <c r="A201" i="2"/>
  <c r="A202" i="2"/>
  <c r="A192" i="2"/>
  <c r="A193" i="2"/>
  <c r="A174" i="2"/>
  <c r="A175" i="2"/>
  <c r="A165" i="2"/>
  <c r="A166" i="2"/>
  <c r="A156" i="2"/>
  <c r="A157" i="2"/>
  <c r="A103" i="2"/>
  <c r="A102" i="2"/>
  <c r="Q14" i="19" l="1"/>
  <c r="V6" i="19"/>
  <c r="V5" i="19"/>
  <c r="W13" i="19" s="1"/>
  <c r="P41" i="18"/>
  <c r="O15" i="19"/>
  <c r="R15" i="19"/>
  <c r="R52" i="19"/>
  <c r="R54" i="19"/>
  <c r="V28" i="18"/>
  <c r="V8" i="18"/>
  <c r="O14" i="19"/>
  <c r="V10" i="18"/>
  <c r="V29" i="18"/>
  <c r="V19" i="18"/>
  <c r="V37" i="18"/>
  <c r="U47" i="18"/>
  <c r="V18" i="18"/>
  <c r="V36" i="18"/>
  <c r="V9" i="18"/>
  <c r="V22" i="18"/>
  <c r="V35" i="18"/>
  <c r="V16" i="18"/>
  <c r="V33" i="18"/>
  <c r="V25" i="18"/>
  <c r="V11" i="18"/>
  <c r="V32" i="18"/>
  <c r="V38" i="18"/>
  <c r="V21" i="18"/>
  <c r="V6" i="18"/>
  <c r="V14" i="18"/>
  <c r="V13" i="18"/>
  <c r="V12" i="18"/>
  <c r="N36" i="19"/>
  <c r="P36" i="19"/>
  <c r="N14" i="19"/>
  <c r="N15" i="19"/>
  <c r="Q36" i="19"/>
  <c r="S14" i="19"/>
  <c r="S15" i="19"/>
  <c r="N37" i="19"/>
  <c r="N65" i="19" s="1"/>
  <c r="N35" i="19"/>
  <c r="N39" i="19" s="1"/>
  <c r="Q15" i="19"/>
  <c r="P45" i="18"/>
  <c r="P24" i="18"/>
  <c r="P44" i="18"/>
  <c r="P28" i="18"/>
  <c r="P37" i="18"/>
  <c r="P22" i="18"/>
  <c r="P39" i="18"/>
  <c r="P9" i="18"/>
  <c r="P18" i="18"/>
  <c r="P8" i="18"/>
  <c r="P14" i="18"/>
  <c r="P20" i="18"/>
  <c r="P15" i="18"/>
  <c r="P23" i="18"/>
  <c r="P5" i="18"/>
  <c r="P17" i="18"/>
  <c r="P10" i="18"/>
  <c r="P36" i="18"/>
  <c r="P7" i="18"/>
  <c r="P12" i="18"/>
  <c r="P29" i="18"/>
  <c r="P11" i="18"/>
  <c r="P32" i="18"/>
  <c r="P42" i="18"/>
  <c r="P13" i="18"/>
  <c r="P43" i="18"/>
  <c r="P46" i="18"/>
  <c r="P38" i="18"/>
  <c r="P34" i="18"/>
  <c r="P21" i="18"/>
  <c r="P16" i="18"/>
  <c r="P26" i="18"/>
  <c r="P6" i="18"/>
  <c r="P25" i="18"/>
  <c r="P30" i="18"/>
  <c r="P40" i="18"/>
  <c r="P33" i="18"/>
  <c r="P27" i="18"/>
  <c r="P35" i="18"/>
  <c r="P31" i="18"/>
  <c r="P19" i="18"/>
  <c r="S36" i="19"/>
  <c r="S56" i="19" s="1"/>
  <c r="R37" i="19"/>
  <c r="R35" i="19"/>
  <c r="R38" i="19" s="1"/>
  <c r="R53" i="19"/>
  <c r="V34" i="18"/>
  <c r="S37" i="19"/>
  <c r="S35" i="19"/>
  <c r="S44" i="19" s="1"/>
  <c r="V24" i="18"/>
  <c r="V20" i="18"/>
  <c r="Q37" i="19"/>
  <c r="Q35" i="19"/>
  <c r="Q38" i="19" s="1"/>
  <c r="V39" i="18"/>
  <c r="R55" i="19"/>
  <c r="V7" i="18"/>
  <c r="R56" i="19"/>
  <c r="O36" i="19"/>
  <c r="O56" i="19" s="1"/>
  <c r="P14" i="19"/>
  <c r="O37" i="19"/>
  <c r="O64" i="19" s="1"/>
  <c r="O35" i="19"/>
  <c r="V30" i="18"/>
  <c r="P15" i="19"/>
  <c r="V43" i="18"/>
  <c r="V44" i="18"/>
  <c r="V46" i="18"/>
  <c r="V41" i="18"/>
  <c r="V45" i="18"/>
  <c r="V40" i="18"/>
  <c r="V42" i="18"/>
  <c r="V27" i="18"/>
  <c r="V17" i="18"/>
  <c r="V23" i="18"/>
  <c r="V15" i="18"/>
  <c r="R14" i="19"/>
  <c r="V31" i="18"/>
  <c r="P37" i="19"/>
  <c r="P64" i="19" s="1"/>
  <c r="P35" i="19"/>
  <c r="L9" i="4"/>
  <c r="K9" i="4"/>
  <c r="L8" i="4"/>
  <c r="K8" i="4"/>
  <c r="L5" i="4"/>
  <c r="K5" i="4"/>
  <c r="L4" i="4"/>
  <c r="K4" i="4"/>
  <c r="L10" i="4"/>
  <c r="K10" i="4"/>
  <c r="L7" i="4"/>
  <c r="K7" i="4"/>
  <c r="L6" i="4"/>
  <c r="K6" i="4"/>
  <c r="B60" i="2"/>
  <c r="B62" i="2"/>
  <c r="N16" i="2" s="1"/>
  <c r="B59" i="2"/>
  <c r="M16" i="2" s="1"/>
  <c r="B63" i="2"/>
  <c r="B47" i="2"/>
  <c r="B48" i="2"/>
  <c r="B56" i="2"/>
  <c r="B53" i="2"/>
  <c r="B50" i="2"/>
  <c r="B57" i="2"/>
  <c r="B54" i="2"/>
  <c r="B51" i="2"/>
  <c r="D41" i="2"/>
  <c r="D44" i="2"/>
  <c r="A294" i="2"/>
  <c r="A295" i="2"/>
  <c r="A276" i="2"/>
  <c r="A277" i="2"/>
  <c r="A348" i="2"/>
  <c r="A349" i="2"/>
  <c r="A312" i="2"/>
  <c r="A313" i="2"/>
  <c r="A268" i="2"/>
  <c r="A267" i="2"/>
  <c r="A358" i="2"/>
  <c r="A357" i="2"/>
  <c r="A340" i="2"/>
  <c r="A339" i="2"/>
  <c r="A322" i="2"/>
  <c r="A321" i="2"/>
  <c r="A258" i="2"/>
  <c r="A259" i="2"/>
  <c r="A240" i="2"/>
  <c r="A241" i="2"/>
  <c r="A366" i="2"/>
  <c r="A367" i="2"/>
  <c r="A331" i="2"/>
  <c r="A286" i="2"/>
  <c r="A285" i="2"/>
  <c r="A250" i="2"/>
  <c r="A249" i="2"/>
  <c r="A328" i="2"/>
  <c r="A327" i="2"/>
  <c r="A318" i="2"/>
  <c r="A319" i="2"/>
  <c r="S38" i="19" l="1"/>
  <c r="R44" i="19"/>
  <c r="R57" i="19"/>
  <c r="AB11" i="19"/>
  <c r="V47" i="18"/>
  <c r="O40" i="19"/>
  <c r="O41" i="19"/>
  <c r="O43" i="19"/>
  <c r="O42" i="19"/>
  <c r="O39" i="19"/>
  <c r="Q67" i="19"/>
  <c r="Q65" i="19"/>
  <c r="Q68" i="19"/>
  <c r="Q66" i="19"/>
  <c r="S68" i="19"/>
  <c r="S66" i="19"/>
  <c r="S65" i="19"/>
  <c r="S67" i="19"/>
  <c r="R67" i="19"/>
  <c r="R66" i="19"/>
  <c r="R65" i="19"/>
  <c r="R68" i="19"/>
  <c r="T35" i="18"/>
  <c r="R35" i="18"/>
  <c r="Q35" i="18"/>
  <c r="S35" i="18"/>
  <c r="T30" i="18"/>
  <c r="R30" i="18"/>
  <c r="S30" i="18"/>
  <c r="Q30" i="18"/>
  <c r="R16" i="18"/>
  <c r="T16" i="18"/>
  <c r="S16" i="18"/>
  <c r="Q16" i="18"/>
  <c r="T46" i="18"/>
  <c r="R46" i="18"/>
  <c r="Q46" i="18"/>
  <c r="S46" i="18"/>
  <c r="R42" i="18"/>
  <c r="T42" i="18"/>
  <c r="Q42" i="18"/>
  <c r="S42" i="18"/>
  <c r="T12" i="18"/>
  <c r="R12" i="18"/>
  <c r="S12" i="18"/>
  <c r="Q12" i="18"/>
  <c r="T17" i="18"/>
  <c r="R17" i="18"/>
  <c r="S17" i="18"/>
  <c r="Q17" i="18"/>
  <c r="R20" i="18"/>
  <c r="T20" i="18"/>
  <c r="S20" i="18"/>
  <c r="Q20" i="18"/>
  <c r="R9" i="18"/>
  <c r="T9" i="18"/>
  <c r="AB9" i="19" s="1"/>
  <c r="AD9" i="19" s="1"/>
  <c r="AB19" i="19" s="1"/>
  <c r="S9" i="18"/>
  <c r="Q9" i="18"/>
  <c r="R28" i="18"/>
  <c r="T28" i="18"/>
  <c r="S28" i="18"/>
  <c r="Q28" i="18"/>
  <c r="Q54" i="19"/>
  <c r="Q52" i="19"/>
  <c r="Q53" i="19"/>
  <c r="Q55" i="19"/>
  <c r="N54" i="19"/>
  <c r="N52" i="19"/>
  <c r="N53" i="19"/>
  <c r="N55" i="19"/>
  <c r="P66" i="19"/>
  <c r="P68" i="19"/>
  <c r="P65" i="19"/>
  <c r="P67" i="19"/>
  <c r="O66" i="19"/>
  <c r="O65" i="19"/>
  <c r="O67" i="19"/>
  <c r="O68" i="19"/>
  <c r="O44" i="19"/>
  <c r="S64" i="19"/>
  <c r="V7" i="19"/>
  <c r="W14" i="19"/>
  <c r="T27" i="18"/>
  <c r="R27" i="18"/>
  <c r="S27" i="18"/>
  <c r="Q27" i="18"/>
  <c r="T25" i="18"/>
  <c r="R25" i="18"/>
  <c r="Q25" i="18"/>
  <c r="S25" i="18"/>
  <c r="R21" i="18"/>
  <c r="T21" i="18"/>
  <c r="Q21" i="18"/>
  <c r="S21" i="18"/>
  <c r="R43" i="18"/>
  <c r="T43" i="18"/>
  <c r="Q43" i="18"/>
  <c r="S43" i="18"/>
  <c r="R32" i="18"/>
  <c r="T32" i="18"/>
  <c r="Q32" i="18"/>
  <c r="S32" i="18"/>
  <c r="T7" i="18"/>
  <c r="R7" i="18"/>
  <c r="AB7" i="19" s="1"/>
  <c r="AD7" i="19" s="1"/>
  <c r="Q7" i="18"/>
  <c r="S7" i="18"/>
  <c r="T5" i="18"/>
  <c r="Q5" i="18"/>
  <c r="R5" i="18"/>
  <c r="S5" i="18"/>
  <c r="P47" i="18"/>
  <c r="R14" i="18"/>
  <c r="T14" i="18"/>
  <c r="S14" i="18"/>
  <c r="Q14" i="18"/>
  <c r="R39" i="18"/>
  <c r="T39" i="18"/>
  <c r="Q39" i="18"/>
  <c r="S39" i="18"/>
  <c r="S44" i="18"/>
  <c r="T44" i="18"/>
  <c r="Q44" i="18"/>
  <c r="R44" i="18"/>
  <c r="P55" i="19"/>
  <c r="P53" i="19"/>
  <c r="P54" i="19"/>
  <c r="P52" i="19"/>
  <c r="N56" i="19"/>
  <c r="P43" i="19"/>
  <c r="P40" i="19"/>
  <c r="P42" i="19"/>
  <c r="P39" i="19"/>
  <c r="P41" i="19"/>
  <c r="P38" i="19"/>
  <c r="O38" i="19"/>
  <c r="Q64" i="19"/>
  <c r="R64" i="19"/>
  <c r="R19" i="18"/>
  <c r="T19" i="18"/>
  <c r="Q19" i="18"/>
  <c r="S19" i="18"/>
  <c r="T33" i="18"/>
  <c r="R33" i="18"/>
  <c r="S33" i="18"/>
  <c r="Q33" i="18"/>
  <c r="R6" i="18"/>
  <c r="T6" i="18"/>
  <c r="S6" i="18"/>
  <c r="Q6" i="18"/>
  <c r="R34" i="18"/>
  <c r="T34" i="18"/>
  <c r="S34" i="18"/>
  <c r="Q34" i="18"/>
  <c r="R41" i="18"/>
  <c r="T41" i="18"/>
  <c r="S41" i="18"/>
  <c r="Q41" i="18"/>
  <c r="T11" i="18"/>
  <c r="R11" i="18"/>
  <c r="S11" i="18"/>
  <c r="Q11" i="18"/>
  <c r="T36" i="18"/>
  <c r="R36" i="18"/>
  <c r="Q36" i="18"/>
  <c r="S36" i="18"/>
  <c r="T23" i="18"/>
  <c r="R23" i="18"/>
  <c r="S23" i="18"/>
  <c r="Q23" i="18"/>
  <c r="R8" i="18"/>
  <c r="T8" i="18"/>
  <c r="S8" i="18"/>
  <c r="AB8" i="19" s="1"/>
  <c r="AD8" i="19" s="1"/>
  <c r="Q8" i="18"/>
  <c r="R22" i="18"/>
  <c r="T22" i="18"/>
  <c r="S22" i="18"/>
  <c r="Q22" i="18"/>
  <c r="R24" i="18"/>
  <c r="T24" i="18"/>
  <c r="S24" i="18"/>
  <c r="Q24" i="18"/>
  <c r="N44" i="19"/>
  <c r="N38" i="19"/>
  <c r="N41" i="19"/>
  <c r="N43" i="19"/>
  <c r="N40" i="19"/>
  <c r="N42" i="19"/>
  <c r="P44" i="19"/>
  <c r="Q56" i="19"/>
  <c r="O55" i="19"/>
  <c r="O54" i="19"/>
  <c r="O52" i="19"/>
  <c r="O53" i="19"/>
  <c r="Q41" i="19"/>
  <c r="Q40" i="19"/>
  <c r="Q42" i="19"/>
  <c r="Q43" i="19"/>
  <c r="Q39" i="19"/>
  <c r="S42" i="19"/>
  <c r="S41" i="19"/>
  <c r="S43" i="19"/>
  <c r="S39" i="19"/>
  <c r="S40" i="19"/>
  <c r="R41" i="19"/>
  <c r="R42" i="19"/>
  <c r="R40" i="19"/>
  <c r="R39" i="19"/>
  <c r="R43" i="19"/>
  <c r="S55" i="19"/>
  <c r="S52" i="19"/>
  <c r="S54" i="19"/>
  <c r="S53" i="19"/>
  <c r="T31" i="18"/>
  <c r="R31" i="18"/>
  <c r="Q31" i="18"/>
  <c r="S31" i="18"/>
  <c r="R40" i="18"/>
  <c r="T40" i="18"/>
  <c r="S40" i="18"/>
  <c r="Q40" i="18"/>
  <c r="R26" i="18"/>
  <c r="T26" i="18"/>
  <c r="S26" i="18"/>
  <c r="Q26" i="18"/>
  <c r="T38" i="18"/>
  <c r="R38" i="18"/>
  <c r="Q38" i="18"/>
  <c r="S38" i="18"/>
  <c r="T13" i="18"/>
  <c r="R13" i="18"/>
  <c r="S13" i="18"/>
  <c r="Q13" i="18"/>
  <c r="T29" i="18"/>
  <c r="R29" i="18"/>
  <c r="S29" i="18"/>
  <c r="Q29" i="18"/>
  <c r="T10" i="18"/>
  <c r="R10" i="18"/>
  <c r="S10" i="18"/>
  <c r="Q10" i="18"/>
  <c r="R15" i="18"/>
  <c r="T15" i="18"/>
  <c r="S15" i="18"/>
  <c r="Q15" i="18"/>
  <c r="R18" i="18"/>
  <c r="T18" i="18"/>
  <c r="Q18" i="18"/>
  <c r="S18" i="18"/>
  <c r="T37" i="18"/>
  <c r="R37" i="18"/>
  <c r="Q37" i="18"/>
  <c r="S37" i="18"/>
  <c r="S45" i="18"/>
  <c r="T45" i="18"/>
  <c r="R45" i="18"/>
  <c r="Q45" i="18"/>
  <c r="N68" i="19"/>
  <c r="N64" i="19"/>
  <c r="N66" i="19"/>
  <c r="N67" i="19"/>
  <c r="P56" i="19"/>
  <c r="Q44" i="19"/>
  <c r="A44" i="4"/>
  <c r="A45" i="4"/>
  <c r="L125" i="2"/>
  <c r="L134" i="2"/>
  <c r="L107" i="2"/>
  <c r="L116" i="2"/>
  <c r="L98" i="2"/>
  <c r="L143" i="2"/>
  <c r="A51" i="4"/>
  <c r="K51" i="4" s="1"/>
  <c r="A52" i="4"/>
  <c r="K52" i="4" s="1"/>
  <c r="A50" i="4"/>
  <c r="A47" i="4"/>
  <c r="A48" i="4"/>
  <c r="A46" i="4"/>
  <c r="A49" i="4"/>
  <c r="D47" i="2"/>
  <c r="D53" i="2"/>
  <c r="D50" i="2"/>
  <c r="D62" i="2"/>
  <c r="D56" i="2"/>
  <c r="D59" i="2"/>
  <c r="L16" i="2"/>
  <c r="K16" i="2"/>
  <c r="J16" i="2"/>
  <c r="I16" i="2"/>
  <c r="S57" i="19" l="1"/>
  <c r="S69" i="19"/>
  <c r="R45" i="19"/>
  <c r="R58" i="19" s="1"/>
  <c r="R69" i="19"/>
  <c r="Q45" i="19"/>
  <c r="P69" i="19"/>
  <c r="O57" i="19"/>
  <c r="O69" i="19"/>
  <c r="O45" i="19"/>
  <c r="S45" i="19"/>
  <c r="Q69" i="19"/>
  <c r="Q57" i="19"/>
  <c r="P57" i="19"/>
  <c r="P45" i="19"/>
  <c r="T47" i="18"/>
  <c r="S47" i="18"/>
  <c r="R47" i="18"/>
  <c r="N57" i="19"/>
  <c r="N45" i="19"/>
  <c r="N69" i="19"/>
  <c r="AA46" i="18"/>
  <c r="Z45" i="18"/>
  <c r="Z15" i="18"/>
  <c r="AA16" i="18"/>
  <c r="Z29" i="18"/>
  <c r="AA30" i="18"/>
  <c r="Z24" i="18"/>
  <c r="AA25" i="18"/>
  <c r="AA23" i="18"/>
  <c r="Z22" i="18"/>
  <c r="AA24" i="18"/>
  <c r="Z23" i="18"/>
  <c r="AA12" i="18"/>
  <c r="Z11" i="18"/>
  <c r="Z34" i="18"/>
  <c r="AA35" i="18"/>
  <c r="AA34" i="18"/>
  <c r="Z33" i="18"/>
  <c r="AA40" i="18"/>
  <c r="Z39" i="18"/>
  <c r="Q50" i="18"/>
  <c r="Q47" i="18"/>
  <c r="Q52" i="18"/>
  <c r="AA6" i="18"/>
  <c r="AA43" i="18"/>
  <c r="Z42" i="18"/>
  <c r="Z46" i="18"/>
  <c r="AA36" i="18"/>
  <c r="Z35" i="18"/>
  <c r="AA15" i="18"/>
  <c r="Z14" i="18"/>
  <c r="W15" i="19"/>
  <c r="X6" i="19"/>
  <c r="AD11" i="19"/>
  <c r="AA11" i="18"/>
  <c r="Z10" i="18"/>
  <c r="AA14" i="18"/>
  <c r="Z13" i="18"/>
  <c r="Z26" i="18"/>
  <c r="AA27" i="18"/>
  <c r="AA41" i="18"/>
  <c r="Z40" i="18"/>
  <c r="Z8" i="18"/>
  <c r="AA9" i="18"/>
  <c r="Z41" i="18"/>
  <c r="AA42" i="18"/>
  <c r="Z6" i="18"/>
  <c r="AA7" i="18"/>
  <c r="Z44" i="18"/>
  <c r="AA45" i="18"/>
  <c r="Z27" i="18"/>
  <c r="AA28" i="18"/>
  <c r="AA38" i="18"/>
  <c r="Z37" i="18"/>
  <c r="AA19" i="18"/>
  <c r="Z18" i="18"/>
  <c r="AA39" i="18"/>
  <c r="Z38" i="18"/>
  <c r="Z31" i="18"/>
  <c r="AA32" i="18"/>
  <c r="AA37" i="18"/>
  <c r="Z36" i="18"/>
  <c r="AA20" i="18"/>
  <c r="Z19" i="18"/>
  <c r="AA8" i="18"/>
  <c r="Z7" i="18"/>
  <c r="AA33" i="18"/>
  <c r="Z32" i="18"/>
  <c r="AA44" i="18"/>
  <c r="Z43" i="18"/>
  <c r="AA22" i="18"/>
  <c r="Z21" i="18"/>
  <c r="AA26" i="18"/>
  <c r="Z25" i="18"/>
  <c r="AA29" i="18"/>
  <c r="Z28" i="18"/>
  <c r="AA10" i="18"/>
  <c r="Z9" i="18"/>
  <c r="AA21" i="18"/>
  <c r="Z20" i="18"/>
  <c r="AA18" i="18"/>
  <c r="Z17" i="18"/>
  <c r="AA13" i="18"/>
  <c r="Z12" i="18"/>
  <c r="AA17" i="18"/>
  <c r="Z16" i="18"/>
  <c r="Z30" i="18"/>
  <c r="AA31" i="18"/>
  <c r="A24" i="4"/>
  <c r="A23" i="4"/>
  <c r="L47" i="4"/>
  <c r="K47" i="4"/>
  <c r="A30" i="4"/>
  <c r="A31" i="4"/>
  <c r="K49" i="4"/>
  <c r="L49" i="4"/>
  <c r="K50" i="4"/>
  <c r="L50" i="4"/>
  <c r="A38" i="4"/>
  <c r="A37" i="4"/>
  <c r="L46" i="4"/>
  <c r="K46" i="4"/>
  <c r="K45" i="4"/>
  <c r="L45" i="4"/>
  <c r="A16" i="4"/>
  <c r="A17" i="4"/>
  <c r="L48" i="4"/>
  <c r="K48" i="4"/>
  <c r="L44" i="4"/>
  <c r="K44" i="4"/>
  <c r="P16" i="2"/>
  <c r="H18" i="2" s="1"/>
  <c r="A12" i="4"/>
  <c r="A13" i="4"/>
  <c r="A11" i="4"/>
  <c r="A14" i="4"/>
  <c r="A15" i="4"/>
  <c r="A34" i="4"/>
  <c r="A32" i="4"/>
  <c r="A36" i="4"/>
  <c r="A33" i="4"/>
  <c r="A35" i="4"/>
  <c r="A22" i="4"/>
  <c r="A20" i="4"/>
  <c r="A21" i="4"/>
  <c r="A18" i="4"/>
  <c r="A19" i="4"/>
  <c r="A40" i="4"/>
  <c r="A41" i="4"/>
  <c r="A42" i="4"/>
  <c r="A39" i="4"/>
  <c r="A43" i="4"/>
  <c r="A28" i="4"/>
  <c r="A25" i="4"/>
  <c r="A29" i="4"/>
  <c r="A26" i="4"/>
  <c r="A27" i="4"/>
  <c r="P70" i="19" l="1"/>
  <c r="Q58" i="19"/>
  <c r="Q70" i="19"/>
  <c r="S58" i="19"/>
  <c r="O58" i="19"/>
  <c r="R70" i="19"/>
  <c r="S70" i="19"/>
  <c r="AB23" i="19"/>
  <c r="N58" i="19"/>
  <c r="O70" i="19"/>
  <c r="N70" i="19"/>
  <c r="P58" i="19"/>
  <c r="Z47" i="18"/>
  <c r="AA47" i="18"/>
  <c r="H47" i="18"/>
  <c r="Y18" i="18"/>
  <c r="Y14" i="18"/>
  <c r="Y25" i="18"/>
  <c r="Y28" i="18"/>
  <c r="Y13" i="18"/>
  <c r="Y36" i="18"/>
  <c r="Y21" i="18"/>
  <c r="Y38" i="18"/>
  <c r="Y11" i="18"/>
  <c r="Y31" i="18"/>
  <c r="Y34" i="18"/>
  <c r="Y45" i="18"/>
  <c r="Y15" i="18"/>
  <c r="Y39" i="18"/>
  <c r="Y5" i="18"/>
  <c r="Y19" i="18"/>
  <c r="Y46" i="18"/>
  <c r="Y23" i="18"/>
  <c r="Y16" i="18"/>
  <c r="Y44" i="18"/>
  <c r="Y37" i="18"/>
  <c r="Y29" i="18"/>
  <c r="Y32" i="18"/>
  <c r="Y17" i="18"/>
  <c r="Y20" i="18"/>
  <c r="Y26" i="18"/>
  <c r="Y30" i="18"/>
  <c r="Y9" i="18"/>
  <c r="Y42" i="18"/>
  <c r="Y27" i="18"/>
  <c r="Y33" i="18"/>
  <c r="Y8" i="18"/>
  <c r="Y24" i="18"/>
  <c r="Y12" i="18"/>
  <c r="Y10" i="18"/>
  <c r="Y35" i="18"/>
  <c r="Y40" i="18"/>
  <c r="Y41" i="18"/>
  <c r="Y22" i="18"/>
  <c r="Y6" i="18"/>
  <c r="Y7" i="18"/>
  <c r="Y43" i="18"/>
  <c r="AB20" i="19"/>
  <c r="AB24" i="19" s="1"/>
  <c r="Q51" i="18"/>
  <c r="H45" i="18"/>
  <c r="K37" i="4"/>
  <c r="L37" i="4"/>
  <c r="K38" i="4"/>
  <c r="L38" i="4"/>
  <c r="K17" i="4"/>
  <c r="L17" i="4"/>
  <c r="L31" i="4"/>
  <c r="K31" i="4"/>
  <c r="L23" i="4"/>
  <c r="K23" i="4"/>
  <c r="L16" i="4"/>
  <c r="K16" i="4"/>
  <c r="K30" i="4"/>
  <c r="L30" i="4"/>
  <c r="L24" i="4"/>
  <c r="K24" i="4"/>
  <c r="K29" i="4"/>
  <c r="L29" i="4"/>
  <c r="K11" i="4"/>
  <c r="L11" i="4"/>
  <c r="K25" i="4"/>
  <c r="L25" i="4"/>
  <c r="K42" i="4"/>
  <c r="L42" i="4"/>
  <c r="K18" i="4"/>
  <c r="L18" i="4"/>
  <c r="K35" i="4"/>
  <c r="L35" i="4"/>
  <c r="K34" i="4"/>
  <c r="L34" i="4"/>
  <c r="K13" i="4"/>
  <c r="L13" i="4"/>
  <c r="K39" i="4"/>
  <c r="L39" i="4"/>
  <c r="K22" i="4"/>
  <c r="L22" i="4"/>
  <c r="K27" i="4"/>
  <c r="L27" i="4"/>
  <c r="K28" i="4"/>
  <c r="L28" i="4"/>
  <c r="K41" i="4"/>
  <c r="L41" i="4"/>
  <c r="K21" i="4"/>
  <c r="L21" i="4"/>
  <c r="K33" i="4"/>
  <c r="L33" i="4"/>
  <c r="K15" i="4"/>
  <c r="L15" i="4"/>
  <c r="K12" i="4"/>
  <c r="L12" i="4"/>
  <c r="K19" i="4"/>
  <c r="L19" i="4"/>
  <c r="K32" i="4"/>
  <c r="L32" i="4"/>
  <c r="K26" i="4"/>
  <c r="L26" i="4"/>
  <c r="K43" i="4"/>
  <c r="L43" i="4"/>
  <c r="K40" i="4"/>
  <c r="L40" i="4"/>
  <c r="K20" i="4"/>
  <c r="L20" i="4"/>
  <c r="K36" i="4"/>
  <c r="L36" i="4"/>
  <c r="K14" i="4"/>
  <c r="L14" i="4"/>
  <c r="L18" i="2"/>
  <c r="K18" i="2"/>
  <c r="J18" i="2"/>
  <c r="N18" i="2"/>
  <c r="M18" i="2"/>
  <c r="I18" i="2"/>
  <c r="P9" i="2"/>
  <c r="P7" i="2"/>
  <c r="P8" i="2"/>
  <c r="Y47" i="18" l="1"/>
  <c r="H46" i="18"/>
  <c r="H48" i="18" s="1"/>
  <c r="Q53" i="18"/>
  <c r="J102" i="2"/>
  <c r="J110" i="2"/>
  <c r="J114" i="2"/>
  <c r="J129" i="2"/>
  <c r="J141" i="2"/>
  <c r="J146" i="2"/>
  <c r="J153" i="2"/>
  <c r="J165" i="2"/>
  <c r="J172" i="2"/>
  <c r="J175" i="2"/>
  <c r="J180" i="2"/>
  <c r="J182" i="2"/>
  <c r="J186" i="2"/>
  <c r="J192" i="2"/>
  <c r="J198" i="2"/>
  <c r="J200" i="2"/>
  <c r="J204" i="2"/>
  <c r="J209" i="2"/>
  <c r="J213" i="2"/>
  <c r="J216" i="2"/>
  <c r="J220" i="2"/>
  <c r="J229" i="2"/>
  <c r="J237" i="2"/>
  <c r="J248" i="2"/>
  <c r="J255" i="2"/>
  <c r="J261" i="2"/>
  <c r="J266" i="2"/>
  <c r="J273" i="2"/>
  <c r="J280" i="2"/>
  <c r="J282" i="2"/>
  <c r="J288" i="2"/>
  <c r="J290" i="2"/>
  <c r="J294" i="2"/>
  <c r="J298" i="2"/>
  <c r="J301" i="2"/>
  <c r="J306" i="2"/>
  <c r="J308" i="2"/>
  <c r="J312" i="2"/>
  <c r="J317" i="2"/>
  <c r="J321" i="2"/>
  <c r="J325" i="2"/>
  <c r="J328" i="2"/>
  <c r="J333" i="2"/>
  <c r="J335" i="2"/>
  <c r="J339" i="2"/>
  <c r="J344" i="2"/>
  <c r="J348" i="2"/>
  <c r="J352" i="2"/>
  <c r="J354" i="2"/>
  <c r="J360" i="2"/>
  <c r="J363" i="2"/>
  <c r="J103" i="2"/>
  <c r="J111" i="2"/>
  <c r="J117" i="2"/>
  <c r="J119" i="2"/>
  <c r="J121" i="2"/>
  <c r="J127" i="2"/>
  <c r="J130" i="2"/>
  <c r="J138" i="2"/>
  <c r="J144" i="2"/>
  <c r="J147" i="2"/>
  <c r="J155" i="2"/>
  <c r="J157" i="2"/>
  <c r="J166" i="2"/>
  <c r="J176" i="2"/>
  <c r="J183" i="2"/>
  <c r="J193" i="2"/>
  <c r="J201" i="2"/>
  <c r="J208" i="2"/>
  <c r="J210" i="2"/>
  <c r="J217" i="2"/>
  <c r="J221" i="2"/>
  <c r="J231" i="2"/>
  <c r="J238" i="2"/>
  <c r="J105" i="2"/>
  <c r="J112" i="2"/>
  <c r="J123" i="2"/>
  <c r="J131" i="2"/>
  <c r="J135" i="2"/>
  <c r="J148" i="2"/>
  <c r="J159" i="2"/>
  <c r="J162" i="2"/>
  <c r="J164" i="2"/>
  <c r="J168" i="2"/>
  <c r="J171" i="2"/>
  <c r="J173" i="2"/>
  <c r="J177" i="2"/>
  <c r="J181" i="2"/>
  <c r="J184" i="2"/>
  <c r="J189" i="2"/>
  <c r="J195" i="2"/>
  <c r="J199" i="2"/>
  <c r="J202" i="2"/>
  <c r="J207" i="2"/>
  <c r="J211" i="2"/>
  <c r="J218" i="2"/>
  <c r="J222" i="2"/>
  <c r="J227" i="2"/>
  <c r="J239" i="2"/>
  <c r="J246" i="2"/>
  <c r="J253" i="2"/>
  <c r="J257" i="2"/>
  <c r="J264" i="2"/>
  <c r="J275" i="2"/>
  <c r="J284" i="2"/>
  <c r="J289" i="2"/>
  <c r="J292" i="2"/>
  <c r="J297" i="2"/>
  <c r="J299" i="2"/>
  <c r="J303" i="2"/>
  <c r="J307" i="2"/>
  <c r="J310" i="2"/>
  <c r="J315" i="2"/>
  <c r="J319" i="2"/>
  <c r="J324" i="2"/>
  <c r="J326" i="2"/>
  <c r="J330" i="2"/>
  <c r="J334" i="2"/>
  <c r="J337" i="2"/>
  <c r="J342" i="2"/>
  <c r="J346" i="2"/>
  <c r="J351" i="2"/>
  <c r="J353" i="2"/>
  <c r="J356" i="2"/>
  <c r="J361" i="2"/>
  <c r="J365" i="2"/>
  <c r="J99" i="2"/>
  <c r="J101" i="2"/>
  <c r="J108" i="2"/>
  <c r="J113" i="2"/>
  <c r="J118" i="2"/>
  <c r="J120" i="2"/>
  <c r="J126" i="2"/>
  <c r="J128" i="2"/>
  <c r="J132" i="2"/>
  <c r="J137" i="2"/>
  <c r="J139" i="2"/>
  <c r="J150" i="2"/>
  <c r="J156" i="2"/>
  <c r="J174" i="2"/>
  <c r="J185" i="2"/>
  <c r="J191" i="2"/>
  <c r="J203" i="2"/>
  <c r="J212" i="2"/>
  <c r="J219" i="2"/>
  <c r="J225" i="2"/>
  <c r="J228" i="2"/>
  <c r="J234" i="2"/>
  <c r="J235" i="2"/>
  <c r="J236" i="2"/>
  <c r="J240" i="2"/>
  <c r="J244" i="2"/>
  <c r="J243" i="2"/>
  <c r="J247" i="2"/>
  <c r="J258" i="2"/>
  <c r="J285" i="2"/>
  <c r="J293" i="2"/>
  <c r="J300" i="2"/>
  <c r="J338" i="2"/>
  <c r="J343" i="2"/>
  <c r="J362" i="2"/>
  <c r="J254" i="2"/>
  <c r="J281" i="2"/>
  <c r="J316" i="2"/>
  <c r="J320" i="2"/>
  <c r="J357" i="2"/>
  <c r="J249" i="2"/>
  <c r="J252" i="2"/>
  <c r="J263" i="2"/>
  <c r="J270" i="2"/>
  <c r="J272" i="2"/>
  <c r="J279" i="2"/>
  <c r="J302" i="2"/>
  <c r="J309" i="2"/>
  <c r="J318" i="2"/>
  <c r="J364" i="2"/>
  <c r="J265" i="2"/>
  <c r="J366" i="2"/>
  <c r="J245" i="2"/>
  <c r="J256" i="2"/>
  <c r="J267" i="2"/>
  <c r="J271" i="2"/>
  <c r="J276" i="2"/>
  <c r="J283" i="2"/>
  <c r="J291" i="2"/>
  <c r="J329" i="2"/>
  <c r="J336" i="2"/>
  <c r="J345" i="2"/>
  <c r="J347" i="2"/>
  <c r="J355" i="2"/>
  <c r="J274" i="2"/>
  <c r="J311" i="2"/>
  <c r="J327" i="2"/>
  <c r="J149" i="2"/>
  <c r="J158" i="2"/>
  <c r="J140" i="2"/>
  <c r="J154" i="2"/>
  <c r="J100" i="2"/>
  <c r="J230" i="2"/>
  <c r="J122" i="2"/>
  <c r="J104" i="2"/>
  <c r="J262" i="2"/>
  <c r="J194" i="2"/>
  <c r="J167" i="2"/>
  <c r="J226" i="2"/>
  <c r="J190" i="2"/>
  <c r="J163" i="2"/>
  <c r="J136" i="2"/>
  <c r="J109" i="2"/>
  <c r="J145" i="2"/>
  <c r="E4" i="4"/>
  <c r="J4" i="4" s="1"/>
  <c r="G7" i="4"/>
  <c r="G11" i="4"/>
  <c r="G15" i="4"/>
  <c r="G19" i="4"/>
  <c r="G23" i="4"/>
  <c r="G27" i="4"/>
  <c r="G31" i="4"/>
  <c r="G35" i="4"/>
  <c r="G39" i="4"/>
  <c r="G43" i="4"/>
  <c r="G47" i="4"/>
  <c r="G51" i="4"/>
  <c r="E6" i="4"/>
  <c r="J6" i="4" s="1"/>
  <c r="E10" i="4"/>
  <c r="J10" i="4" s="1"/>
  <c r="E14" i="4"/>
  <c r="J14" i="4" s="1"/>
  <c r="E18" i="4"/>
  <c r="J18" i="4" s="1"/>
  <c r="E22" i="4"/>
  <c r="J22" i="4" s="1"/>
  <c r="E26" i="4"/>
  <c r="J26" i="4" s="1"/>
  <c r="E30" i="4"/>
  <c r="J30" i="4" s="1"/>
  <c r="E34" i="4"/>
  <c r="J34" i="4" s="1"/>
  <c r="E38" i="4"/>
  <c r="J38" i="4" s="1"/>
  <c r="E42" i="4"/>
  <c r="J42" i="4" s="1"/>
  <c r="E46" i="4"/>
  <c r="J46" i="4" s="1"/>
  <c r="E50" i="4"/>
  <c r="J50" i="4" s="1"/>
  <c r="G8" i="4"/>
  <c r="G12" i="4"/>
  <c r="G16" i="4"/>
  <c r="G20" i="4"/>
  <c r="G24" i="4"/>
  <c r="G28" i="4"/>
  <c r="G32" i="4"/>
  <c r="G36" i="4"/>
  <c r="G40" i="4"/>
  <c r="G44" i="4"/>
  <c r="G48" i="4"/>
  <c r="G52" i="4"/>
  <c r="E7" i="4"/>
  <c r="J7" i="4" s="1"/>
  <c r="E11" i="4"/>
  <c r="J11" i="4" s="1"/>
  <c r="E15" i="4"/>
  <c r="J15" i="4" s="1"/>
  <c r="E19" i="4"/>
  <c r="J19" i="4" s="1"/>
  <c r="E23" i="4"/>
  <c r="J23" i="4" s="1"/>
  <c r="E27" i="4"/>
  <c r="J27" i="4" s="1"/>
  <c r="E31" i="4"/>
  <c r="J31" i="4" s="1"/>
  <c r="E35" i="4"/>
  <c r="J35" i="4" s="1"/>
  <c r="E39" i="4"/>
  <c r="J39" i="4" s="1"/>
  <c r="E43" i="4"/>
  <c r="J43" i="4" s="1"/>
  <c r="E47" i="4"/>
  <c r="J47" i="4" s="1"/>
  <c r="E51" i="4"/>
  <c r="J51" i="4" s="1"/>
  <c r="G5" i="4"/>
  <c r="G9" i="4"/>
  <c r="G13" i="4"/>
  <c r="G17" i="4"/>
  <c r="G21" i="4"/>
  <c r="G25" i="4"/>
  <c r="G29" i="4"/>
  <c r="G33" i="4"/>
  <c r="G37" i="4"/>
  <c r="G41" i="4"/>
  <c r="G45" i="4"/>
  <c r="G49" i="4"/>
  <c r="G4" i="4"/>
  <c r="E8" i="4"/>
  <c r="J8" i="4" s="1"/>
  <c r="E12" i="4"/>
  <c r="J12" i="4" s="1"/>
  <c r="E16" i="4"/>
  <c r="J16" i="4" s="1"/>
  <c r="E20" i="4"/>
  <c r="J20" i="4" s="1"/>
  <c r="E24" i="4"/>
  <c r="J24" i="4" s="1"/>
  <c r="E28" i="4"/>
  <c r="J28" i="4" s="1"/>
  <c r="E32" i="4"/>
  <c r="J32" i="4" s="1"/>
  <c r="E36" i="4"/>
  <c r="J36" i="4" s="1"/>
  <c r="E40" i="4"/>
  <c r="J40" i="4" s="1"/>
  <c r="E44" i="4"/>
  <c r="J44" i="4" s="1"/>
  <c r="E48" i="4"/>
  <c r="J48" i="4" s="1"/>
  <c r="E52" i="4"/>
  <c r="J52" i="4" s="1"/>
  <c r="G6" i="4"/>
  <c r="G10" i="4"/>
  <c r="G14" i="4"/>
  <c r="G18" i="4"/>
  <c r="G22" i="4"/>
  <c r="G26" i="4"/>
  <c r="G30" i="4"/>
  <c r="G34" i="4"/>
  <c r="G38" i="4"/>
  <c r="G42" i="4"/>
  <c r="G46" i="4"/>
  <c r="G50" i="4"/>
  <c r="E5" i="4"/>
  <c r="J5" i="4" s="1"/>
  <c r="E9" i="4"/>
  <c r="J9" i="4" s="1"/>
  <c r="E13" i="4"/>
  <c r="J13" i="4" s="1"/>
  <c r="E17" i="4"/>
  <c r="J17" i="4" s="1"/>
  <c r="E21" i="4"/>
  <c r="J21" i="4" s="1"/>
  <c r="E25" i="4"/>
  <c r="J25" i="4" s="1"/>
  <c r="E29" i="4"/>
  <c r="J29" i="4" s="1"/>
  <c r="E33" i="4"/>
  <c r="J33" i="4" s="1"/>
  <c r="E37" i="4"/>
  <c r="J37" i="4" s="1"/>
  <c r="E41" i="4"/>
  <c r="J41" i="4" s="1"/>
  <c r="E45" i="4"/>
  <c r="J45" i="4" s="1"/>
  <c r="E49" i="4"/>
  <c r="J49" i="4" s="1"/>
  <c r="J17" i="2"/>
  <c r="L17" i="2"/>
  <c r="N17" i="2"/>
  <c r="H17" i="2"/>
  <c r="K17" i="2"/>
  <c r="M17" i="2"/>
  <c r="I17" i="2"/>
  <c r="P12" i="2"/>
  <c r="P11" i="2"/>
  <c r="X7" i="18" l="1"/>
  <c r="W39" i="18"/>
  <c r="X25" i="18"/>
  <c r="X43" i="18"/>
  <c r="X44" i="18"/>
  <c r="W21" i="18"/>
  <c r="X12" i="18"/>
  <c r="X6" i="18"/>
  <c r="W43" i="18"/>
  <c r="X32" i="18"/>
  <c r="W26" i="18"/>
  <c r="X18" i="18"/>
  <c r="X11" i="18"/>
  <c r="W15" i="18"/>
  <c r="X8" i="18"/>
  <c r="X38" i="18"/>
  <c r="W33" i="18"/>
  <c r="X28" i="18"/>
  <c r="W24" i="18"/>
  <c r="X22" i="18"/>
  <c r="W31" i="18"/>
  <c r="W29" i="18"/>
  <c r="W32" i="18"/>
  <c r="W27" i="18"/>
  <c r="X21" i="18"/>
  <c r="W8" i="18"/>
  <c r="W34" i="18"/>
  <c r="W16" i="18"/>
  <c r="X24" i="18"/>
  <c r="W9" i="18"/>
  <c r="X29" i="18"/>
  <c r="W45" i="18"/>
  <c r="W36" i="18"/>
  <c r="X9" i="18"/>
  <c r="W44" i="18"/>
  <c r="X30" i="18"/>
  <c r="W17" i="18"/>
  <c r="X19" i="18"/>
  <c r="W40" i="18"/>
  <c r="X27" i="18"/>
  <c r="X46" i="18"/>
  <c r="X26" i="18"/>
  <c r="W20" i="18"/>
  <c r="X36" i="18"/>
  <c r="X10" i="18"/>
  <c r="W14" i="18"/>
  <c r="X17" i="18"/>
  <c r="X13" i="18"/>
  <c r="X34" i="18"/>
  <c r="W30" i="18"/>
  <c r="X20" i="18"/>
  <c r="X15" i="18"/>
  <c r="X14" i="18"/>
  <c r="W12" i="18"/>
  <c r="W37" i="18"/>
  <c r="W19" i="18"/>
  <c r="W5" i="18"/>
  <c r="W13" i="18"/>
  <c r="X5" i="18"/>
  <c r="W23" i="18"/>
  <c r="W35" i="18"/>
  <c r="X16" i="18"/>
  <c r="X37" i="18"/>
  <c r="W6" i="18"/>
  <c r="X45" i="18"/>
  <c r="W7" i="18"/>
  <c r="X41" i="18"/>
  <c r="X40" i="18"/>
  <c r="W10" i="18"/>
  <c r="W41" i="18"/>
  <c r="W18" i="18"/>
  <c r="W25" i="18"/>
  <c r="X31" i="18"/>
  <c r="W22" i="18"/>
  <c r="X42" i="18"/>
  <c r="X33" i="18"/>
  <c r="W28" i="18"/>
  <c r="W42" i="18"/>
  <c r="W38" i="18"/>
  <c r="X23" i="18"/>
  <c r="X35" i="18"/>
  <c r="W46" i="18"/>
  <c r="X39" i="18"/>
  <c r="W11" i="18"/>
  <c r="S353" i="2"/>
  <c r="J323" i="2"/>
  <c r="AD323" i="2" s="1"/>
  <c r="J134" i="2"/>
  <c r="J179" i="2"/>
  <c r="M179" i="2" s="1"/>
  <c r="S180" i="2" s="1"/>
  <c r="S181" i="2" s="1"/>
  <c r="S183" i="2" s="1"/>
  <c r="S119" i="2"/>
  <c r="J98" i="2"/>
  <c r="S290" i="2"/>
  <c r="S218" i="2"/>
  <c r="S137" i="2"/>
  <c r="S281" i="2"/>
  <c r="J278" i="2"/>
  <c r="J251" i="2"/>
  <c r="J314" i="2"/>
  <c r="J341" i="2"/>
  <c r="J233" i="2"/>
  <c r="S326" i="2"/>
  <c r="S308" i="2"/>
  <c r="S299" i="2"/>
  <c r="J296" i="2"/>
  <c r="S146" i="2"/>
  <c r="J143" i="2"/>
  <c r="S335" i="2"/>
  <c r="J305" i="2"/>
  <c r="J215" i="2"/>
  <c r="S200" i="2"/>
  <c r="R323" i="2"/>
  <c r="J332" i="2"/>
  <c r="J197" i="2"/>
  <c r="S155" i="2"/>
  <c r="J152" i="2"/>
  <c r="S263" i="2"/>
  <c r="S101" i="2"/>
  <c r="S272" i="2"/>
  <c r="AA269" i="2"/>
  <c r="J269" i="2"/>
  <c r="M269" i="2" s="1"/>
  <c r="S270" i="2" s="1"/>
  <c r="S271" i="2" s="1"/>
  <c r="S273" i="2" s="1"/>
  <c r="R269" i="2"/>
  <c r="J224" i="2"/>
  <c r="J350" i="2"/>
  <c r="S209" i="2"/>
  <c r="J206" i="2"/>
  <c r="J188" i="2"/>
  <c r="S191" i="2"/>
  <c r="J161" i="2"/>
  <c r="S164" i="2"/>
  <c r="S236" i="2"/>
  <c r="J116" i="2"/>
  <c r="S362" i="2"/>
  <c r="S344" i="2"/>
  <c r="J260" i="2"/>
  <c r="S173" i="2"/>
  <c r="J287" i="2"/>
  <c r="S227" i="2"/>
  <c r="J359" i="2"/>
  <c r="S245" i="2"/>
  <c r="J242" i="2"/>
  <c r="J125" i="2"/>
  <c r="J107" i="2"/>
  <c r="S110" i="2"/>
  <c r="S317" i="2"/>
  <c r="S254" i="2"/>
  <c r="S182" i="2"/>
  <c r="J170" i="2"/>
  <c r="S128" i="2"/>
  <c r="B29" i="4"/>
  <c r="M29" i="4" s="1"/>
  <c r="B37" i="4"/>
  <c r="M37" i="4" s="1"/>
  <c r="B26" i="4"/>
  <c r="M26" i="4" s="1"/>
  <c r="B21" i="4"/>
  <c r="M21" i="4" s="1"/>
  <c r="B17" i="4"/>
  <c r="M17" i="4" s="1"/>
  <c r="B12" i="4"/>
  <c r="M12" i="4" s="1"/>
  <c r="B24" i="4"/>
  <c r="M24" i="4" s="1"/>
  <c r="B10" i="4"/>
  <c r="M10" i="4" s="1"/>
  <c r="B42" i="4"/>
  <c r="M42" i="4" s="1"/>
  <c r="B5" i="4"/>
  <c r="M5" i="4" s="1"/>
  <c r="B27" i="4"/>
  <c r="M27" i="4" s="1"/>
  <c r="B4" i="4"/>
  <c r="M4" i="4" s="1"/>
  <c r="B45" i="4"/>
  <c r="M45" i="4" s="1"/>
  <c r="B43" i="4"/>
  <c r="M43" i="4" s="1"/>
  <c r="B8" i="4"/>
  <c r="M8" i="4" s="1"/>
  <c r="B11" i="4"/>
  <c r="M11" i="4" s="1"/>
  <c r="B40" i="4"/>
  <c r="M40" i="4" s="1"/>
  <c r="B38" i="4"/>
  <c r="M38" i="4" s="1"/>
  <c r="B7" i="4"/>
  <c r="M7" i="4" s="1"/>
  <c r="B23" i="4"/>
  <c r="M23" i="4" s="1"/>
  <c r="B36" i="4"/>
  <c r="M36" i="4" s="1"/>
  <c r="B22" i="4"/>
  <c r="M22" i="4" s="1"/>
  <c r="B33" i="4"/>
  <c r="M33" i="4" s="1"/>
  <c r="B6" i="4"/>
  <c r="M6" i="4" s="1"/>
  <c r="B52" i="4"/>
  <c r="B49" i="4"/>
  <c r="M49" i="4" s="1"/>
  <c r="B20" i="4"/>
  <c r="M20" i="4" s="1"/>
  <c r="B39" i="4"/>
  <c r="M39" i="4" s="1"/>
  <c r="B15" i="4"/>
  <c r="M15" i="4" s="1"/>
  <c r="B9" i="4"/>
  <c r="M9" i="4" s="1"/>
  <c r="B30" i="4"/>
  <c r="M30" i="4" s="1"/>
  <c r="B41" i="4"/>
  <c r="M41" i="4" s="1"/>
  <c r="B47" i="4"/>
  <c r="M47" i="4" s="1"/>
  <c r="B14" i="4"/>
  <c r="M14" i="4" s="1"/>
  <c r="B25" i="4"/>
  <c r="M25" i="4" s="1"/>
  <c r="B28" i="4"/>
  <c r="M28" i="4" s="1"/>
  <c r="B46" i="4"/>
  <c r="M46" i="4" s="1"/>
  <c r="B31" i="4"/>
  <c r="M31" i="4" s="1"/>
  <c r="B44" i="4"/>
  <c r="M44" i="4" s="1"/>
  <c r="B51" i="4"/>
  <c r="B34" i="4"/>
  <c r="M34" i="4" s="1"/>
  <c r="B18" i="4"/>
  <c r="M18" i="4" s="1"/>
  <c r="B32" i="4"/>
  <c r="M32" i="4" s="1"/>
  <c r="B48" i="4"/>
  <c r="M48" i="4" s="1"/>
  <c r="B19" i="4"/>
  <c r="M19" i="4" s="1"/>
  <c r="B50" i="4"/>
  <c r="M50" i="4" s="1"/>
  <c r="B13" i="4"/>
  <c r="M13" i="4" s="1"/>
  <c r="B16" i="4"/>
  <c r="M16" i="4" s="1"/>
  <c r="B35" i="4"/>
  <c r="M35" i="4" s="1"/>
  <c r="C133" i="13"/>
  <c r="C187" i="13"/>
  <c r="C70" i="13"/>
  <c r="C277" i="13"/>
  <c r="C151" i="13"/>
  <c r="C223" i="13"/>
  <c r="C259" i="13"/>
  <c r="C124" i="13"/>
  <c r="C142" i="13"/>
  <c r="C106" i="13"/>
  <c r="C178" i="13"/>
  <c r="C214" i="13"/>
  <c r="C250" i="13"/>
  <c r="C286" i="13"/>
  <c r="C97" i="13"/>
  <c r="C115" i="13"/>
  <c r="C169" i="13"/>
  <c r="C205" i="13"/>
  <c r="C241" i="13"/>
  <c r="C160" i="13"/>
  <c r="C196" i="13"/>
  <c r="C232" i="13"/>
  <c r="C268" i="13"/>
  <c r="C79" i="13"/>
  <c r="C61" i="13"/>
  <c r="C52" i="13"/>
  <c r="C43" i="13"/>
  <c r="C34" i="13"/>
  <c r="C88" i="13"/>
  <c r="C25" i="13"/>
  <c r="P10" i="2"/>
  <c r="G55" i="4"/>
  <c r="I46" i="4" s="1"/>
  <c r="X47" i="18" l="1"/>
  <c r="W47" i="18"/>
  <c r="AA134" i="2"/>
  <c r="AA135" i="2" s="1"/>
  <c r="M98" i="2"/>
  <c r="AA98" i="2"/>
  <c r="AA99" i="2" s="1"/>
  <c r="AJ98" i="2"/>
  <c r="AJ102" i="2" s="1"/>
  <c r="U98" i="2"/>
  <c r="U102" i="2" s="1"/>
  <c r="M323" i="2"/>
  <c r="S324" i="2" s="1"/>
  <c r="S325" i="2" s="1"/>
  <c r="S327" i="2" s="1"/>
  <c r="R98" i="2"/>
  <c r="R99" i="2" s="1"/>
  <c r="M134" i="2"/>
  <c r="U134" i="2"/>
  <c r="U138" i="2" s="1"/>
  <c r="AD98" i="2"/>
  <c r="AD99" i="2" s="1"/>
  <c r="AG98" i="2"/>
  <c r="AG100" i="2" s="1"/>
  <c r="R134" i="2"/>
  <c r="R135" i="2" s="1"/>
  <c r="X98" i="2"/>
  <c r="X100" i="2" s="1"/>
  <c r="R179" i="2"/>
  <c r="R180" i="2" s="1"/>
  <c r="X179" i="2"/>
  <c r="X181" i="2" s="1"/>
  <c r="R242" i="2"/>
  <c r="M242" i="2"/>
  <c r="S243" i="2" s="1"/>
  <c r="S244" i="2" s="1"/>
  <c r="S246" i="2" s="1"/>
  <c r="U242" i="2"/>
  <c r="R287" i="2"/>
  <c r="M287" i="2"/>
  <c r="S288" i="2" s="1"/>
  <c r="S289" i="2" s="1"/>
  <c r="S291" i="2" s="1"/>
  <c r="X287" i="2"/>
  <c r="R161" i="2"/>
  <c r="M161" i="2"/>
  <c r="S162" i="2" s="1"/>
  <c r="S163" i="2" s="1"/>
  <c r="S165" i="2" s="1"/>
  <c r="U332" i="2"/>
  <c r="R332" i="2"/>
  <c r="M332" i="2"/>
  <c r="S333" i="2" s="1"/>
  <c r="S334" i="2" s="1"/>
  <c r="S336" i="2" s="1"/>
  <c r="M143" i="2"/>
  <c r="AD143" i="2"/>
  <c r="R143" i="2"/>
  <c r="U314" i="2"/>
  <c r="X314" i="2"/>
  <c r="R314" i="2"/>
  <c r="M314" i="2"/>
  <c r="S315" i="2" s="1"/>
  <c r="S316" i="2" s="1"/>
  <c r="S318" i="2" s="1"/>
  <c r="AA271" i="2"/>
  <c r="AA270" i="2"/>
  <c r="U152" i="2"/>
  <c r="X152" i="2"/>
  <c r="R152" i="2"/>
  <c r="M152" i="2"/>
  <c r="S153" i="2" s="1"/>
  <c r="S154" i="2" s="1"/>
  <c r="S156" i="2" s="1"/>
  <c r="AD324" i="2"/>
  <c r="AD325" i="2"/>
  <c r="R215" i="2"/>
  <c r="M215" i="2"/>
  <c r="S216" i="2" s="1"/>
  <c r="S217" i="2" s="1"/>
  <c r="S219" i="2" s="1"/>
  <c r="R251" i="2"/>
  <c r="M251" i="2"/>
  <c r="S252" i="2" s="1"/>
  <c r="S253" i="2" s="1"/>
  <c r="S255" i="2" s="1"/>
  <c r="M107" i="2"/>
  <c r="R107" i="2"/>
  <c r="M359" i="2"/>
  <c r="S360" i="2" s="1"/>
  <c r="S361" i="2" s="1"/>
  <c r="S363" i="2" s="1"/>
  <c r="R359" i="2"/>
  <c r="X260" i="2"/>
  <c r="R260" i="2"/>
  <c r="M260" i="2"/>
  <c r="S261" i="2" s="1"/>
  <c r="S262" i="2" s="1"/>
  <c r="S264" i="2" s="1"/>
  <c r="U260" i="2"/>
  <c r="AD188" i="2"/>
  <c r="M188" i="2"/>
  <c r="S189" i="2" s="1"/>
  <c r="S190" i="2" s="1"/>
  <c r="S192" i="2" s="1"/>
  <c r="U188" i="2"/>
  <c r="R188" i="2"/>
  <c r="R224" i="2"/>
  <c r="U224" i="2"/>
  <c r="M224" i="2"/>
  <c r="S225" i="2" s="1"/>
  <c r="S226" i="2" s="1"/>
  <c r="S228" i="2" s="1"/>
  <c r="R305" i="2"/>
  <c r="M305" i="2"/>
  <c r="S306" i="2" s="1"/>
  <c r="S307" i="2" s="1"/>
  <c r="S309" i="2" s="1"/>
  <c r="AA305" i="2"/>
  <c r="R296" i="2"/>
  <c r="M296" i="2"/>
  <c r="S297" i="2" s="1"/>
  <c r="S298" i="2" s="1"/>
  <c r="S300" i="2" s="1"/>
  <c r="U296" i="2"/>
  <c r="M233" i="2"/>
  <c r="S234" i="2" s="1"/>
  <c r="S235" i="2" s="1"/>
  <c r="S237" i="2" s="1"/>
  <c r="R233" i="2"/>
  <c r="X233" i="2"/>
  <c r="AD233" i="2"/>
  <c r="AA233" i="2"/>
  <c r="M278" i="2"/>
  <c r="S279" i="2" s="1"/>
  <c r="S280" i="2" s="1"/>
  <c r="S282" i="2" s="1"/>
  <c r="R278" i="2"/>
  <c r="U278" i="2"/>
  <c r="AD278" i="2"/>
  <c r="U170" i="2"/>
  <c r="R170" i="2"/>
  <c r="M170" i="2"/>
  <c r="S171" i="2" s="1"/>
  <c r="S172" i="2" s="1"/>
  <c r="S174" i="2" s="1"/>
  <c r="M116" i="2"/>
  <c r="U116" i="2"/>
  <c r="R116" i="2"/>
  <c r="R350" i="2"/>
  <c r="M350" i="2"/>
  <c r="S351" i="2" s="1"/>
  <c r="S352" i="2" s="1"/>
  <c r="S354" i="2" s="1"/>
  <c r="U350" i="2"/>
  <c r="X125" i="2"/>
  <c r="R125" i="2"/>
  <c r="M125" i="2"/>
  <c r="M206" i="2"/>
  <c r="S207" i="2" s="1"/>
  <c r="S208" i="2" s="1"/>
  <c r="S210" i="2" s="1"/>
  <c r="X206" i="2"/>
  <c r="R206" i="2"/>
  <c r="U206" i="2"/>
  <c r="R270" i="2"/>
  <c r="R272" i="2"/>
  <c r="R271" i="2"/>
  <c r="R273" i="2"/>
  <c r="M197" i="2"/>
  <c r="S198" i="2" s="1"/>
  <c r="S199" i="2" s="1"/>
  <c r="S201" i="2" s="1"/>
  <c r="AA197" i="2"/>
  <c r="R197" i="2"/>
  <c r="R325" i="2"/>
  <c r="R327" i="2"/>
  <c r="R326" i="2"/>
  <c r="R324" i="2"/>
  <c r="R341" i="2"/>
  <c r="AA341" i="2"/>
  <c r="M341" i="2"/>
  <c r="S342" i="2" s="1"/>
  <c r="S343" i="2" s="1"/>
  <c r="S345" i="2" s="1"/>
  <c r="X341" i="2"/>
  <c r="I23" i="4"/>
  <c r="I40" i="4"/>
  <c r="I4" i="4"/>
  <c r="I11" i="4"/>
  <c r="I28" i="4"/>
  <c r="I41" i="4"/>
  <c r="I15" i="4"/>
  <c r="I32" i="4"/>
  <c r="I45" i="4"/>
  <c r="I19" i="4"/>
  <c r="I36" i="4"/>
  <c r="I49" i="4"/>
  <c r="I39" i="4"/>
  <c r="I5" i="4"/>
  <c r="I18" i="4"/>
  <c r="I27" i="4"/>
  <c r="I44" i="4"/>
  <c r="I6" i="4"/>
  <c r="I31" i="4"/>
  <c r="I48" i="4"/>
  <c r="I10" i="4"/>
  <c r="I35" i="4"/>
  <c r="I52" i="4"/>
  <c r="I14" i="4"/>
  <c r="I8" i="4"/>
  <c r="I21" i="4"/>
  <c r="I34" i="4"/>
  <c r="I43" i="4"/>
  <c r="I9" i="4"/>
  <c r="I22" i="4"/>
  <c r="I47" i="4"/>
  <c r="I13" i="4"/>
  <c r="I26" i="4"/>
  <c r="I51" i="4"/>
  <c r="I17" i="4"/>
  <c r="I30" i="4"/>
  <c r="I7" i="4"/>
  <c r="I24" i="4"/>
  <c r="I37" i="4"/>
  <c r="I50" i="4"/>
  <c r="I12" i="4"/>
  <c r="I25" i="4"/>
  <c r="I38" i="4"/>
  <c r="I16" i="4"/>
  <c r="I29" i="4"/>
  <c r="I42" i="4"/>
  <c r="I20" i="4"/>
  <c r="I33" i="4"/>
  <c r="C15" i="13"/>
  <c r="C18" i="13" s="1"/>
  <c r="C13" i="13" s="1"/>
  <c r="E286" i="13"/>
  <c r="AA136" i="2" l="1"/>
  <c r="R101" i="2"/>
  <c r="AA100" i="2"/>
  <c r="R102" i="2"/>
  <c r="R100" i="2"/>
  <c r="AJ100" i="2"/>
  <c r="AJ101" i="2"/>
  <c r="U99" i="2"/>
  <c r="U135" i="2"/>
  <c r="U101" i="2"/>
  <c r="U136" i="2"/>
  <c r="U100" i="2"/>
  <c r="X102" i="2"/>
  <c r="AJ99" i="2"/>
  <c r="R137" i="2"/>
  <c r="U137" i="2"/>
  <c r="X99" i="2"/>
  <c r="R181" i="2"/>
  <c r="X101" i="2"/>
  <c r="AD100" i="2"/>
  <c r="R182" i="2"/>
  <c r="R138" i="2"/>
  <c r="R136" i="2"/>
  <c r="AG101" i="2"/>
  <c r="AG99" i="2"/>
  <c r="R183" i="2"/>
  <c r="AG102" i="2"/>
  <c r="X180" i="2"/>
  <c r="AD190" i="2"/>
  <c r="AD189" i="2"/>
  <c r="AA199" i="2"/>
  <c r="AA198" i="2"/>
  <c r="X207" i="2"/>
  <c r="X208" i="2"/>
  <c r="AD279" i="2"/>
  <c r="AD280" i="2"/>
  <c r="AA235" i="2"/>
  <c r="AA234" i="2"/>
  <c r="AA306" i="2"/>
  <c r="AA307" i="2"/>
  <c r="U225" i="2"/>
  <c r="U226" i="2"/>
  <c r="R261" i="2"/>
  <c r="R262" i="2"/>
  <c r="R263" i="2"/>
  <c r="R264" i="2"/>
  <c r="R111" i="2"/>
  <c r="R108" i="2"/>
  <c r="R109" i="2"/>
  <c r="R110" i="2"/>
  <c r="X153" i="2"/>
  <c r="X154" i="2"/>
  <c r="X315" i="2"/>
  <c r="X316" i="2"/>
  <c r="R289" i="2"/>
  <c r="R291" i="2"/>
  <c r="R290" i="2"/>
  <c r="R288" i="2"/>
  <c r="AA342" i="2"/>
  <c r="AA343" i="2"/>
  <c r="R252" i="2"/>
  <c r="R255" i="2"/>
  <c r="R254" i="2"/>
  <c r="R253" i="2"/>
  <c r="U155" i="2"/>
  <c r="U154" i="2"/>
  <c r="U156" i="2"/>
  <c r="U153" i="2"/>
  <c r="U315" i="2"/>
  <c r="U316" i="2"/>
  <c r="R164" i="2"/>
  <c r="R162" i="2"/>
  <c r="R165" i="2"/>
  <c r="R163" i="2"/>
  <c r="R343" i="2"/>
  <c r="R342" i="2"/>
  <c r="R344" i="2"/>
  <c r="R345" i="2"/>
  <c r="U208" i="2"/>
  <c r="U207" i="2"/>
  <c r="X126" i="2"/>
  <c r="X127" i="2"/>
  <c r="R120" i="2"/>
  <c r="R118" i="2"/>
  <c r="R117" i="2"/>
  <c r="R119" i="2"/>
  <c r="R173" i="2"/>
  <c r="R174" i="2"/>
  <c r="R171" i="2"/>
  <c r="R172" i="2"/>
  <c r="R280" i="2"/>
  <c r="R281" i="2"/>
  <c r="R279" i="2"/>
  <c r="R282" i="2"/>
  <c r="X234" i="2"/>
  <c r="X235" i="2"/>
  <c r="R306" i="2"/>
  <c r="R309" i="2"/>
  <c r="R308" i="2"/>
  <c r="R307" i="2"/>
  <c r="R190" i="2"/>
  <c r="R189" i="2"/>
  <c r="R192" i="2"/>
  <c r="R191" i="2"/>
  <c r="U262" i="2"/>
  <c r="U261" i="2"/>
  <c r="R362" i="2"/>
  <c r="R363" i="2"/>
  <c r="R360" i="2"/>
  <c r="R361" i="2"/>
  <c r="R145" i="2"/>
  <c r="R147" i="2"/>
  <c r="R146" i="2"/>
  <c r="R144" i="2"/>
  <c r="R335" i="2"/>
  <c r="R333" i="2"/>
  <c r="R334" i="2"/>
  <c r="R336" i="2"/>
  <c r="X289" i="2"/>
  <c r="X288" i="2"/>
  <c r="R127" i="2"/>
  <c r="R129" i="2"/>
  <c r="R126" i="2"/>
  <c r="R128" i="2"/>
  <c r="R351" i="2"/>
  <c r="R353" i="2"/>
  <c r="R354" i="2"/>
  <c r="R352" i="2"/>
  <c r="U279" i="2"/>
  <c r="U280" i="2"/>
  <c r="AD234" i="2"/>
  <c r="AD235" i="2"/>
  <c r="U298" i="2"/>
  <c r="U297" i="2"/>
  <c r="R228" i="2"/>
  <c r="R227" i="2"/>
  <c r="R225" i="2"/>
  <c r="R226" i="2"/>
  <c r="X261" i="2"/>
  <c r="X262" i="2"/>
  <c r="U244" i="2"/>
  <c r="U243" i="2"/>
  <c r="X342" i="2"/>
  <c r="X343" i="2"/>
  <c r="R198" i="2"/>
  <c r="R201" i="2"/>
  <c r="R200" i="2"/>
  <c r="R199" i="2"/>
  <c r="R209" i="2"/>
  <c r="R208" i="2"/>
  <c r="R207" i="2"/>
  <c r="R210" i="2"/>
  <c r="U352" i="2"/>
  <c r="U351" i="2"/>
  <c r="U120" i="2"/>
  <c r="U119" i="2"/>
  <c r="U117" i="2"/>
  <c r="U118" i="2"/>
  <c r="U171" i="2"/>
  <c r="U172" i="2"/>
  <c r="R236" i="2"/>
  <c r="R234" i="2"/>
  <c r="R235" i="2"/>
  <c r="R237" i="2"/>
  <c r="R298" i="2"/>
  <c r="R300" i="2"/>
  <c r="R299" i="2"/>
  <c r="R297" i="2"/>
  <c r="U190" i="2"/>
  <c r="U189" i="2"/>
  <c r="R217" i="2"/>
  <c r="R216" i="2"/>
  <c r="R219" i="2"/>
  <c r="R218" i="2"/>
  <c r="R156" i="2"/>
  <c r="R153" i="2"/>
  <c r="R155" i="2"/>
  <c r="R154" i="2"/>
  <c r="R317" i="2"/>
  <c r="R315" i="2"/>
  <c r="R318" i="2"/>
  <c r="R316" i="2"/>
  <c r="AD144" i="2"/>
  <c r="AD145" i="2"/>
  <c r="U333" i="2"/>
  <c r="U334" i="2"/>
  <c r="R246" i="2"/>
  <c r="R245" i="2"/>
  <c r="R243" i="2"/>
  <c r="R244" i="2"/>
  <c r="D34" i="13"/>
  <c r="D187" i="13"/>
  <c r="D277" i="13"/>
  <c r="D223" i="13"/>
  <c r="D124" i="13"/>
  <c r="D106" i="13"/>
  <c r="D214" i="13"/>
  <c r="D286" i="13"/>
  <c r="D115" i="13"/>
  <c r="D205" i="13"/>
  <c r="D160" i="13"/>
  <c r="D232" i="13"/>
  <c r="D79" i="13"/>
  <c r="D52" i="13"/>
  <c r="D15" i="13"/>
  <c r="H285" i="13"/>
  <c r="H286" i="13"/>
  <c r="H288" i="13"/>
  <c r="I288" i="13"/>
  <c r="I285" i="13"/>
  <c r="I287" i="13"/>
  <c r="F286" i="13"/>
  <c r="I284" i="13"/>
  <c r="I286" i="13"/>
  <c r="H284" i="13"/>
  <c r="H287" i="13"/>
  <c r="H283" i="13"/>
  <c r="D25" i="13"/>
  <c r="D133" i="13"/>
  <c r="D70" i="13"/>
  <c r="D151" i="13"/>
  <c r="D259" i="13"/>
  <c r="D142" i="13"/>
  <c r="D178" i="13"/>
  <c r="D250" i="13"/>
  <c r="D97" i="13"/>
  <c r="D169" i="13"/>
  <c r="D241" i="13"/>
  <c r="D196" i="13"/>
  <c r="D268" i="13"/>
  <c r="D61" i="13"/>
  <c r="D43" i="13"/>
  <c r="D88" i="13"/>
  <c r="P18" i="2"/>
  <c r="N116" i="2" l="1"/>
  <c r="O116" i="2" s="1"/>
  <c r="S117" i="2" s="1"/>
  <c r="S118" i="2" s="1"/>
  <c r="S120" i="2" s="1"/>
  <c r="N107" i="2"/>
  <c r="O107" i="2" s="1"/>
  <c r="S108" i="2" s="1"/>
  <c r="S109" i="2" s="1"/>
  <c r="S111" i="2" s="1"/>
  <c r="N143" i="2"/>
  <c r="O143" i="2" s="1"/>
  <c r="S144" i="2" s="1"/>
  <c r="S145" i="2" s="1"/>
  <c r="S147" i="2" s="1"/>
  <c r="N125" i="2"/>
  <c r="O125" i="2" s="1"/>
  <c r="S126" i="2" s="1"/>
  <c r="S127" i="2" s="1"/>
  <c r="S129" i="2" s="1"/>
  <c r="N134" i="2"/>
  <c r="O134" i="2" s="1"/>
  <c r="S135" i="2" s="1"/>
  <c r="S136" i="2" s="1"/>
  <c r="S138" i="2" s="1"/>
  <c r="N98" i="2"/>
  <c r="O98" i="2" s="1"/>
  <c r="S99" i="2" s="1"/>
  <c r="S100" i="2" s="1"/>
  <c r="AF100" i="2" s="1"/>
  <c r="G286" i="13"/>
  <c r="C140" i="13"/>
  <c r="C86" i="13"/>
  <c r="C113" i="13"/>
  <c r="C176" i="13"/>
  <c r="C266" i="13"/>
  <c r="C248" i="13"/>
  <c r="C212" i="13"/>
  <c r="C230" i="13"/>
  <c r="C194" i="13"/>
  <c r="C158" i="13"/>
  <c r="C104" i="13"/>
  <c r="C122" i="13"/>
  <c r="C68" i="13"/>
  <c r="C275" i="13"/>
  <c r="C257" i="13"/>
  <c r="C239" i="13"/>
  <c r="C203" i="13"/>
  <c r="C221" i="13"/>
  <c r="C185" i="13"/>
  <c r="C167" i="13"/>
  <c r="C131" i="13"/>
  <c r="C149" i="13"/>
  <c r="C32" i="13"/>
  <c r="S102" i="2" l="1"/>
  <c r="C33" i="13"/>
  <c r="C150" i="13"/>
  <c r="C168" i="13"/>
  <c r="C222" i="13"/>
  <c r="C240" i="13"/>
  <c r="C276" i="13"/>
  <c r="C123" i="13"/>
  <c r="C159" i="13"/>
  <c r="C231" i="13"/>
  <c r="C249" i="13"/>
  <c r="C177" i="13"/>
  <c r="C87" i="13"/>
  <c r="C132" i="13"/>
  <c r="C186" i="13"/>
  <c r="C204" i="13"/>
  <c r="C258" i="13"/>
  <c r="C69" i="13"/>
  <c r="C105" i="13"/>
  <c r="C195" i="13"/>
  <c r="C213" i="13"/>
  <c r="C267" i="13"/>
  <c r="C114" i="13"/>
  <c r="C141" i="13"/>
  <c r="C95" i="13"/>
  <c r="C77" i="13"/>
  <c r="C59" i="13"/>
  <c r="C41" i="13"/>
  <c r="D18" i="13" l="1"/>
  <c r="C51" i="13"/>
  <c r="C50" i="13"/>
  <c r="C285" i="13"/>
  <c r="C284" i="13"/>
  <c r="C24" i="13"/>
  <c r="C23" i="13"/>
  <c r="C42" i="13"/>
  <c r="C60" i="13"/>
  <c r="C78" i="13"/>
  <c r="C96" i="13"/>
  <c r="C144" i="13"/>
  <c r="C143" i="13" s="1"/>
  <c r="C117" i="13"/>
  <c r="C116" i="13" s="1"/>
  <c r="C270" i="13"/>
  <c r="C269" i="13" s="1"/>
  <c r="C216" i="13"/>
  <c r="C215" i="13" s="1"/>
  <c r="C198" i="13"/>
  <c r="C197" i="13" s="1"/>
  <c r="C108" i="13"/>
  <c r="C107" i="13" s="1"/>
  <c r="C72" i="13"/>
  <c r="C71" i="13" s="1"/>
  <c r="C261" i="13"/>
  <c r="C260" i="13" s="1"/>
  <c r="C207" i="13"/>
  <c r="C206" i="13" s="1"/>
  <c r="C189" i="13"/>
  <c r="C188" i="13" s="1"/>
  <c r="C135" i="13"/>
  <c r="C134" i="13" s="1"/>
  <c r="C90" i="13"/>
  <c r="C89" i="13" s="1"/>
  <c r="C180" i="13"/>
  <c r="C179" i="13" s="1"/>
  <c r="C252" i="13"/>
  <c r="C251" i="13" s="1"/>
  <c r="C234" i="13"/>
  <c r="C233" i="13" s="1"/>
  <c r="C162" i="13"/>
  <c r="C161" i="13" s="1"/>
  <c r="C126" i="13"/>
  <c r="C125" i="13" s="1"/>
  <c r="C279" i="13"/>
  <c r="C278" i="13" s="1"/>
  <c r="C243" i="13"/>
  <c r="C242" i="13" s="1"/>
  <c r="C225" i="13"/>
  <c r="C224" i="13" s="1"/>
  <c r="C171" i="13"/>
  <c r="C170" i="13" s="1"/>
  <c r="C153" i="13"/>
  <c r="C152" i="13" s="1"/>
  <c r="C36" i="13"/>
  <c r="C35" i="13" s="1"/>
  <c r="C288" i="13" l="1"/>
  <c r="C27" i="13"/>
  <c r="C26" i="13" s="1"/>
  <c r="C54" i="13"/>
  <c r="D13" i="13"/>
  <c r="C287" i="13"/>
  <c r="C53" i="13"/>
  <c r="C99" i="13"/>
  <c r="C98" i="13" s="1"/>
  <c r="C81" i="13"/>
  <c r="C80" i="13" s="1"/>
  <c r="C63" i="13"/>
  <c r="C62" i="13" s="1"/>
  <c r="C45" i="13"/>
  <c r="C44" i="13" s="1"/>
  <c r="C14" i="13" l="1"/>
  <c r="D14" i="13" s="1"/>
  <c r="C16" i="13"/>
  <c r="E43" i="13" l="1"/>
  <c r="E268" i="13"/>
  <c r="E241" i="13"/>
  <c r="E97" i="13"/>
  <c r="E178" i="13"/>
  <c r="E259" i="13"/>
  <c r="E70" i="13"/>
  <c r="E34" i="13"/>
  <c r="E79" i="13"/>
  <c r="E160" i="13"/>
  <c r="E115" i="13"/>
  <c r="E214" i="13"/>
  <c r="E124" i="13"/>
  <c r="E277" i="13"/>
  <c r="E88" i="13"/>
  <c r="E61" i="13"/>
  <c r="E196" i="13"/>
  <c r="E169" i="13"/>
  <c r="E250" i="13"/>
  <c r="E142" i="13"/>
  <c r="E151" i="13"/>
  <c r="E133" i="13"/>
  <c r="E25" i="13"/>
  <c r="E52" i="13"/>
  <c r="E232" i="13"/>
  <c r="E205" i="13"/>
  <c r="E106" i="13"/>
  <c r="E223" i="13"/>
  <c r="E187" i="13"/>
  <c r="C17" i="13"/>
  <c r="H203" i="13" l="1"/>
  <c r="I205" i="13"/>
  <c r="H207" i="13"/>
  <c r="H206" i="13"/>
  <c r="H202" i="13"/>
  <c r="I203" i="13"/>
  <c r="I204" i="13"/>
  <c r="H204" i="13"/>
  <c r="I207" i="13"/>
  <c r="F205" i="13"/>
  <c r="H205" i="13"/>
  <c r="I206" i="13"/>
  <c r="G205" i="13"/>
  <c r="H50" i="13"/>
  <c r="I50" i="13"/>
  <c r="H53" i="13"/>
  <c r="I54" i="13"/>
  <c r="I52" i="13"/>
  <c r="H51" i="13"/>
  <c r="H54" i="13"/>
  <c r="I53" i="13"/>
  <c r="H49" i="13"/>
  <c r="H52" i="13"/>
  <c r="F52" i="13"/>
  <c r="I51" i="13"/>
  <c r="G52" i="13"/>
  <c r="H131" i="13"/>
  <c r="I134" i="13"/>
  <c r="H130" i="13"/>
  <c r="H133" i="13"/>
  <c r="I133" i="13"/>
  <c r="H134" i="13"/>
  <c r="I135" i="13"/>
  <c r="I132" i="13"/>
  <c r="H135" i="13"/>
  <c r="H132" i="13"/>
  <c r="I131" i="13"/>
  <c r="F133" i="13"/>
  <c r="G133" i="13"/>
  <c r="H140" i="13"/>
  <c r="H139" i="13"/>
  <c r="I143" i="13"/>
  <c r="I140" i="13"/>
  <c r="H141" i="13"/>
  <c r="I144" i="13"/>
  <c r="H144" i="13"/>
  <c r="I142" i="13"/>
  <c r="H143" i="13"/>
  <c r="H142" i="13"/>
  <c r="I141" i="13"/>
  <c r="F142" i="13"/>
  <c r="G142" i="13"/>
  <c r="H167" i="13"/>
  <c r="I168" i="13"/>
  <c r="H168" i="13"/>
  <c r="I167" i="13"/>
  <c r="H169" i="13"/>
  <c r="I169" i="13"/>
  <c r="H170" i="13"/>
  <c r="F169" i="13"/>
  <c r="H171" i="13"/>
  <c r="I171" i="13"/>
  <c r="H166" i="13"/>
  <c r="I170" i="13"/>
  <c r="G169" i="13"/>
  <c r="H59" i="13"/>
  <c r="I63" i="13"/>
  <c r="H62" i="13"/>
  <c r="I61" i="13"/>
  <c r="H58" i="13"/>
  <c r="H61" i="13"/>
  <c r="I62" i="13"/>
  <c r="I59" i="13"/>
  <c r="F61" i="13"/>
  <c r="I60" i="13"/>
  <c r="H63" i="13"/>
  <c r="H60" i="13"/>
  <c r="G61" i="13"/>
  <c r="H276" i="13"/>
  <c r="H279" i="13"/>
  <c r="I278" i="13"/>
  <c r="F277" i="13"/>
  <c r="I275" i="13"/>
  <c r="H278" i="13"/>
  <c r="H277" i="13"/>
  <c r="I276" i="13"/>
  <c r="I279" i="13"/>
  <c r="H274" i="13"/>
  <c r="H275" i="13"/>
  <c r="I277" i="13"/>
  <c r="G277" i="13"/>
  <c r="H212" i="13"/>
  <c r="F214" i="13"/>
  <c r="H213" i="13"/>
  <c r="H211" i="13"/>
  <c r="I212" i="13"/>
  <c r="H214" i="13"/>
  <c r="I216" i="13"/>
  <c r="H215" i="13"/>
  <c r="H216" i="13"/>
  <c r="I215" i="13"/>
  <c r="I214" i="13"/>
  <c r="I213" i="13"/>
  <c r="G214" i="13"/>
  <c r="H158" i="13"/>
  <c r="H162" i="13"/>
  <c r="I162" i="13"/>
  <c r="H157" i="13"/>
  <c r="H160" i="13"/>
  <c r="H161" i="13"/>
  <c r="H159" i="13"/>
  <c r="I158" i="13"/>
  <c r="F160" i="13"/>
  <c r="I160" i="13"/>
  <c r="I161" i="13"/>
  <c r="I159" i="13"/>
  <c r="G160" i="13"/>
  <c r="H32" i="13"/>
  <c r="H36" i="13"/>
  <c r="H31" i="13"/>
  <c r="H33" i="13"/>
  <c r="I34" i="13"/>
  <c r="F34" i="13"/>
  <c r="H34" i="13"/>
  <c r="H35" i="13"/>
  <c r="I35" i="13"/>
  <c r="I32" i="13"/>
  <c r="I33" i="13"/>
  <c r="I36" i="13"/>
  <c r="G34" i="13"/>
  <c r="H258" i="13"/>
  <c r="H261" i="13"/>
  <c r="I257" i="13"/>
  <c r="F259" i="13"/>
  <c r="I258" i="13"/>
  <c r="H260" i="13"/>
  <c r="H259" i="13"/>
  <c r="I259" i="13"/>
  <c r="I260" i="13"/>
  <c r="H256" i="13"/>
  <c r="H257" i="13"/>
  <c r="I261" i="13"/>
  <c r="G259" i="13"/>
  <c r="H95" i="13"/>
  <c r="H96" i="13"/>
  <c r="H94" i="13"/>
  <c r="I95" i="13"/>
  <c r="I98" i="13"/>
  <c r="I96" i="13"/>
  <c r="I99" i="13"/>
  <c r="H99" i="13"/>
  <c r="F97" i="13"/>
  <c r="H98" i="13"/>
  <c r="H97" i="13"/>
  <c r="I97" i="13"/>
  <c r="G97" i="13"/>
  <c r="H267" i="13"/>
  <c r="H270" i="13"/>
  <c r="I266" i="13"/>
  <c r="F268" i="13"/>
  <c r="I268" i="13"/>
  <c r="H269" i="13"/>
  <c r="H268" i="13"/>
  <c r="I267" i="13"/>
  <c r="I269" i="13"/>
  <c r="H265" i="13"/>
  <c r="H266" i="13"/>
  <c r="I270" i="13"/>
  <c r="G268" i="13"/>
  <c r="H221" i="13"/>
  <c r="I223" i="13"/>
  <c r="H224" i="13"/>
  <c r="I224" i="13"/>
  <c r="H223" i="13"/>
  <c r="F223" i="13"/>
  <c r="I222" i="13"/>
  <c r="H222" i="13"/>
  <c r="I221" i="13"/>
  <c r="H225" i="13"/>
  <c r="H220" i="13"/>
  <c r="I225" i="13"/>
  <c r="G223" i="13"/>
  <c r="H185" i="13"/>
  <c r="I186" i="13"/>
  <c r="I185" i="13"/>
  <c r="I188" i="13"/>
  <c r="H184" i="13"/>
  <c r="H186" i="13"/>
  <c r="I189" i="13"/>
  <c r="H187" i="13"/>
  <c r="I187" i="13"/>
  <c r="F187" i="13"/>
  <c r="H188" i="13"/>
  <c r="H189" i="13"/>
  <c r="G187" i="13"/>
  <c r="H104" i="13"/>
  <c r="H105" i="13"/>
  <c r="I108" i="13"/>
  <c r="I105" i="13"/>
  <c r="I104" i="13"/>
  <c r="H108" i="13"/>
  <c r="H106" i="13"/>
  <c r="I107" i="13"/>
  <c r="F106" i="13"/>
  <c r="I106" i="13"/>
  <c r="H103" i="13"/>
  <c r="H107" i="13"/>
  <c r="G106" i="13"/>
  <c r="H230" i="13"/>
  <c r="F232" i="13"/>
  <c r="H232" i="13"/>
  <c r="I232" i="13"/>
  <c r="H234" i="13"/>
  <c r="I233" i="13"/>
  <c r="H233" i="13"/>
  <c r="I230" i="13"/>
  <c r="I231" i="13"/>
  <c r="H231" i="13"/>
  <c r="H229" i="13"/>
  <c r="I234" i="13"/>
  <c r="G232" i="13"/>
  <c r="I25" i="13"/>
  <c r="H26" i="13"/>
  <c r="H22" i="13"/>
  <c r="H23" i="13"/>
  <c r="I23" i="13"/>
  <c r="I24" i="13"/>
  <c r="I26" i="13"/>
  <c r="H24" i="13"/>
  <c r="H25" i="13"/>
  <c r="I27" i="13"/>
  <c r="F25" i="13"/>
  <c r="H27" i="13"/>
  <c r="G25" i="13"/>
  <c r="H149" i="13"/>
  <c r="I149" i="13"/>
  <c r="I150" i="13"/>
  <c r="I153" i="13"/>
  <c r="H150" i="13"/>
  <c r="I152" i="13"/>
  <c r="F151" i="13"/>
  <c r="H151" i="13"/>
  <c r="H152" i="13"/>
  <c r="I151" i="13"/>
  <c r="H148" i="13"/>
  <c r="H153" i="13"/>
  <c r="G151" i="13"/>
  <c r="H248" i="13"/>
  <c r="I251" i="13"/>
  <c r="H249" i="13"/>
  <c r="I248" i="13"/>
  <c r="I249" i="13"/>
  <c r="F250" i="13"/>
  <c r="H252" i="13"/>
  <c r="H247" i="13"/>
  <c r="H251" i="13"/>
  <c r="H250" i="13"/>
  <c r="I250" i="13"/>
  <c r="I252" i="13"/>
  <c r="G250" i="13"/>
  <c r="H194" i="13"/>
  <c r="I194" i="13"/>
  <c r="H196" i="13"/>
  <c r="F196" i="13"/>
  <c r="I198" i="13"/>
  <c r="H197" i="13"/>
  <c r="H198" i="13"/>
  <c r="H195" i="13"/>
  <c r="I197" i="13"/>
  <c r="I195" i="13"/>
  <c r="I196" i="13"/>
  <c r="H193" i="13"/>
  <c r="G196" i="13"/>
  <c r="H86" i="13"/>
  <c r="H90" i="13"/>
  <c r="F88" i="13"/>
  <c r="H88" i="13"/>
  <c r="I86" i="13"/>
  <c r="I88" i="13"/>
  <c r="H85" i="13"/>
  <c r="I87" i="13"/>
  <c r="I90" i="13"/>
  <c r="H89" i="13"/>
  <c r="I89" i="13"/>
  <c r="H87" i="13"/>
  <c r="G88" i="13"/>
  <c r="H122" i="13"/>
  <c r="H124" i="13"/>
  <c r="H121" i="13"/>
  <c r="H125" i="13"/>
  <c r="I123" i="13"/>
  <c r="I122" i="13"/>
  <c r="I125" i="13"/>
  <c r="H126" i="13"/>
  <c r="I124" i="13"/>
  <c r="H123" i="13"/>
  <c r="F124" i="13"/>
  <c r="I126" i="13"/>
  <c r="G124" i="13"/>
  <c r="H113" i="13"/>
  <c r="H116" i="13"/>
  <c r="H114" i="13"/>
  <c r="I115" i="13"/>
  <c r="H112" i="13"/>
  <c r="H115" i="13"/>
  <c r="I116" i="13"/>
  <c r="I114" i="13"/>
  <c r="H117" i="13"/>
  <c r="F115" i="13"/>
  <c r="I117" i="13"/>
  <c r="I113" i="13"/>
  <c r="G115" i="13"/>
  <c r="H77" i="13"/>
  <c r="I79" i="13"/>
  <c r="I77" i="13"/>
  <c r="F79" i="13"/>
  <c r="I81" i="13"/>
  <c r="H80" i="13"/>
  <c r="I78" i="13"/>
  <c r="H79" i="13"/>
  <c r="I80" i="13"/>
  <c r="H78" i="13"/>
  <c r="H76" i="13"/>
  <c r="H81" i="13"/>
  <c r="G79" i="13"/>
  <c r="H68" i="13"/>
  <c r="H72" i="13"/>
  <c r="H71" i="13"/>
  <c r="H69" i="13"/>
  <c r="I72" i="13"/>
  <c r="F70" i="13"/>
  <c r="H70" i="13"/>
  <c r="I70" i="13"/>
  <c r="H67" i="13"/>
  <c r="I69" i="13"/>
  <c r="I68" i="13"/>
  <c r="I71" i="13"/>
  <c r="G70" i="13"/>
  <c r="H176" i="13"/>
  <c r="H179" i="13"/>
  <c r="I179" i="13"/>
  <c r="H177" i="13"/>
  <c r="F178" i="13"/>
  <c r="I180" i="13"/>
  <c r="H180" i="13"/>
  <c r="H175" i="13"/>
  <c r="H178" i="13"/>
  <c r="I176" i="13"/>
  <c r="I177" i="13"/>
  <c r="I178" i="13"/>
  <c r="G178" i="13"/>
  <c r="H239" i="13"/>
  <c r="H238" i="13"/>
  <c r="H243" i="13"/>
  <c r="I243" i="13"/>
  <c r="H240" i="13"/>
  <c r="H242" i="13"/>
  <c r="H241" i="13"/>
  <c r="I241" i="13"/>
  <c r="I242" i="13"/>
  <c r="F241" i="13"/>
  <c r="I240" i="13"/>
  <c r="I239" i="13"/>
  <c r="G241" i="13"/>
  <c r="H41" i="13"/>
  <c r="I45" i="13"/>
  <c r="H40" i="13"/>
  <c r="H43" i="13"/>
  <c r="I43" i="13"/>
  <c r="H44" i="13"/>
  <c r="I44" i="13"/>
  <c r="I42" i="13"/>
  <c r="H45" i="13"/>
  <c r="H42" i="13"/>
  <c r="I41" i="13"/>
  <c r="F43" i="13"/>
  <c r="G43" i="13"/>
  <c r="D16" i="13" l="1"/>
  <c r="D17" i="13" s="1"/>
  <c r="E16" i="13"/>
  <c r="E15" i="13"/>
  <c r="E18" i="13" s="1"/>
  <c r="E17" i="13" l="1"/>
</calcChain>
</file>

<file path=xl/comments1.xml><?xml version="1.0" encoding="utf-8"?>
<comments xmlns="http://schemas.openxmlformats.org/spreadsheetml/2006/main">
  <authors>
    <author>mdalmeida</author>
  </authors>
  <commentList>
    <comment ref="I6" authorId="0" shapeId="0">
      <text>
        <r>
          <rPr>
            <b/>
            <sz val="10"/>
            <color indexed="81"/>
            <rFont val="Tahoma"/>
            <family val="2"/>
          </rPr>
          <t>mdalmeida:</t>
        </r>
        <r>
          <rPr>
            <sz val="10"/>
            <color indexed="81"/>
            <rFont val="Tahoma"/>
            <family val="2"/>
          </rPr>
          <t xml:space="preserve">
Nome da Amostra</t>
        </r>
      </text>
    </comment>
    <comment ref="C7" authorId="0" shapeId="0">
      <text>
        <r>
          <rPr>
            <b/>
            <sz val="10"/>
            <color indexed="81"/>
            <rFont val="Tahoma"/>
            <family val="2"/>
          </rPr>
          <t>mdalmeida:</t>
        </r>
        <r>
          <rPr>
            <sz val="10"/>
            <color indexed="81"/>
            <rFont val="Tahoma"/>
            <family val="2"/>
          </rPr>
          <t xml:space="preserve">
Massa em gramas do Frasco com tampa.</t>
        </r>
      </text>
    </comment>
    <comment ref="I7" authorId="0" shapeId="0">
      <text>
        <r>
          <rPr>
            <b/>
            <sz val="10"/>
            <color indexed="81"/>
            <rFont val="Tahoma"/>
            <family val="2"/>
          </rPr>
          <t>mdalmeida:</t>
        </r>
        <r>
          <rPr>
            <sz val="10"/>
            <color indexed="81"/>
            <rFont val="Tahoma"/>
            <family val="2"/>
          </rPr>
          <t xml:space="preserve">
Massa em gramas do Frasco com tampa.</t>
        </r>
      </text>
    </comment>
    <comment ref="C8" authorId="0" shapeId="0">
      <text>
        <r>
          <rPr>
            <b/>
            <sz val="10"/>
            <color indexed="81"/>
            <rFont val="Tahoma"/>
            <family val="2"/>
          </rPr>
          <t>mdalmeida:</t>
        </r>
        <r>
          <rPr>
            <sz val="10"/>
            <color indexed="81"/>
            <rFont val="Tahoma"/>
            <family val="2"/>
          </rPr>
          <t xml:space="preserve">
Massa do frasco com tampa + alíquota de padrão.</t>
        </r>
      </text>
    </comment>
    <comment ref="C9" authorId="0" shapeId="0">
      <text>
        <r>
          <rPr>
            <b/>
            <sz val="10"/>
            <color indexed="81"/>
            <rFont val="Tahoma"/>
            <family val="2"/>
          </rPr>
          <t>mdalmeida:</t>
        </r>
        <r>
          <rPr>
            <sz val="10"/>
            <color indexed="81"/>
            <rFont val="Tahoma"/>
            <family val="2"/>
          </rPr>
          <t xml:space="preserve">
Massa do frasco com tampa + alíquota de padrão e diluente.</t>
        </r>
      </text>
    </comment>
    <comment ref="I11" authorId="0" shapeId="0">
      <text>
        <r>
          <rPr>
            <b/>
            <sz val="10"/>
            <color indexed="81"/>
            <rFont val="Tahoma"/>
            <family val="2"/>
          </rPr>
          <t>mdalmeida:</t>
        </r>
        <r>
          <rPr>
            <sz val="10"/>
            <color indexed="81"/>
            <rFont val="Tahoma"/>
            <family val="2"/>
          </rPr>
          <t xml:space="preserve">
Nome da Amostra</t>
        </r>
      </text>
    </comment>
    <comment ref="I16" authorId="0" shapeId="0">
      <text>
        <r>
          <rPr>
            <b/>
            <sz val="10"/>
            <color indexed="81"/>
            <rFont val="Tahoma"/>
            <family val="2"/>
          </rPr>
          <t>mdalmeida:</t>
        </r>
        <r>
          <rPr>
            <sz val="10"/>
            <color indexed="81"/>
            <rFont val="Tahoma"/>
            <family val="2"/>
          </rPr>
          <t xml:space="preserve">
Nome da Amostra</t>
        </r>
      </text>
    </comment>
    <comment ref="I21" authorId="0" shapeId="0">
      <text>
        <r>
          <rPr>
            <b/>
            <sz val="10"/>
            <color indexed="81"/>
            <rFont val="Tahoma"/>
            <family val="2"/>
          </rPr>
          <t>mdalmeida:</t>
        </r>
        <r>
          <rPr>
            <sz val="10"/>
            <color indexed="81"/>
            <rFont val="Tahoma"/>
            <family val="2"/>
          </rPr>
          <t xml:space="preserve">
Nome da Amostra</t>
        </r>
      </text>
    </comment>
    <comment ref="I26" authorId="0" shapeId="0">
      <text>
        <r>
          <rPr>
            <b/>
            <sz val="10"/>
            <color indexed="81"/>
            <rFont val="Tahoma"/>
            <family val="2"/>
          </rPr>
          <t>mdalmeida:</t>
        </r>
        <r>
          <rPr>
            <sz val="10"/>
            <color indexed="81"/>
            <rFont val="Tahoma"/>
            <family val="2"/>
          </rPr>
          <t xml:space="preserve">
Nome da Amostra</t>
        </r>
      </text>
    </comment>
    <comment ref="I31" authorId="0" shapeId="0">
      <text>
        <r>
          <rPr>
            <b/>
            <sz val="10"/>
            <color indexed="81"/>
            <rFont val="Tahoma"/>
            <family val="2"/>
          </rPr>
          <t>mdalmeida:</t>
        </r>
        <r>
          <rPr>
            <sz val="10"/>
            <color indexed="81"/>
            <rFont val="Tahoma"/>
            <family val="2"/>
          </rPr>
          <t xml:space="preserve">
Nome da Amostra</t>
        </r>
      </text>
    </comment>
    <comment ref="I36" authorId="0" shapeId="0">
      <text>
        <r>
          <rPr>
            <b/>
            <sz val="10"/>
            <color indexed="81"/>
            <rFont val="Tahoma"/>
            <family val="2"/>
          </rPr>
          <t>mdalmeida:</t>
        </r>
        <r>
          <rPr>
            <sz val="10"/>
            <color indexed="81"/>
            <rFont val="Tahoma"/>
            <family val="2"/>
          </rPr>
          <t xml:space="preserve">
Nome da Amostra</t>
        </r>
      </text>
    </comment>
    <comment ref="I41" authorId="0" shapeId="0">
      <text>
        <r>
          <rPr>
            <b/>
            <sz val="10"/>
            <color indexed="81"/>
            <rFont val="Tahoma"/>
            <family val="2"/>
          </rPr>
          <t>mdalmeida:</t>
        </r>
        <r>
          <rPr>
            <sz val="10"/>
            <color indexed="81"/>
            <rFont val="Tahoma"/>
            <family val="2"/>
          </rPr>
          <t xml:space="preserve">
Nome da Amostra</t>
        </r>
      </text>
    </comment>
    <comment ref="I46" authorId="0" shapeId="0">
      <text>
        <r>
          <rPr>
            <b/>
            <sz val="10"/>
            <color indexed="81"/>
            <rFont val="Tahoma"/>
            <family val="2"/>
          </rPr>
          <t>mdalmeida:</t>
        </r>
        <r>
          <rPr>
            <sz val="10"/>
            <color indexed="81"/>
            <rFont val="Tahoma"/>
            <family val="2"/>
          </rPr>
          <t xml:space="preserve">
Nome da Amostra</t>
        </r>
      </text>
    </comment>
    <comment ref="I51" authorId="0" shapeId="0">
      <text>
        <r>
          <rPr>
            <b/>
            <sz val="10"/>
            <color indexed="81"/>
            <rFont val="Tahoma"/>
            <family val="2"/>
          </rPr>
          <t>mdalmeida:</t>
        </r>
        <r>
          <rPr>
            <sz val="10"/>
            <color indexed="81"/>
            <rFont val="Tahoma"/>
            <family val="2"/>
          </rPr>
          <t xml:space="preserve">
Nome da Amostra</t>
        </r>
      </text>
    </comment>
    <comment ref="I56" authorId="0" shapeId="0">
      <text>
        <r>
          <rPr>
            <b/>
            <sz val="10"/>
            <color indexed="81"/>
            <rFont val="Tahoma"/>
            <family val="2"/>
          </rPr>
          <t>mdalmeida:</t>
        </r>
        <r>
          <rPr>
            <sz val="10"/>
            <color indexed="81"/>
            <rFont val="Tahoma"/>
            <family val="2"/>
          </rPr>
          <t xml:space="preserve">
Nome da Amostra</t>
        </r>
      </text>
    </comment>
    <comment ref="I61" authorId="0" shapeId="0">
      <text>
        <r>
          <rPr>
            <b/>
            <sz val="10"/>
            <color indexed="81"/>
            <rFont val="Tahoma"/>
            <family val="2"/>
          </rPr>
          <t>mdalmeida:</t>
        </r>
        <r>
          <rPr>
            <sz val="10"/>
            <color indexed="81"/>
            <rFont val="Tahoma"/>
            <family val="2"/>
          </rPr>
          <t xml:space="preserve">
Nome da Amostra</t>
        </r>
      </text>
    </comment>
    <comment ref="I66" authorId="0" shapeId="0">
      <text>
        <r>
          <rPr>
            <b/>
            <sz val="10"/>
            <color indexed="81"/>
            <rFont val="Tahoma"/>
            <family val="2"/>
          </rPr>
          <t>mdalmeida:</t>
        </r>
        <r>
          <rPr>
            <sz val="10"/>
            <color indexed="81"/>
            <rFont val="Tahoma"/>
            <family val="2"/>
          </rPr>
          <t xml:space="preserve">
Nome da Amostra</t>
        </r>
      </text>
    </comment>
    <comment ref="I71" authorId="0" shapeId="0">
      <text>
        <r>
          <rPr>
            <b/>
            <sz val="10"/>
            <color indexed="81"/>
            <rFont val="Tahoma"/>
            <family val="2"/>
          </rPr>
          <t>mdalmeida:</t>
        </r>
        <r>
          <rPr>
            <sz val="10"/>
            <color indexed="81"/>
            <rFont val="Tahoma"/>
            <family val="2"/>
          </rPr>
          <t xml:space="preserve">
Nome da Amostra</t>
        </r>
      </text>
    </comment>
    <comment ref="I76" authorId="0" shapeId="0">
      <text>
        <r>
          <rPr>
            <b/>
            <sz val="10"/>
            <color indexed="81"/>
            <rFont val="Tahoma"/>
            <family val="2"/>
          </rPr>
          <t>mdalmeida:</t>
        </r>
        <r>
          <rPr>
            <sz val="10"/>
            <color indexed="81"/>
            <rFont val="Tahoma"/>
            <family val="2"/>
          </rPr>
          <t xml:space="preserve">
Nome da Amostra</t>
        </r>
      </text>
    </comment>
    <comment ref="I81" authorId="0" shapeId="0">
      <text>
        <r>
          <rPr>
            <b/>
            <sz val="10"/>
            <color indexed="81"/>
            <rFont val="Tahoma"/>
            <family val="2"/>
          </rPr>
          <t>mdalmeida:</t>
        </r>
        <r>
          <rPr>
            <sz val="10"/>
            <color indexed="81"/>
            <rFont val="Tahoma"/>
            <family val="2"/>
          </rPr>
          <t xml:space="preserve">
Nome da Amostra</t>
        </r>
      </text>
    </comment>
    <comment ref="I82" authorId="0" shapeId="0">
      <text>
        <r>
          <rPr>
            <b/>
            <sz val="10"/>
            <color indexed="81"/>
            <rFont val="Tahoma"/>
            <family val="2"/>
          </rPr>
          <t>mdalmeida:</t>
        </r>
        <r>
          <rPr>
            <sz val="10"/>
            <color indexed="81"/>
            <rFont val="Tahoma"/>
            <family val="2"/>
          </rPr>
          <t xml:space="preserve">
Massa em gramas do Frasco com tampa.</t>
        </r>
      </text>
    </comment>
    <comment ref="I86" authorId="0" shapeId="0">
      <text>
        <r>
          <rPr>
            <b/>
            <sz val="10"/>
            <color indexed="81"/>
            <rFont val="Tahoma"/>
            <family val="2"/>
          </rPr>
          <t>mdalmeida:</t>
        </r>
        <r>
          <rPr>
            <sz val="10"/>
            <color indexed="81"/>
            <rFont val="Tahoma"/>
            <family val="2"/>
          </rPr>
          <t xml:space="preserve">
Nome da Amostra</t>
        </r>
      </text>
    </comment>
    <comment ref="I91" authorId="0" shapeId="0">
      <text>
        <r>
          <rPr>
            <b/>
            <sz val="10"/>
            <color indexed="81"/>
            <rFont val="Tahoma"/>
            <family val="2"/>
          </rPr>
          <t>mdalmeida:</t>
        </r>
        <r>
          <rPr>
            <sz val="10"/>
            <color indexed="81"/>
            <rFont val="Tahoma"/>
            <family val="2"/>
          </rPr>
          <t xml:space="preserve">
Nome da Amostra</t>
        </r>
      </text>
    </comment>
    <comment ref="I96" authorId="0" shapeId="0">
      <text>
        <r>
          <rPr>
            <b/>
            <sz val="10"/>
            <color indexed="81"/>
            <rFont val="Tahoma"/>
            <family val="2"/>
          </rPr>
          <t>mdalmeida:</t>
        </r>
        <r>
          <rPr>
            <sz val="10"/>
            <color indexed="81"/>
            <rFont val="Tahoma"/>
            <family val="2"/>
          </rPr>
          <t xml:space="preserve">
Nome da Amostra</t>
        </r>
      </text>
    </comment>
    <comment ref="I101" authorId="0" shapeId="0">
      <text>
        <r>
          <rPr>
            <b/>
            <sz val="10"/>
            <color indexed="81"/>
            <rFont val="Tahoma"/>
            <family val="2"/>
          </rPr>
          <t>mdalmeida:</t>
        </r>
        <r>
          <rPr>
            <sz val="10"/>
            <color indexed="81"/>
            <rFont val="Tahoma"/>
            <family val="2"/>
          </rPr>
          <t xml:space="preserve">
Nome da Amostra</t>
        </r>
      </text>
    </comment>
    <comment ref="I106" authorId="0" shapeId="0">
      <text>
        <r>
          <rPr>
            <b/>
            <sz val="10"/>
            <color indexed="81"/>
            <rFont val="Tahoma"/>
            <family val="2"/>
          </rPr>
          <t>mdalmeida:</t>
        </r>
        <r>
          <rPr>
            <sz val="10"/>
            <color indexed="81"/>
            <rFont val="Tahoma"/>
            <family val="2"/>
          </rPr>
          <t xml:space="preserve">
Nome da Amostra</t>
        </r>
      </text>
    </comment>
    <comment ref="I111" authorId="0" shapeId="0">
      <text>
        <r>
          <rPr>
            <b/>
            <sz val="10"/>
            <color indexed="81"/>
            <rFont val="Tahoma"/>
            <family val="2"/>
          </rPr>
          <t>mdalmeida:</t>
        </r>
        <r>
          <rPr>
            <sz val="10"/>
            <color indexed="81"/>
            <rFont val="Tahoma"/>
            <family val="2"/>
          </rPr>
          <t xml:space="preserve">
Nome da Amostra</t>
        </r>
      </text>
    </comment>
    <comment ref="I116" authorId="0" shapeId="0">
      <text>
        <r>
          <rPr>
            <b/>
            <sz val="10"/>
            <color indexed="81"/>
            <rFont val="Tahoma"/>
            <family val="2"/>
          </rPr>
          <t>mdalmeida:</t>
        </r>
        <r>
          <rPr>
            <sz val="10"/>
            <color indexed="81"/>
            <rFont val="Tahoma"/>
            <family val="2"/>
          </rPr>
          <t xml:space="preserve">
Nome da Amostra</t>
        </r>
      </text>
    </comment>
    <comment ref="I121" authorId="0" shapeId="0">
      <text>
        <r>
          <rPr>
            <b/>
            <sz val="10"/>
            <color indexed="81"/>
            <rFont val="Tahoma"/>
            <family val="2"/>
          </rPr>
          <t>mdalmeida:</t>
        </r>
        <r>
          <rPr>
            <sz val="10"/>
            <color indexed="81"/>
            <rFont val="Tahoma"/>
            <family val="2"/>
          </rPr>
          <t xml:space="preserve">
Nome da Amostra</t>
        </r>
      </text>
    </comment>
    <comment ref="I126" authorId="0" shapeId="0">
      <text>
        <r>
          <rPr>
            <b/>
            <sz val="10"/>
            <color indexed="81"/>
            <rFont val="Tahoma"/>
            <family val="2"/>
          </rPr>
          <t>mdalmeida:</t>
        </r>
        <r>
          <rPr>
            <sz val="10"/>
            <color indexed="81"/>
            <rFont val="Tahoma"/>
            <family val="2"/>
          </rPr>
          <t xml:space="preserve">
Nome da Amostra</t>
        </r>
      </text>
    </comment>
    <comment ref="I131" authorId="0" shapeId="0">
      <text>
        <r>
          <rPr>
            <b/>
            <sz val="10"/>
            <color indexed="81"/>
            <rFont val="Tahoma"/>
            <family val="2"/>
          </rPr>
          <t>mdalmeida:</t>
        </r>
        <r>
          <rPr>
            <sz val="10"/>
            <color indexed="81"/>
            <rFont val="Tahoma"/>
            <family val="2"/>
          </rPr>
          <t xml:space="preserve">
Nome da Amostra</t>
        </r>
      </text>
    </comment>
    <comment ref="I136" authorId="0" shapeId="0">
      <text>
        <r>
          <rPr>
            <b/>
            <sz val="10"/>
            <color indexed="81"/>
            <rFont val="Tahoma"/>
            <family val="2"/>
          </rPr>
          <t>mdalmeida:</t>
        </r>
        <r>
          <rPr>
            <sz val="10"/>
            <color indexed="81"/>
            <rFont val="Tahoma"/>
            <family val="2"/>
          </rPr>
          <t xml:space="preserve">
Nome da Amostra</t>
        </r>
      </text>
    </comment>
    <comment ref="I141" authorId="0" shapeId="0">
      <text>
        <r>
          <rPr>
            <b/>
            <sz val="10"/>
            <color indexed="81"/>
            <rFont val="Tahoma"/>
            <family val="2"/>
          </rPr>
          <t>mdalmeida:</t>
        </r>
        <r>
          <rPr>
            <sz val="10"/>
            <color indexed="81"/>
            <rFont val="Tahoma"/>
            <family val="2"/>
          </rPr>
          <t xml:space="preserve">
Nome da Amostra</t>
        </r>
      </text>
    </comment>
    <comment ref="I146" authorId="0" shapeId="0">
      <text>
        <r>
          <rPr>
            <b/>
            <sz val="10"/>
            <color indexed="81"/>
            <rFont val="Tahoma"/>
            <family val="2"/>
          </rPr>
          <t>mdalmeida:</t>
        </r>
        <r>
          <rPr>
            <sz val="10"/>
            <color indexed="81"/>
            <rFont val="Tahoma"/>
            <family val="2"/>
          </rPr>
          <t xml:space="preserve">
Nome da Amostra</t>
        </r>
      </text>
    </comment>
  </commentList>
</comments>
</file>

<file path=xl/comments2.xml><?xml version="1.0" encoding="utf-8"?>
<comments xmlns="http://schemas.openxmlformats.org/spreadsheetml/2006/main">
  <authors>
    <author>mdalmeida</author>
  </authors>
  <commentList>
    <comment ref="I97" authorId="0" shapeId="0">
      <text>
        <r>
          <rPr>
            <b/>
            <sz val="8"/>
            <color indexed="81"/>
            <rFont val="Tahoma"/>
            <family val="2"/>
          </rPr>
          <t>mdalmeida:</t>
        </r>
        <r>
          <rPr>
            <sz val="8"/>
            <color indexed="81"/>
            <rFont val="Tahoma"/>
            <family val="2"/>
          </rPr>
          <t xml:space="preserve">
Desvio Padrão</t>
        </r>
      </text>
    </comment>
    <comment ref="L97" authorId="0" shapeId="0">
      <text>
        <r>
          <rPr>
            <b/>
            <sz val="8"/>
            <color indexed="81"/>
            <rFont val="Tahoma"/>
            <family val="2"/>
          </rPr>
          <t>mdalmeida:</t>
        </r>
        <r>
          <rPr>
            <sz val="8"/>
            <color indexed="81"/>
            <rFont val="Tahoma"/>
            <family val="2"/>
          </rPr>
          <t xml:space="preserve">
Associada a diluição dos padrões</t>
        </r>
      </text>
    </comment>
    <comment ref="M97" authorId="0" shapeId="0">
      <text>
        <r>
          <rPr>
            <b/>
            <sz val="8"/>
            <color indexed="81"/>
            <rFont val="Tahoma"/>
            <family val="2"/>
          </rPr>
          <t>mdalmeida:</t>
        </r>
        <r>
          <rPr>
            <sz val="8"/>
            <color indexed="81"/>
            <rFont val="Tahoma"/>
            <family val="2"/>
          </rPr>
          <t xml:space="preserve">
Associada a repetitividade da amostra</t>
        </r>
      </text>
    </comment>
    <comment ref="N97" authorId="0" shapeId="0">
      <text>
        <r>
          <rPr>
            <b/>
            <sz val="8"/>
            <color indexed="81"/>
            <rFont val="Tahoma"/>
            <family val="2"/>
          </rPr>
          <t>mdalmeida:</t>
        </r>
        <r>
          <rPr>
            <sz val="8"/>
            <color indexed="81"/>
            <rFont val="Tahoma"/>
            <family val="2"/>
          </rPr>
          <t xml:space="preserve">
Associada a curva de calibração relativa. Note que a concentração é a concentração que sai da curva de calibração, ou seja, concentração dividido por fator de diluição</t>
        </r>
      </text>
    </comment>
    <comment ref="O97" authorId="0" shapeId="0">
      <text>
        <r>
          <rPr>
            <b/>
            <sz val="8"/>
            <color indexed="81"/>
            <rFont val="Tahoma"/>
            <family val="2"/>
          </rPr>
          <t>mdalmeida:</t>
        </r>
        <r>
          <rPr>
            <sz val="8"/>
            <color indexed="81"/>
            <rFont val="Tahoma"/>
            <family val="2"/>
          </rPr>
          <t xml:space="preserve">
Combinada </t>
        </r>
      </text>
    </comment>
    <comment ref="R99" authorId="0" shapeId="0">
      <text>
        <r>
          <rPr>
            <b/>
            <sz val="8"/>
            <color indexed="81"/>
            <rFont val="Tahoma"/>
            <family val="2"/>
          </rPr>
          <t>mdalmeida:</t>
        </r>
        <r>
          <rPr>
            <sz val="8"/>
            <color indexed="81"/>
            <rFont val="Tahoma"/>
            <family val="2"/>
          </rPr>
          <t xml:space="preserve">
Graus de liberdade efetivo</t>
        </r>
      </text>
    </comment>
    <comment ref="U99" authorId="0" shapeId="0">
      <text>
        <r>
          <rPr>
            <b/>
            <sz val="8"/>
            <color indexed="81"/>
            <rFont val="Tahoma"/>
            <family val="2"/>
          </rPr>
          <t>mdalmeida:</t>
        </r>
        <r>
          <rPr>
            <sz val="8"/>
            <color indexed="81"/>
            <rFont val="Tahoma"/>
            <family val="2"/>
          </rPr>
          <t xml:space="preserve">
Graus de liberdade efetivo</t>
        </r>
      </text>
    </comment>
    <comment ref="X99" authorId="0" shapeId="0">
      <text>
        <r>
          <rPr>
            <b/>
            <sz val="8"/>
            <color indexed="81"/>
            <rFont val="Tahoma"/>
            <family val="2"/>
          </rPr>
          <t>mdalmeida:</t>
        </r>
        <r>
          <rPr>
            <sz val="8"/>
            <color indexed="81"/>
            <rFont val="Tahoma"/>
            <family val="2"/>
          </rPr>
          <t xml:space="preserve">
Graus de liberdade efetivo</t>
        </r>
      </text>
    </comment>
    <comment ref="AG99" authorId="0" shapeId="0">
      <text>
        <r>
          <rPr>
            <b/>
            <sz val="8"/>
            <color indexed="81"/>
            <rFont val="Tahoma"/>
            <family val="2"/>
          </rPr>
          <t>mdalmeida:</t>
        </r>
        <r>
          <rPr>
            <sz val="8"/>
            <color indexed="81"/>
            <rFont val="Tahoma"/>
            <family val="2"/>
          </rPr>
          <t xml:space="preserve">
Graus de liberdade efetivo</t>
        </r>
      </text>
    </comment>
    <comment ref="AJ99" authorId="0" shapeId="0">
      <text>
        <r>
          <rPr>
            <b/>
            <sz val="8"/>
            <color indexed="81"/>
            <rFont val="Tahoma"/>
            <family val="2"/>
          </rPr>
          <t>mdalmeida:</t>
        </r>
        <r>
          <rPr>
            <sz val="8"/>
            <color indexed="81"/>
            <rFont val="Tahoma"/>
            <family val="2"/>
          </rPr>
          <t xml:space="preserve">
Graus de liberdade efetivo</t>
        </r>
      </text>
    </comment>
    <comment ref="R100" authorId="0" shapeId="0">
      <text>
        <r>
          <rPr>
            <b/>
            <sz val="8"/>
            <color indexed="81"/>
            <rFont val="Tahoma"/>
            <family val="2"/>
          </rPr>
          <t>mdalmeida:</t>
        </r>
        <r>
          <rPr>
            <sz val="8"/>
            <color indexed="81"/>
            <rFont val="Tahoma"/>
            <family val="2"/>
          </rPr>
          <t xml:space="preserve">
Fator de Abrangência k (0,05)</t>
        </r>
      </text>
    </comment>
    <comment ref="U100" authorId="0" shapeId="0">
      <text>
        <r>
          <rPr>
            <b/>
            <sz val="8"/>
            <color indexed="81"/>
            <rFont val="Tahoma"/>
            <family val="2"/>
          </rPr>
          <t>mdalmeida:</t>
        </r>
        <r>
          <rPr>
            <sz val="8"/>
            <color indexed="81"/>
            <rFont val="Tahoma"/>
            <family val="2"/>
          </rPr>
          <t xml:space="preserve">
Fator de Abrangência k (0,05)</t>
        </r>
      </text>
    </comment>
    <comment ref="X100" authorId="0" shapeId="0">
      <text>
        <r>
          <rPr>
            <b/>
            <sz val="8"/>
            <color indexed="81"/>
            <rFont val="Tahoma"/>
            <family val="2"/>
          </rPr>
          <t>mdalmeida:</t>
        </r>
        <r>
          <rPr>
            <sz val="8"/>
            <color indexed="81"/>
            <rFont val="Tahoma"/>
            <family val="2"/>
          </rPr>
          <t xml:space="preserve">
Fator de Abrangência k (0,05)</t>
        </r>
      </text>
    </comment>
    <comment ref="AG100" authorId="0" shapeId="0">
      <text>
        <r>
          <rPr>
            <b/>
            <sz val="8"/>
            <color indexed="81"/>
            <rFont val="Tahoma"/>
            <family val="2"/>
          </rPr>
          <t>mdalmeida:</t>
        </r>
        <r>
          <rPr>
            <sz val="8"/>
            <color indexed="81"/>
            <rFont val="Tahoma"/>
            <family val="2"/>
          </rPr>
          <t xml:space="preserve">
Fator de Abrangência k (0,05)</t>
        </r>
      </text>
    </comment>
    <comment ref="AJ100" authorId="0" shapeId="0">
      <text>
        <r>
          <rPr>
            <b/>
            <sz val="8"/>
            <color indexed="81"/>
            <rFont val="Tahoma"/>
            <family val="2"/>
          </rPr>
          <t>mdalmeida:</t>
        </r>
        <r>
          <rPr>
            <sz val="8"/>
            <color indexed="81"/>
            <rFont val="Tahoma"/>
            <family val="2"/>
          </rPr>
          <t xml:space="preserve">
Fator de Abrangência k (0,05)</t>
        </r>
      </text>
    </comment>
    <comment ref="R108" authorId="0" shapeId="0">
      <text>
        <r>
          <rPr>
            <b/>
            <sz val="8"/>
            <color indexed="81"/>
            <rFont val="Tahoma"/>
            <family val="2"/>
          </rPr>
          <t>mdalmeida:</t>
        </r>
        <r>
          <rPr>
            <sz val="8"/>
            <color indexed="81"/>
            <rFont val="Tahoma"/>
            <family val="2"/>
          </rPr>
          <t xml:space="preserve">
Graus de liberdade efetivo</t>
        </r>
      </text>
    </comment>
    <comment ref="R109" authorId="0" shapeId="0">
      <text>
        <r>
          <rPr>
            <b/>
            <sz val="8"/>
            <color indexed="81"/>
            <rFont val="Tahoma"/>
            <family val="2"/>
          </rPr>
          <t>mdalmeida:</t>
        </r>
        <r>
          <rPr>
            <sz val="8"/>
            <color indexed="81"/>
            <rFont val="Tahoma"/>
            <family val="2"/>
          </rPr>
          <t xml:space="preserve">
Fator de Abrangência k (0,05)</t>
        </r>
      </text>
    </comment>
    <comment ref="R117" authorId="0" shapeId="0">
      <text>
        <r>
          <rPr>
            <b/>
            <sz val="8"/>
            <color indexed="81"/>
            <rFont val="Tahoma"/>
            <family val="2"/>
          </rPr>
          <t>mdalmeida:</t>
        </r>
        <r>
          <rPr>
            <sz val="8"/>
            <color indexed="81"/>
            <rFont val="Tahoma"/>
            <family val="2"/>
          </rPr>
          <t xml:space="preserve">
Graus de liberdade efetivo</t>
        </r>
      </text>
    </comment>
    <comment ref="U117" authorId="0" shapeId="0">
      <text>
        <r>
          <rPr>
            <b/>
            <sz val="8"/>
            <color indexed="81"/>
            <rFont val="Tahoma"/>
            <family val="2"/>
          </rPr>
          <t>mdalmeida:</t>
        </r>
        <r>
          <rPr>
            <sz val="8"/>
            <color indexed="81"/>
            <rFont val="Tahoma"/>
            <family val="2"/>
          </rPr>
          <t xml:space="preserve">
Graus de liberdade efetivo</t>
        </r>
      </text>
    </comment>
    <comment ref="R118" authorId="0" shapeId="0">
      <text>
        <r>
          <rPr>
            <b/>
            <sz val="8"/>
            <color indexed="81"/>
            <rFont val="Tahoma"/>
            <family val="2"/>
          </rPr>
          <t>mdalmeida:</t>
        </r>
        <r>
          <rPr>
            <sz val="8"/>
            <color indexed="81"/>
            <rFont val="Tahoma"/>
            <family val="2"/>
          </rPr>
          <t xml:space="preserve">
Fator de Abrangência k (0,05)</t>
        </r>
      </text>
    </comment>
    <comment ref="U118" authorId="0" shapeId="0">
      <text>
        <r>
          <rPr>
            <b/>
            <sz val="8"/>
            <color indexed="81"/>
            <rFont val="Tahoma"/>
            <family val="2"/>
          </rPr>
          <t>mdalmeida:</t>
        </r>
        <r>
          <rPr>
            <sz val="8"/>
            <color indexed="81"/>
            <rFont val="Tahoma"/>
            <family val="2"/>
          </rPr>
          <t xml:space="preserve">
Fator de Abrangência k (0,05)</t>
        </r>
      </text>
    </comment>
    <comment ref="R126" authorId="0" shapeId="0">
      <text>
        <r>
          <rPr>
            <b/>
            <sz val="8"/>
            <color indexed="81"/>
            <rFont val="Tahoma"/>
            <family val="2"/>
          </rPr>
          <t>mdalmeida:</t>
        </r>
        <r>
          <rPr>
            <sz val="8"/>
            <color indexed="81"/>
            <rFont val="Tahoma"/>
            <family val="2"/>
          </rPr>
          <t xml:space="preserve">
Graus de liberdade efetivo</t>
        </r>
      </text>
    </comment>
    <comment ref="R127" authorId="0" shapeId="0">
      <text>
        <r>
          <rPr>
            <b/>
            <sz val="8"/>
            <color indexed="81"/>
            <rFont val="Tahoma"/>
            <family val="2"/>
          </rPr>
          <t>mdalmeida:</t>
        </r>
        <r>
          <rPr>
            <sz val="8"/>
            <color indexed="81"/>
            <rFont val="Tahoma"/>
            <family val="2"/>
          </rPr>
          <t xml:space="preserve">
Fator de Abrangência k (0,05)</t>
        </r>
      </text>
    </comment>
    <comment ref="R135" authorId="0" shapeId="0">
      <text>
        <r>
          <rPr>
            <b/>
            <sz val="8"/>
            <color indexed="81"/>
            <rFont val="Tahoma"/>
            <family val="2"/>
          </rPr>
          <t>mdalmeida:</t>
        </r>
        <r>
          <rPr>
            <sz val="8"/>
            <color indexed="81"/>
            <rFont val="Tahoma"/>
            <family val="2"/>
          </rPr>
          <t xml:space="preserve">
Graus de liberdade efetivo</t>
        </r>
      </text>
    </comment>
    <comment ref="U135" authorId="0" shapeId="0">
      <text>
        <r>
          <rPr>
            <b/>
            <sz val="8"/>
            <color indexed="81"/>
            <rFont val="Tahoma"/>
            <family val="2"/>
          </rPr>
          <t>mdalmeida:</t>
        </r>
        <r>
          <rPr>
            <sz val="8"/>
            <color indexed="81"/>
            <rFont val="Tahoma"/>
            <family val="2"/>
          </rPr>
          <t xml:space="preserve">
Graus de liberdade efetivo</t>
        </r>
      </text>
    </comment>
    <comment ref="R136" authorId="0" shapeId="0">
      <text>
        <r>
          <rPr>
            <b/>
            <sz val="8"/>
            <color indexed="81"/>
            <rFont val="Tahoma"/>
            <family val="2"/>
          </rPr>
          <t>mdalmeida:</t>
        </r>
        <r>
          <rPr>
            <sz val="8"/>
            <color indexed="81"/>
            <rFont val="Tahoma"/>
            <family val="2"/>
          </rPr>
          <t xml:space="preserve">
Fator de Abrangência k (0,05)</t>
        </r>
      </text>
    </comment>
    <comment ref="U136" authorId="0" shapeId="0">
      <text>
        <r>
          <rPr>
            <b/>
            <sz val="8"/>
            <color indexed="81"/>
            <rFont val="Tahoma"/>
            <family val="2"/>
          </rPr>
          <t>mdalmeida:</t>
        </r>
        <r>
          <rPr>
            <sz val="8"/>
            <color indexed="81"/>
            <rFont val="Tahoma"/>
            <family val="2"/>
          </rPr>
          <t xml:space="preserve">
Fator de Abrangência k (0,05)</t>
        </r>
      </text>
    </comment>
    <comment ref="R144" authorId="0" shapeId="0">
      <text>
        <r>
          <rPr>
            <b/>
            <sz val="8"/>
            <color indexed="81"/>
            <rFont val="Tahoma"/>
            <family val="2"/>
          </rPr>
          <t>mdalmeida:</t>
        </r>
        <r>
          <rPr>
            <sz val="8"/>
            <color indexed="81"/>
            <rFont val="Tahoma"/>
            <family val="2"/>
          </rPr>
          <t xml:space="preserve">
Graus de liberdade efetivo</t>
        </r>
      </text>
    </comment>
    <comment ref="R145" authorId="0" shapeId="0">
      <text>
        <r>
          <rPr>
            <b/>
            <sz val="8"/>
            <color indexed="81"/>
            <rFont val="Tahoma"/>
            <family val="2"/>
          </rPr>
          <t>mdalmeida:</t>
        </r>
        <r>
          <rPr>
            <sz val="8"/>
            <color indexed="81"/>
            <rFont val="Tahoma"/>
            <family val="2"/>
          </rPr>
          <t xml:space="preserve">
Fator de Abrangência k (0,05)</t>
        </r>
      </text>
    </comment>
    <comment ref="R153" authorId="0" shapeId="0">
      <text>
        <r>
          <rPr>
            <b/>
            <sz val="8"/>
            <color indexed="81"/>
            <rFont val="Tahoma"/>
            <family val="2"/>
          </rPr>
          <t>mdalmeida:</t>
        </r>
        <r>
          <rPr>
            <sz val="8"/>
            <color indexed="81"/>
            <rFont val="Tahoma"/>
            <family val="2"/>
          </rPr>
          <t xml:space="preserve">
Graus de liberdade efetivo</t>
        </r>
      </text>
    </comment>
    <comment ref="U153" authorId="0" shapeId="0">
      <text>
        <r>
          <rPr>
            <b/>
            <sz val="8"/>
            <color indexed="81"/>
            <rFont val="Tahoma"/>
            <family val="2"/>
          </rPr>
          <t>mdalmeida:</t>
        </r>
        <r>
          <rPr>
            <sz val="8"/>
            <color indexed="81"/>
            <rFont val="Tahoma"/>
            <family val="2"/>
          </rPr>
          <t xml:space="preserve">
Graus de liberdade efetivo</t>
        </r>
      </text>
    </comment>
    <comment ref="R154" authorId="0" shapeId="0">
      <text>
        <r>
          <rPr>
            <b/>
            <sz val="8"/>
            <color indexed="81"/>
            <rFont val="Tahoma"/>
            <family val="2"/>
          </rPr>
          <t>mdalmeida:</t>
        </r>
        <r>
          <rPr>
            <sz val="8"/>
            <color indexed="81"/>
            <rFont val="Tahoma"/>
            <family val="2"/>
          </rPr>
          <t xml:space="preserve">
Fator de Abrangência k (0,05)</t>
        </r>
      </text>
    </comment>
    <comment ref="U154" authorId="0" shapeId="0">
      <text>
        <r>
          <rPr>
            <b/>
            <sz val="8"/>
            <color indexed="81"/>
            <rFont val="Tahoma"/>
            <family val="2"/>
          </rPr>
          <t>mdalmeida:</t>
        </r>
        <r>
          <rPr>
            <sz val="8"/>
            <color indexed="81"/>
            <rFont val="Tahoma"/>
            <family val="2"/>
          </rPr>
          <t xml:space="preserve">
Fator de Abrangência k (0,05)</t>
        </r>
      </text>
    </comment>
    <comment ref="R162" authorId="0" shapeId="0">
      <text>
        <r>
          <rPr>
            <b/>
            <sz val="8"/>
            <color indexed="81"/>
            <rFont val="Tahoma"/>
            <family val="2"/>
          </rPr>
          <t>mdalmeida:</t>
        </r>
        <r>
          <rPr>
            <sz val="8"/>
            <color indexed="81"/>
            <rFont val="Tahoma"/>
            <family val="2"/>
          </rPr>
          <t xml:space="preserve">
Graus de liberdade efetivo</t>
        </r>
      </text>
    </comment>
    <comment ref="R163" authorId="0" shapeId="0">
      <text>
        <r>
          <rPr>
            <b/>
            <sz val="8"/>
            <color indexed="81"/>
            <rFont val="Tahoma"/>
            <family val="2"/>
          </rPr>
          <t>mdalmeida:</t>
        </r>
        <r>
          <rPr>
            <sz val="8"/>
            <color indexed="81"/>
            <rFont val="Tahoma"/>
            <family val="2"/>
          </rPr>
          <t xml:space="preserve">
Fator de Abrangência k (0,05)</t>
        </r>
      </text>
    </comment>
    <comment ref="R171" authorId="0" shapeId="0">
      <text>
        <r>
          <rPr>
            <b/>
            <sz val="8"/>
            <color indexed="81"/>
            <rFont val="Tahoma"/>
            <family val="2"/>
          </rPr>
          <t>mdalmeida:</t>
        </r>
        <r>
          <rPr>
            <sz val="8"/>
            <color indexed="81"/>
            <rFont val="Tahoma"/>
            <family val="2"/>
          </rPr>
          <t xml:space="preserve">
Graus de liberdade efetivo</t>
        </r>
      </text>
    </comment>
    <comment ref="R172" authorId="0" shapeId="0">
      <text>
        <r>
          <rPr>
            <b/>
            <sz val="8"/>
            <color indexed="81"/>
            <rFont val="Tahoma"/>
            <family val="2"/>
          </rPr>
          <t>mdalmeida:</t>
        </r>
        <r>
          <rPr>
            <sz val="8"/>
            <color indexed="81"/>
            <rFont val="Tahoma"/>
            <family val="2"/>
          </rPr>
          <t xml:space="preserve">
Fator de Abrangência k (0,05)</t>
        </r>
      </text>
    </comment>
    <comment ref="R180" authorId="0" shapeId="0">
      <text>
        <r>
          <rPr>
            <b/>
            <sz val="8"/>
            <color indexed="81"/>
            <rFont val="Tahoma"/>
            <family val="2"/>
          </rPr>
          <t>mdalmeida:</t>
        </r>
        <r>
          <rPr>
            <sz val="8"/>
            <color indexed="81"/>
            <rFont val="Tahoma"/>
            <family val="2"/>
          </rPr>
          <t xml:space="preserve">
Graus de liberdade efetivo</t>
        </r>
      </text>
    </comment>
    <comment ref="R181" authorId="0" shapeId="0">
      <text>
        <r>
          <rPr>
            <b/>
            <sz val="8"/>
            <color indexed="81"/>
            <rFont val="Tahoma"/>
            <family val="2"/>
          </rPr>
          <t>mdalmeida:</t>
        </r>
        <r>
          <rPr>
            <sz val="8"/>
            <color indexed="81"/>
            <rFont val="Tahoma"/>
            <family val="2"/>
          </rPr>
          <t xml:space="preserve">
Fator de Abrangência k (0,05)</t>
        </r>
      </text>
    </comment>
    <comment ref="R189" authorId="0" shapeId="0">
      <text>
        <r>
          <rPr>
            <b/>
            <sz val="8"/>
            <color indexed="81"/>
            <rFont val="Tahoma"/>
            <family val="2"/>
          </rPr>
          <t>mdalmeida:</t>
        </r>
        <r>
          <rPr>
            <sz val="8"/>
            <color indexed="81"/>
            <rFont val="Tahoma"/>
            <family val="2"/>
          </rPr>
          <t xml:space="preserve">
Graus de liberdade efetivo</t>
        </r>
      </text>
    </comment>
    <comment ref="R190" authorId="0" shapeId="0">
      <text>
        <r>
          <rPr>
            <b/>
            <sz val="8"/>
            <color indexed="81"/>
            <rFont val="Tahoma"/>
            <family val="2"/>
          </rPr>
          <t>mdalmeida:</t>
        </r>
        <r>
          <rPr>
            <sz val="8"/>
            <color indexed="81"/>
            <rFont val="Tahoma"/>
            <family val="2"/>
          </rPr>
          <t xml:space="preserve">
Fator de Abrangência k (0,05)</t>
        </r>
      </text>
    </comment>
    <comment ref="R198" authorId="0" shapeId="0">
      <text>
        <r>
          <rPr>
            <b/>
            <sz val="8"/>
            <color indexed="81"/>
            <rFont val="Tahoma"/>
            <family val="2"/>
          </rPr>
          <t>mdalmeida:</t>
        </r>
        <r>
          <rPr>
            <sz val="8"/>
            <color indexed="81"/>
            <rFont val="Tahoma"/>
            <family val="2"/>
          </rPr>
          <t xml:space="preserve">
Graus de liberdade efetivo</t>
        </r>
      </text>
    </comment>
    <comment ref="R199" authorId="0" shapeId="0">
      <text>
        <r>
          <rPr>
            <b/>
            <sz val="8"/>
            <color indexed="81"/>
            <rFont val="Tahoma"/>
            <family val="2"/>
          </rPr>
          <t>mdalmeida:</t>
        </r>
        <r>
          <rPr>
            <sz val="8"/>
            <color indexed="81"/>
            <rFont val="Tahoma"/>
            <family val="2"/>
          </rPr>
          <t xml:space="preserve">
Fator de Abrangência k (0,05)</t>
        </r>
      </text>
    </comment>
    <comment ref="R207" authorId="0" shapeId="0">
      <text>
        <r>
          <rPr>
            <b/>
            <sz val="8"/>
            <color indexed="81"/>
            <rFont val="Tahoma"/>
            <family val="2"/>
          </rPr>
          <t>mdalmeida:</t>
        </r>
        <r>
          <rPr>
            <sz val="8"/>
            <color indexed="81"/>
            <rFont val="Tahoma"/>
            <family val="2"/>
          </rPr>
          <t xml:space="preserve">
Graus de liberdade efetivo</t>
        </r>
      </text>
    </comment>
    <comment ref="R208" authorId="0" shapeId="0">
      <text>
        <r>
          <rPr>
            <b/>
            <sz val="8"/>
            <color indexed="81"/>
            <rFont val="Tahoma"/>
            <family val="2"/>
          </rPr>
          <t>mdalmeida:</t>
        </r>
        <r>
          <rPr>
            <sz val="8"/>
            <color indexed="81"/>
            <rFont val="Tahoma"/>
            <family val="2"/>
          </rPr>
          <t xml:space="preserve">
Fator de Abrangência k (0,05)</t>
        </r>
      </text>
    </comment>
    <comment ref="R216" authorId="0" shapeId="0">
      <text>
        <r>
          <rPr>
            <b/>
            <sz val="8"/>
            <color indexed="81"/>
            <rFont val="Tahoma"/>
            <family val="2"/>
          </rPr>
          <t>mdalmeida:</t>
        </r>
        <r>
          <rPr>
            <sz val="8"/>
            <color indexed="81"/>
            <rFont val="Tahoma"/>
            <family val="2"/>
          </rPr>
          <t xml:space="preserve">
Graus de liberdade efetivo</t>
        </r>
      </text>
    </comment>
    <comment ref="R217" authorId="0" shapeId="0">
      <text>
        <r>
          <rPr>
            <b/>
            <sz val="8"/>
            <color indexed="81"/>
            <rFont val="Tahoma"/>
            <family val="2"/>
          </rPr>
          <t>mdalmeida:</t>
        </r>
        <r>
          <rPr>
            <sz val="8"/>
            <color indexed="81"/>
            <rFont val="Tahoma"/>
            <family val="2"/>
          </rPr>
          <t xml:space="preserve">
Fator de Abrangência k (0,05)</t>
        </r>
      </text>
    </comment>
    <comment ref="R225" authorId="0" shapeId="0">
      <text>
        <r>
          <rPr>
            <b/>
            <sz val="8"/>
            <color indexed="81"/>
            <rFont val="Tahoma"/>
            <family val="2"/>
          </rPr>
          <t>mdalmeida:</t>
        </r>
        <r>
          <rPr>
            <sz val="8"/>
            <color indexed="81"/>
            <rFont val="Tahoma"/>
            <family val="2"/>
          </rPr>
          <t xml:space="preserve">
Graus de liberdade efetivo</t>
        </r>
      </text>
    </comment>
    <comment ref="R226" authorId="0" shapeId="0">
      <text>
        <r>
          <rPr>
            <b/>
            <sz val="8"/>
            <color indexed="81"/>
            <rFont val="Tahoma"/>
            <family val="2"/>
          </rPr>
          <t>mdalmeida:</t>
        </r>
        <r>
          <rPr>
            <sz val="8"/>
            <color indexed="81"/>
            <rFont val="Tahoma"/>
            <family val="2"/>
          </rPr>
          <t xml:space="preserve">
Fator de Abrangência k (0,05)</t>
        </r>
      </text>
    </comment>
    <comment ref="R234" authorId="0" shapeId="0">
      <text>
        <r>
          <rPr>
            <b/>
            <sz val="8"/>
            <color indexed="81"/>
            <rFont val="Tahoma"/>
            <family val="2"/>
          </rPr>
          <t>mdalmeida:</t>
        </r>
        <r>
          <rPr>
            <sz val="8"/>
            <color indexed="81"/>
            <rFont val="Tahoma"/>
            <family val="2"/>
          </rPr>
          <t xml:space="preserve">
Graus de liberdade efetivo</t>
        </r>
      </text>
    </comment>
    <comment ref="R235" authorId="0" shapeId="0">
      <text>
        <r>
          <rPr>
            <b/>
            <sz val="8"/>
            <color indexed="81"/>
            <rFont val="Tahoma"/>
            <family val="2"/>
          </rPr>
          <t>mdalmeida:</t>
        </r>
        <r>
          <rPr>
            <sz val="8"/>
            <color indexed="81"/>
            <rFont val="Tahoma"/>
            <family val="2"/>
          </rPr>
          <t xml:space="preserve">
Fator de Abrangência k (0,05)</t>
        </r>
      </text>
    </comment>
    <comment ref="R243" authorId="0" shapeId="0">
      <text>
        <r>
          <rPr>
            <b/>
            <sz val="8"/>
            <color indexed="81"/>
            <rFont val="Tahoma"/>
            <family val="2"/>
          </rPr>
          <t>mdalmeida:</t>
        </r>
        <r>
          <rPr>
            <sz val="8"/>
            <color indexed="81"/>
            <rFont val="Tahoma"/>
            <family val="2"/>
          </rPr>
          <t xml:space="preserve">
Graus de liberdade efetivo</t>
        </r>
      </text>
    </comment>
    <comment ref="R244" authorId="0" shapeId="0">
      <text>
        <r>
          <rPr>
            <b/>
            <sz val="8"/>
            <color indexed="81"/>
            <rFont val="Tahoma"/>
            <family val="2"/>
          </rPr>
          <t>mdalmeida:</t>
        </r>
        <r>
          <rPr>
            <sz val="8"/>
            <color indexed="81"/>
            <rFont val="Tahoma"/>
            <family val="2"/>
          </rPr>
          <t xml:space="preserve">
Fator de Abrangência k (0,05)</t>
        </r>
      </text>
    </comment>
    <comment ref="R252" authorId="0" shapeId="0">
      <text>
        <r>
          <rPr>
            <b/>
            <sz val="8"/>
            <color indexed="81"/>
            <rFont val="Tahoma"/>
            <family val="2"/>
          </rPr>
          <t>mdalmeida:</t>
        </r>
        <r>
          <rPr>
            <sz val="8"/>
            <color indexed="81"/>
            <rFont val="Tahoma"/>
            <family val="2"/>
          </rPr>
          <t xml:space="preserve">
Graus de liberdade efetivo</t>
        </r>
      </text>
    </comment>
    <comment ref="R253" authorId="0" shapeId="0">
      <text>
        <r>
          <rPr>
            <b/>
            <sz val="8"/>
            <color indexed="81"/>
            <rFont val="Tahoma"/>
            <family val="2"/>
          </rPr>
          <t>mdalmeida:</t>
        </r>
        <r>
          <rPr>
            <sz val="8"/>
            <color indexed="81"/>
            <rFont val="Tahoma"/>
            <family val="2"/>
          </rPr>
          <t xml:space="preserve">
Fator de Abrangência k (0,05)</t>
        </r>
      </text>
    </comment>
    <comment ref="R261" authorId="0" shapeId="0">
      <text>
        <r>
          <rPr>
            <b/>
            <sz val="8"/>
            <color indexed="81"/>
            <rFont val="Tahoma"/>
            <family val="2"/>
          </rPr>
          <t>mdalmeida:</t>
        </r>
        <r>
          <rPr>
            <sz val="8"/>
            <color indexed="81"/>
            <rFont val="Tahoma"/>
            <family val="2"/>
          </rPr>
          <t xml:space="preserve">
Graus de liberdade efetivo</t>
        </r>
      </text>
    </comment>
    <comment ref="R262" authorId="0" shapeId="0">
      <text>
        <r>
          <rPr>
            <b/>
            <sz val="8"/>
            <color indexed="81"/>
            <rFont val="Tahoma"/>
            <family val="2"/>
          </rPr>
          <t>mdalmeida:</t>
        </r>
        <r>
          <rPr>
            <sz val="8"/>
            <color indexed="81"/>
            <rFont val="Tahoma"/>
            <family val="2"/>
          </rPr>
          <t xml:space="preserve">
Fator de Abrangência k (0,05)</t>
        </r>
      </text>
    </comment>
    <comment ref="R270" authorId="0" shapeId="0">
      <text>
        <r>
          <rPr>
            <b/>
            <sz val="8"/>
            <color indexed="81"/>
            <rFont val="Tahoma"/>
            <family val="2"/>
          </rPr>
          <t>mdalmeida:</t>
        </r>
        <r>
          <rPr>
            <sz val="8"/>
            <color indexed="81"/>
            <rFont val="Tahoma"/>
            <family val="2"/>
          </rPr>
          <t xml:space="preserve">
Graus de liberdade efetivo</t>
        </r>
      </text>
    </comment>
    <comment ref="R271" authorId="0" shapeId="0">
      <text>
        <r>
          <rPr>
            <b/>
            <sz val="8"/>
            <color indexed="81"/>
            <rFont val="Tahoma"/>
            <family val="2"/>
          </rPr>
          <t>mdalmeida:</t>
        </r>
        <r>
          <rPr>
            <sz val="8"/>
            <color indexed="81"/>
            <rFont val="Tahoma"/>
            <family val="2"/>
          </rPr>
          <t xml:space="preserve">
Fator de Abrangência k (0,05)</t>
        </r>
      </text>
    </comment>
    <comment ref="R279" authorId="0" shapeId="0">
      <text>
        <r>
          <rPr>
            <b/>
            <sz val="8"/>
            <color indexed="81"/>
            <rFont val="Tahoma"/>
            <family val="2"/>
          </rPr>
          <t>mdalmeida:</t>
        </r>
        <r>
          <rPr>
            <sz val="8"/>
            <color indexed="81"/>
            <rFont val="Tahoma"/>
            <family val="2"/>
          </rPr>
          <t xml:space="preserve">
Graus de liberdade efetivo</t>
        </r>
      </text>
    </comment>
    <comment ref="R280" authorId="0" shapeId="0">
      <text>
        <r>
          <rPr>
            <b/>
            <sz val="8"/>
            <color indexed="81"/>
            <rFont val="Tahoma"/>
            <family val="2"/>
          </rPr>
          <t>mdalmeida:</t>
        </r>
        <r>
          <rPr>
            <sz val="8"/>
            <color indexed="81"/>
            <rFont val="Tahoma"/>
            <family val="2"/>
          </rPr>
          <t xml:space="preserve">
Fator de Abrangência k (0,05)</t>
        </r>
      </text>
    </comment>
    <comment ref="R288" authorId="0" shapeId="0">
      <text>
        <r>
          <rPr>
            <b/>
            <sz val="8"/>
            <color indexed="81"/>
            <rFont val="Tahoma"/>
            <family val="2"/>
          </rPr>
          <t>mdalmeida:</t>
        </r>
        <r>
          <rPr>
            <sz val="8"/>
            <color indexed="81"/>
            <rFont val="Tahoma"/>
            <family val="2"/>
          </rPr>
          <t xml:space="preserve">
Graus de liberdade efetivo</t>
        </r>
      </text>
    </comment>
    <comment ref="R289" authorId="0" shapeId="0">
      <text>
        <r>
          <rPr>
            <b/>
            <sz val="8"/>
            <color indexed="81"/>
            <rFont val="Tahoma"/>
            <family val="2"/>
          </rPr>
          <t>mdalmeida:</t>
        </r>
        <r>
          <rPr>
            <sz val="8"/>
            <color indexed="81"/>
            <rFont val="Tahoma"/>
            <family val="2"/>
          </rPr>
          <t xml:space="preserve">
Fator de Abrangência k (0,05)</t>
        </r>
      </text>
    </comment>
    <comment ref="R297" authorId="0" shapeId="0">
      <text>
        <r>
          <rPr>
            <b/>
            <sz val="8"/>
            <color indexed="81"/>
            <rFont val="Tahoma"/>
            <family val="2"/>
          </rPr>
          <t>mdalmeida:</t>
        </r>
        <r>
          <rPr>
            <sz val="8"/>
            <color indexed="81"/>
            <rFont val="Tahoma"/>
            <family val="2"/>
          </rPr>
          <t xml:space="preserve">
Graus de liberdade efetivo</t>
        </r>
      </text>
    </comment>
    <comment ref="R298" authorId="0" shapeId="0">
      <text>
        <r>
          <rPr>
            <b/>
            <sz val="8"/>
            <color indexed="81"/>
            <rFont val="Tahoma"/>
            <family val="2"/>
          </rPr>
          <t>mdalmeida:</t>
        </r>
        <r>
          <rPr>
            <sz val="8"/>
            <color indexed="81"/>
            <rFont val="Tahoma"/>
            <family val="2"/>
          </rPr>
          <t xml:space="preserve">
Fator de Abrangência k (0,05)</t>
        </r>
      </text>
    </comment>
    <comment ref="R306" authorId="0" shapeId="0">
      <text>
        <r>
          <rPr>
            <b/>
            <sz val="8"/>
            <color indexed="81"/>
            <rFont val="Tahoma"/>
            <family val="2"/>
          </rPr>
          <t>mdalmeida:</t>
        </r>
        <r>
          <rPr>
            <sz val="8"/>
            <color indexed="81"/>
            <rFont val="Tahoma"/>
            <family val="2"/>
          </rPr>
          <t xml:space="preserve">
Graus de liberdade efetivo</t>
        </r>
      </text>
    </comment>
    <comment ref="R307" authorId="0" shapeId="0">
      <text>
        <r>
          <rPr>
            <b/>
            <sz val="8"/>
            <color indexed="81"/>
            <rFont val="Tahoma"/>
            <family val="2"/>
          </rPr>
          <t>mdalmeida:</t>
        </r>
        <r>
          <rPr>
            <sz val="8"/>
            <color indexed="81"/>
            <rFont val="Tahoma"/>
            <family val="2"/>
          </rPr>
          <t xml:space="preserve">
Fator de Abrangência k (0,05)</t>
        </r>
      </text>
    </comment>
    <comment ref="R315" authorId="0" shapeId="0">
      <text>
        <r>
          <rPr>
            <b/>
            <sz val="8"/>
            <color indexed="81"/>
            <rFont val="Tahoma"/>
            <family val="2"/>
          </rPr>
          <t>mdalmeida:</t>
        </r>
        <r>
          <rPr>
            <sz val="8"/>
            <color indexed="81"/>
            <rFont val="Tahoma"/>
            <family val="2"/>
          </rPr>
          <t xml:space="preserve">
Graus de liberdade efetivo</t>
        </r>
      </text>
    </comment>
    <comment ref="R316" authorId="0" shapeId="0">
      <text>
        <r>
          <rPr>
            <b/>
            <sz val="8"/>
            <color indexed="81"/>
            <rFont val="Tahoma"/>
            <family val="2"/>
          </rPr>
          <t>mdalmeida:</t>
        </r>
        <r>
          <rPr>
            <sz val="8"/>
            <color indexed="81"/>
            <rFont val="Tahoma"/>
            <family val="2"/>
          </rPr>
          <t xml:space="preserve">
Fator de Abrangência k (0,05)</t>
        </r>
      </text>
    </comment>
    <comment ref="R324" authorId="0" shapeId="0">
      <text>
        <r>
          <rPr>
            <b/>
            <sz val="8"/>
            <color indexed="81"/>
            <rFont val="Tahoma"/>
            <family val="2"/>
          </rPr>
          <t>mdalmeida:</t>
        </r>
        <r>
          <rPr>
            <sz val="8"/>
            <color indexed="81"/>
            <rFont val="Tahoma"/>
            <family val="2"/>
          </rPr>
          <t xml:space="preserve">
Graus de liberdade efetivo</t>
        </r>
      </text>
    </comment>
    <comment ref="R325" authorId="0" shapeId="0">
      <text>
        <r>
          <rPr>
            <b/>
            <sz val="8"/>
            <color indexed="81"/>
            <rFont val="Tahoma"/>
            <family val="2"/>
          </rPr>
          <t>mdalmeida:</t>
        </r>
        <r>
          <rPr>
            <sz val="8"/>
            <color indexed="81"/>
            <rFont val="Tahoma"/>
            <family val="2"/>
          </rPr>
          <t xml:space="preserve">
Fator de Abrangência k (0,05)</t>
        </r>
      </text>
    </comment>
    <comment ref="R333" authorId="0" shapeId="0">
      <text>
        <r>
          <rPr>
            <b/>
            <sz val="8"/>
            <color indexed="81"/>
            <rFont val="Tahoma"/>
            <family val="2"/>
          </rPr>
          <t>mdalmeida:</t>
        </r>
        <r>
          <rPr>
            <sz val="8"/>
            <color indexed="81"/>
            <rFont val="Tahoma"/>
            <family val="2"/>
          </rPr>
          <t xml:space="preserve">
Graus de liberdade efetivo</t>
        </r>
      </text>
    </comment>
    <comment ref="R334" authorId="0" shapeId="0">
      <text>
        <r>
          <rPr>
            <b/>
            <sz val="8"/>
            <color indexed="81"/>
            <rFont val="Tahoma"/>
            <family val="2"/>
          </rPr>
          <t>mdalmeida:</t>
        </r>
        <r>
          <rPr>
            <sz val="8"/>
            <color indexed="81"/>
            <rFont val="Tahoma"/>
            <family val="2"/>
          </rPr>
          <t xml:space="preserve">
Fator de Abrangência k (0,05)</t>
        </r>
      </text>
    </comment>
    <comment ref="R342" authorId="0" shapeId="0">
      <text>
        <r>
          <rPr>
            <b/>
            <sz val="8"/>
            <color indexed="81"/>
            <rFont val="Tahoma"/>
            <family val="2"/>
          </rPr>
          <t>mdalmeida:</t>
        </r>
        <r>
          <rPr>
            <sz val="8"/>
            <color indexed="81"/>
            <rFont val="Tahoma"/>
            <family val="2"/>
          </rPr>
          <t xml:space="preserve">
Graus de liberdade efetivo</t>
        </r>
      </text>
    </comment>
    <comment ref="R343" authorId="0" shapeId="0">
      <text>
        <r>
          <rPr>
            <b/>
            <sz val="8"/>
            <color indexed="81"/>
            <rFont val="Tahoma"/>
            <family val="2"/>
          </rPr>
          <t>mdalmeida:</t>
        </r>
        <r>
          <rPr>
            <sz val="8"/>
            <color indexed="81"/>
            <rFont val="Tahoma"/>
            <family val="2"/>
          </rPr>
          <t xml:space="preserve">
Fator de Abrangência k (0,05)</t>
        </r>
      </text>
    </comment>
    <comment ref="R351" authorId="0" shapeId="0">
      <text>
        <r>
          <rPr>
            <b/>
            <sz val="8"/>
            <color indexed="81"/>
            <rFont val="Tahoma"/>
            <family val="2"/>
          </rPr>
          <t>mdalmeida:</t>
        </r>
        <r>
          <rPr>
            <sz val="8"/>
            <color indexed="81"/>
            <rFont val="Tahoma"/>
            <family val="2"/>
          </rPr>
          <t xml:space="preserve">
Graus de liberdade efetivo</t>
        </r>
      </text>
    </comment>
    <comment ref="R352" authorId="0" shapeId="0">
      <text>
        <r>
          <rPr>
            <b/>
            <sz val="8"/>
            <color indexed="81"/>
            <rFont val="Tahoma"/>
            <family val="2"/>
          </rPr>
          <t>mdalmeida:</t>
        </r>
        <r>
          <rPr>
            <sz val="8"/>
            <color indexed="81"/>
            <rFont val="Tahoma"/>
            <family val="2"/>
          </rPr>
          <t xml:space="preserve">
Fator de Abrangência k (0,05)</t>
        </r>
      </text>
    </comment>
    <comment ref="R360" authorId="0" shapeId="0">
      <text>
        <r>
          <rPr>
            <b/>
            <sz val="8"/>
            <color indexed="81"/>
            <rFont val="Tahoma"/>
            <family val="2"/>
          </rPr>
          <t>mdalmeida:</t>
        </r>
        <r>
          <rPr>
            <sz val="8"/>
            <color indexed="81"/>
            <rFont val="Tahoma"/>
            <family val="2"/>
          </rPr>
          <t xml:space="preserve">
Graus de liberdade efetivo</t>
        </r>
      </text>
    </comment>
    <comment ref="R361" authorId="0" shapeId="0">
      <text>
        <r>
          <rPr>
            <b/>
            <sz val="8"/>
            <color indexed="81"/>
            <rFont val="Tahoma"/>
            <family val="2"/>
          </rPr>
          <t>mdalmeida:</t>
        </r>
        <r>
          <rPr>
            <sz val="8"/>
            <color indexed="81"/>
            <rFont val="Tahoma"/>
            <family val="2"/>
          </rPr>
          <t xml:space="preserve">
Fator de Abrangência k (0,05)</t>
        </r>
      </text>
    </comment>
  </commentList>
</comments>
</file>

<file path=xl/comments3.xml><?xml version="1.0" encoding="utf-8"?>
<comments xmlns="http://schemas.openxmlformats.org/spreadsheetml/2006/main">
  <authors>
    <author>mdalmeida</author>
  </authors>
  <commentList>
    <comment ref="K21" authorId="0" shapeId="0">
      <text>
        <r>
          <rPr>
            <b/>
            <sz val="8"/>
            <color indexed="81"/>
            <rFont val="Tahoma"/>
            <family val="2"/>
          </rPr>
          <t>mdalmeida:</t>
        </r>
        <r>
          <rPr>
            <sz val="8"/>
            <color indexed="81"/>
            <rFont val="Tahoma"/>
            <family val="2"/>
          </rPr>
          <t xml:space="preserve">
Combinada </t>
        </r>
      </text>
    </comment>
    <comment ref="L21" authorId="0" shapeId="0">
      <text>
        <r>
          <rPr>
            <b/>
            <sz val="8"/>
            <color indexed="81"/>
            <rFont val="Tahoma"/>
            <family val="2"/>
          </rPr>
          <t>mdalmeida:</t>
        </r>
        <r>
          <rPr>
            <sz val="8"/>
            <color indexed="81"/>
            <rFont val="Tahoma"/>
            <family val="2"/>
          </rPr>
          <t xml:space="preserve">
Associada a curva de calibração relativa. Note que a concentração é a concentração que sai da curva de calibração, ou seja, concentração dividido por fator de diluição</t>
        </r>
      </text>
    </comment>
    <comment ref="M21" authorId="0" shapeId="0">
      <text>
        <r>
          <rPr>
            <b/>
            <sz val="8"/>
            <color indexed="81"/>
            <rFont val="Tahoma"/>
            <family val="2"/>
          </rPr>
          <t>mdalmeida:</t>
        </r>
        <r>
          <rPr>
            <sz val="8"/>
            <color indexed="81"/>
            <rFont val="Tahoma"/>
            <family val="2"/>
          </rPr>
          <t xml:space="preserve">
Associada a repetitividade da amostra</t>
        </r>
      </text>
    </comment>
    <comment ref="B23" authorId="0" shapeId="0">
      <text>
        <r>
          <rPr>
            <b/>
            <sz val="8"/>
            <color indexed="81"/>
            <rFont val="Tahoma"/>
            <family val="2"/>
          </rPr>
          <t>mdalmeida:</t>
        </r>
        <r>
          <rPr>
            <sz val="8"/>
            <color indexed="81"/>
            <rFont val="Tahoma"/>
            <family val="2"/>
          </rPr>
          <t xml:space="preserve">
Graus de liberdade efetivo</t>
        </r>
      </text>
    </comment>
    <comment ref="B24" authorId="0" shapeId="0">
      <text>
        <r>
          <rPr>
            <b/>
            <sz val="8"/>
            <color indexed="81"/>
            <rFont val="Tahoma"/>
            <family val="2"/>
          </rPr>
          <t>mdalmeida:</t>
        </r>
        <r>
          <rPr>
            <sz val="8"/>
            <color indexed="81"/>
            <rFont val="Tahoma"/>
            <family val="2"/>
          </rPr>
          <t xml:space="preserve">
Fator de Abrangência k (0,05)</t>
        </r>
      </text>
    </comment>
    <comment ref="B32" authorId="0" shapeId="0">
      <text>
        <r>
          <rPr>
            <b/>
            <sz val="8"/>
            <color indexed="81"/>
            <rFont val="Tahoma"/>
            <family val="2"/>
          </rPr>
          <t>mdalmeida:</t>
        </r>
        <r>
          <rPr>
            <sz val="8"/>
            <color indexed="81"/>
            <rFont val="Tahoma"/>
            <family val="2"/>
          </rPr>
          <t xml:space="preserve">
Graus de liberdade efetivo</t>
        </r>
      </text>
    </comment>
    <comment ref="B33" authorId="0" shapeId="0">
      <text>
        <r>
          <rPr>
            <b/>
            <sz val="8"/>
            <color indexed="81"/>
            <rFont val="Tahoma"/>
            <family val="2"/>
          </rPr>
          <t>mdalmeida:</t>
        </r>
        <r>
          <rPr>
            <sz val="8"/>
            <color indexed="81"/>
            <rFont val="Tahoma"/>
            <family val="2"/>
          </rPr>
          <t xml:space="preserve">
Fator de Abrangência k (0,05)</t>
        </r>
      </text>
    </comment>
    <comment ref="B41" authorId="0" shapeId="0">
      <text>
        <r>
          <rPr>
            <b/>
            <sz val="8"/>
            <color indexed="81"/>
            <rFont val="Tahoma"/>
            <family val="2"/>
          </rPr>
          <t>mdalmeida:</t>
        </r>
        <r>
          <rPr>
            <sz val="8"/>
            <color indexed="81"/>
            <rFont val="Tahoma"/>
            <family val="2"/>
          </rPr>
          <t xml:space="preserve">
Graus de liberdade efetivo</t>
        </r>
      </text>
    </comment>
    <comment ref="B42" authorId="0" shapeId="0">
      <text>
        <r>
          <rPr>
            <b/>
            <sz val="8"/>
            <color indexed="81"/>
            <rFont val="Tahoma"/>
            <family val="2"/>
          </rPr>
          <t>mdalmeida:</t>
        </r>
        <r>
          <rPr>
            <sz val="8"/>
            <color indexed="81"/>
            <rFont val="Tahoma"/>
            <family val="2"/>
          </rPr>
          <t xml:space="preserve">
Fator de Abrangência k (0,05)</t>
        </r>
      </text>
    </comment>
    <comment ref="B50" authorId="0" shapeId="0">
      <text>
        <r>
          <rPr>
            <b/>
            <sz val="8"/>
            <color indexed="81"/>
            <rFont val="Tahoma"/>
            <family val="2"/>
          </rPr>
          <t>mdalmeida:</t>
        </r>
        <r>
          <rPr>
            <sz val="8"/>
            <color indexed="81"/>
            <rFont val="Tahoma"/>
            <family val="2"/>
          </rPr>
          <t xml:space="preserve">
Graus de liberdade efetivo</t>
        </r>
      </text>
    </comment>
    <comment ref="B51" authorId="0" shapeId="0">
      <text>
        <r>
          <rPr>
            <b/>
            <sz val="8"/>
            <color indexed="81"/>
            <rFont val="Tahoma"/>
            <family val="2"/>
          </rPr>
          <t>mdalmeida:</t>
        </r>
        <r>
          <rPr>
            <sz val="8"/>
            <color indexed="81"/>
            <rFont val="Tahoma"/>
            <family val="2"/>
          </rPr>
          <t xml:space="preserve">
Fator de Abrangência k (0,05)</t>
        </r>
      </text>
    </comment>
    <comment ref="B59" authorId="0" shapeId="0">
      <text>
        <r>
          <rPr>
            <b/>
            <sz val="8"/>
            <color indexed="81"/>
            <rFont val="Tahoma"/>
            <family val="2"/>
          </rPr>
          <t>mdalmeida:</t>
        </r>
        <r>
          <rPr>
            <sz val="8"/>
            <color indexed="81"/>
            <rFont val="Tahoma"/>
            <family val="2"/>
          </rPr>
          <t xml:space="preserve">
Graus de liberdade efetivo</t>
        </r>
      </text>
    </comment>
    <comment ref="B60" authorId="0" shapeId="0">
      <text>
        <r>
          <rPr>
            <b/>
            <sz val="8"/>
            <color indexed="81"/>
            <rFont val="Tahoma"/>
            <family val="2"/>
          </rPr>
          <t>mdalmeida:</t>
        </r>
        <r>
          <rPr>
            <sz val="8"/>
            <color indexed="81"/>
            <rFont val="Tahoma"/>
            <family val="2"/>
          </rPr>
          <t xml:space="preserve">
Fator de Abrangência k (0,05)</t>
        </r>
      </text>
    </comment>
    <comment ref="B68" authorId="0" shapeId="0">
      <text>
        <r>
          <rPr>
            <b/>
            <sz val="8"/>
            <color indexed="81"/>
            <rFont val="Tahoma"/>
            <family val="2"/>
          </rPr>
          <t>mdalmeida:</t>
        </r>
        <r>
          <rPr>
            <sz val="8"/>
            <color indexed="81"/>
            <rFont val="Tahoma"/>
            <family val="2"/>
          </rPr>
          <t xml:space="preserve">
Graus de liberdade efetivo</t>
        </r>
      </text>
    </comment>
    <comment ref="B69" authorId="0" shapeId="0">
      <text>
        <r>
          <rPr>
            <b/>
            <sz val="8"/>
            <color indexed="81"/>
            <rFont val="Tahoma"/>
            <family val="2"/>
          </rPr>
          <t>mdalmeida:</t>
        </r>
        <r>
          <rPr>
            <sz val="8"/>
            <color indexed="81"/>
            <rFont val="Tahoma"/>
            <family val="2"/>
          </rPr>
          <t xml:space="preserve">
Fator de Abrangência k (0,05)</t>
        </r>
      </text>
    </comment>
    <comment ref="B77" authorId="0" shapeId="0">
      <text>
        <r>
          <rPr>
            <b/>
            <sz val="8"/>
            <color indexed="81"/>
            <rFont val="Tahoma"/>
            <family val="2"/>
          </rPr>
          <t>mdalmeida:</t>
        </r>
        <r>
          <rPr>
            <sz val="8"/>
            <color indexed="81"/>
            <rFont val="Tahoma"/>
            <family val="2"/>
          </rPr>
          <t xml:space="preserve">
Graus de liberdade efetivo</t>
        </r>
      </text>
    </comment>
    <comment ref="B78" authorId="0" shapeId="0">
      <text>
        <r>
          <rPr>
            <b/>
            <sz val="8"/>
            <color indexed="81"/>
            <rFont val="Tahoma"/>
            <family val="2"/>
          </rPr>
          <t>mdalmeida:</t>
        </r>
        <r>
          <rPr>
            <sz val="8"/>
            <color indexed="81"/>
            <rFont val="Tahoma"/>
            <family val="2"/>
          </rPr>
          <t xml:space="preserve">
Fator de Abrangência k (0,05)</t>
        </r>
      </text>
    </comment>
    <comment ref="B86" authorId="0" shapeId="0">
      <text>
        <r>
          <rPr>
            <b/>
            <sz val="8"/>
            <color indexed="81"/>
            <rFont val="Tahoma"/>
            <family val="2"/>
          </rPr>
          <t>mdalmeida:</t>
        </r>
        <r>
          <rPr>
            <sz val="8"/>
            <color indexed="81"/>
            <rFont val="Tahoma"/>
            <family val="2"/>
          </rPr>
          <t xml:space="preserve">
Graus de liberdade efetivo</t>
        </r>
      </text>
    </comment>
    <comment ref="B87" authorId="0" shapeId="0">
      <text>
        <r>
          <rPr>
            <b/>
            <sz val="8"/>
            <color indexed="81"/>
            <rFont val="Tahoma"/>
            <family val="2"/>
          </rPr>
          <t>mdalmeida:</t>
        </r>
        <r>
          <rPr>
            <sz val="8"/>
            <color indexed="81"/>
            <rFont val="Tahoma"/>
            <family val="2"/>
          </rPr>
          <t xml:space="preserve">
Fator de Abrangência k (0,05)</t>
        </r>
      </text>
    </comment>
    <comment ref="B95" authorId="0" shapeId="0">
      <text>
        <r>
          <rPr>
            <b/>
            <sz val="8"/>
            <color indexed="81"/>
            <rFont val="Tahoma"/>
            <family val="2"/>
          </rPr>
          <t>mdalmeida:</t>
        </r>
        <r>
          <rPr>
            <sz val="8"/>
            <color indexed="81"/>
            <rFont val="Tahoma"/>
            <family val="2"/>
          </rPr>
          <t xml:space="preserve">
Graus de liberdade efetivo</t>
        </r>
      </text>
    </comment>
    <comment ref="B96" authorId="0" shapeId="0">
      <text>
        <r>
          <rPr>
            <b/>
            <sz val="8"/>
            <color indexed="81"/>
            <rFont val="Tahoma"/>
            <family val="2"/>
          </rPr>
          <t>mdalmeida:</t>
        </r>
        <r>
          <rPr>
            <sz val="8"/>
            <color indexed="81"/>
            <rFont val="Tahoma"/>
            <family val="2"/>
          </rPr>
          <t xml:space="preserve">
Fator de Abrangência k (0,05)</t>
        </r>
      </text>
    </comment>
    <comment ref="B104" authorId="0" shapeId="0">
      <text>
        <r>
          <rPr>
            <b/>
            <sz val="8"/>
            <color indexed="81"/>
            <rFont val="Tahoma"/>
            <family val="2"/>
          </rPr>
          <t>mdalmeida:</t>
        </r>
        <r>
          <rPr>
            <sz val="8"/>
            <color indexed="81"/>
            <rFont val="Tahoma"/>
            <family val="2"/>
          </rPr>
          <t xml:space="preserve">
Graus de liberdade efetivo</t>
        </r>
      </text>
    </comment>
    <comment ref="B105" authorId="0" shapeId="0">
      <text>
        <r>
          <rPr>
            <b/>
            <sz val="8"/>
            <color indexed="81"/>
            <rFont val="Tahoma"/>
            <family val="2"/>
          </rPr>
          <t>mdalmeida:</t>
        </r>
        <r>
          <rPr>
            <sz val="8"/>
            <color indexed="81"/>
            <rFont val="Tahoma"/>
            <family val="2"/>
          </rPr>
          <t xml:space="preserve">
Fator de Abrangência k (0,05)</t>
        </r>
      </text>
    </comment>
    <comment ref="B113" authorId="0" shapeId="0">
      <text>
        <r>
          <rPr>
            <b/>
            <sz val="8"/>
            <color indexed="81"/>
            <rFont val="Tahoma"/>
            <family val="2"/>
          </rPr>
          <t>mdalmeida:</t>
        </r>
        <r>
          <rPr>
            <sz val="8"/>
            <color indexed="81"/>
            <rFont val="Tahoma"/>
            <family val="2"/>
          </rPr>
          <t xml:space="preserve">
Graus de liberdade efetivo</t>
        </r>
      </text>
    </comment>
    <comment ref="B114" authorId="0" shapeId="0">
      <text>
        <r>
          <rPr>
            <b/>
            <sz val="8"/>
            <color indexed="81"/>
            <rFont val="Tahoma"/>
            <family val="2"/>
          </rPr>
          <t>mdalmeida:</t>
        </r>
        <r>
          <rPr>
            <sz val="8"/>
            <color indexed="81"/>
            <rFont val="Tahoma"/>
            <family val="2"/>
          </rPr>
          <t xml:space="preserve">
Fator de Abrangência k (0,05)</t>
        </r>
      </text>
    </comment>
    <comment ref="B122" authorId="0" shapeId="0">
      <text>
        <r>
          <rPr>
            <b/>
            <sz val="8"/>
            <color indexed="81"/>
            <rFont val="Tahoma"/>
            <family val="2"/>
          </rPr>
          <t>mdalmeida:</t>
        </r>
        <r>
          <rPr>
            <sz val="8"/>
            <color indexed="81"/>
            <rFont val="Tahoma"/>
            <family val="2"/>
          </rPr>
          <t xml:space="preserve">
Graus de liberdade efetivo</t>
        </r>
      </text>
    </comment>
    <comment ref="B123" authorId="0" shapeId="0">
      <text>
        <r>
          <rPr>
            <b/>
            <sz val="8"/>
            <color indexed="81"/>
            <rFont val="Tahoma"/>
            <family val="2"/>
          </rPr>
          <t>mdalmeida:</t>
        </r>
        <r>
          <rPr>
            <sz val="8"/>
            <color indexed="81"/>
            <rFont val="Tahoma"/>
            <family val="2"/>
          </rPr>
          <t xml:space="preserve">
Fator de Abrangência k (0,05)</t>
        </r>
      </text>
    </comment>
    <comment ref="B131" authorId="0" shapeId="0">
      <text>
        <r>
          <rPr>
            <b/>
            <sz val="8"/>
            <color indexed="81"/>
            <rFont val="Tahoma"/>
            <family val="2"/>
          </rPr>
          <t>mdalmeida:</t>
        </r>
        <r>
          <rPr>
            <sz val="8"/>
            <color indexed="81"/>
            <rFont val="Tahoma"/>
            <family val="2"/>
          </rPr>
          <t xml:space="preserve">
Graus de liberdade efetivo</t>
        </r>
      </text>
    </comment>
    <comment ref="B132" authorId="0" shapeId="0">
      <text>
        <r>
          <rPr>
            <b/>
            <sz val="8"/>
            <color indexed="81"/>
            <rFont val="Tahoma"/>
            <family val="2"/>
          </rPr>
          <t>mdalmeida:</t>
        </r>
        <r>
          <rPr>
            <sz val="8"/>
            <color indexed="81"/>
            <rFont val="Tahoma"/>
            <family val="2"/>
          </rPr>
          <t xml:space="preserve">
Fator de Abrangência k (0,05)</t>
        </r>
      </text>
    </comment>
    <comment ref="B140" authorId="0" shapeId="0">
      <text>
        <r>
          <rPr>
            <b/>
            <sz val="8"/>
            <color indexed="81"/>
            <rFont val="Tahoma"/>
            <family val="2"/>
          </rPr>
          <t>mdalmeida:</t>
        </r>
        <r>
          <rPr>
            <sz val="8"/>
            <color indexed="81"/>
            <rFont val="Tahoma"/>
            <family val="2"/>
          </rPr>
          <t xml:space="preserve">
Graus de liberdade efetivo</t>
        </r>
      </text>
    </comment>
    <comment ref="B141" authorId="0" shapeId="0">
      <text>
        <r>
          <rPr>
            <b/>
            <sz val="8"/>
            <color indexed="81"/>
            <rFont val="Tahoma"/>
            <family val="2"/>
          </rPr>
          <t>mdalmeida:</t>
        </r>
        <r>
          <rPr>
            <sz val="8"/>
            <color indexed="81"/>
            <rFont val="Tahoma"/>
            <family val="2"/>
          </rPr>
          <t xml:space="preserve">
Fator de Abrangência k (0,05)</t>
        </r>
      </text>
    </comment>
    <comment ref="B149" authorId="0" shapeId="0">
      <text>
        <r>
          <rPr>
            <b/>
            <sz val="8"/>
            <color indexed="81"/>
            <rFont val="Tahoma"/>
            <family val="2"/>
          </rPr>
          <t>mdalmeida:</t>
        </r>
        <r>
          <rPr>
            <sz val="8"/>
            <color indexed="81"/>
            <rFont val="Tahoma"/>
            <family val="2"/>
          </rPr>
          <t xml:space="preserve">
Graus de liberdade efetivo</t>
        </r>
      </text>
    </comment>
    <comment ref="B150" authorId="0" shapeId="0">
      <text>
        <r>
          <rPr>
            <b/>
            <sz val="8"/>
            <color indexed="81"/>
            <rFont val="Tahoma"/>
            <family val="2"/>
          </rPr>
          <t>mdalmeida:</t>
        </r>
        <r>
          <rPr>
            <sz val="8"/>
            <color indexed="81"/>
            <rFont val="Tahoma"/>
            <family val="2"/>
          </rPr>
          <t xml:space="preserve">
Fator de Abrangência k (0,05)</t>
        </r>
      </text>
    </comment>
    <comment ref="B158" authorId="0" shapeId="0">
      <text>
        <r>
          <rPr>
            <b/>
            <sz val="8"/>
            <color indexed="81"/>
            <rFont val="Tahoma"/>
            <family val="2"/>
          </rPr>
          <t>mdalmeida:</t>
        </r>
        <r>
          <rPr>
            <sz val="8"/>
            <color indexed="81"/>
            <rFont val="Tahoma"/>
            <family val="2"/>
          </rPr>
          <t xml:space="preserve">
Graus de liberdade efetivo</t>
        </r>
      </text>
    </comment>
    <comment ref="B159" authorId="0" shapeId="0">
      <text>
        <r>
          <rPr>
            <b/>
            <sz val="8"/>
            <color indexed="81"/>
            <rFont val="Tahoma"/>
            <family val="2"/>
          </rPr>
          <t>mdalmeida:</t>
        </r>
        <r>
          <rPr>
            <sz val="8"/>
            <color indexed="81"/>
            <rFont val="Tahoma"/>
            <family val="2"/>
          </rPr>
          <t xml:space="preserve">
Fator de Abrangência k (0,05)</t>
        </r>
      </text>
    </comment>
    <comment ref="B167" authorId="0" shapeId="0">
      <text>
        <r>
          <rPr>
            <b/>
            <sz val="8"/>
            <color indexed="81"/>
            <rFont val="Tahoma"/>
            <family val="2"/>
          </rPr>
          <t>mdalmeida:</t>
        </r>
        <r>
          <rPr>
            <sz val="8"/>
            <color indexed="81"/>
            <rFont val="Tahoma"/>
            <family val="2"/>
          </rPr>
          <t xml:space="preserve">
Graus de liberdade efetivo</t>
        </r>
      </text>
    </comment>
    <comment ref="B168" authorId="0" shapeId="0">
      <text>
        <r>
          <rPr>
            <b/>
            <sz val="8"/>
            <color indexed="81"/>
            <rFont val="Tahoma"/>
            <family val="2"/>
          </rPr>
          <t>mdalmeida:</t>
        </r>
        <r>
          <rPr>
            <sz val="8"/>
            <color indexed="81"/>
            <rFont val="Tahoma"/>
            <family val="2"/>
          </rPr>
          <t xml:space="preserve">
Fator de Abrangência k (0,05)</t>
        </r>
      </text>
    </comment>
    <comment ref="B176" authorId="0" shapeId="0">
      <text>
        <r>
          <rPr>
            <b/>
            <sz val="8"/>
            <color indexed="81"/>
            <rFont val="Tahoma"/>
            <family val="2"/>
          </rPr>
          <t>mdalmeida:</t>
        </r>
        <r>
          <rPr>
            <sz val="8"/>
            <color indexed="81"/>
            <rFont val="Tahoma"/>
            <family val="2"/>
          </rPr>
          <t xml:space="preserve">
Graus de liberdade efetivo</t>
        </r>
      </text>
    </comment>
    <comment ref="B177" authorId="0" shapeId="0">
      <text>
        <r>
          <rPr>
            <b/>
            <sz val="8"/>
            <color indexed="81"/>
            <rFont val="Tahoma"/>
            <family val="2"/>
          </rPr>
          <t>mdalmeida:</t>
        </r>
        <r>
          <rPr>
            <sz val="8"/>
            <color indexed="81"/>
            <rFont val="Tahoma"/>
            <family val="2"/>
          </rPr>
          <t xml:space="preserve">
Fator de Abrangência k (0,05)</t>
        </r>
      </text>
    </comment>
    <comment ref="B185" authorId="0" shapeId="0">
      <text>
        <r>
          <rPr>
            <b/>
            <sz val="8"/>
            <color indexed="81"/>
            <rFont val="Tahoma"/>
            <family val="2"/>
          </rPr>
          <t>mdalmeida:</t>
        </r>
        <r>
          <rPr>
            <sz val="8"/>
            <color indexed="81"/>
            <rFont val="Tahoma"/>
            <family val="2"/>
          </rPr>
          <t xml:space="preserve">
Graus de liberdade efetivo</t>
        </r>
      </text>
    </comment>
    <comment ref="B186" authorId="0" shapeId="0">
      <text>
        <r>
          <rPr>
            <b/>
            <sz val="8"/>
            <color indexed="81"/>
            <rFont val="Tahoma"/>
            <family val="2"/>
          </rPr>
          <t>mdalmeida:</t>
        </r>
        <r>
          <rPr>
            <sz val="8"/>
            <color indexed="81"/>
            <rFont val="Tahoma"/>
            <family val="2"/>
          </rPr>
          <t xml:space="preserve">
Fator de Abrangência k (0,05)</t>
        </r>
      </text>
    </comment>
    <comment ref="B194" authorId="0" shapeId="0">
      <text>
        <r>
          <rPr>
            <b/>
            <sz val="8"/>
            <color indexed="81"/>
            <rFont val="Tahoma"/>
            <family val="2"/>
          </rPr>
          <t>mdalmeida:</t>
        </r>
        <r>
          <rPr>
            <sz val="8"/>
            <color indexed="81"/>
            <rFont val="Tahoma"/>
            <family val="2"/>
          </rPr>
          <t xml:space="preserve">
Graus de liberdade efetivo</t>
        </r>
      </text>
    </comment>
    <comment ref="B195" authorId="0" shapeId="0">
      <text>
        <r>
          <rPr>
            <b/>
            <sz val="8"/>
            <color indexed="81"/>
            <rFont val="Tahoma"/>
            <family val="2"/>
          </rPr>
          <t>mdalmeida:</t>
        </r>
        <r>
          <rPr>
            <sz val="8"/>
            <color indexed="81"/>
            <rFont val="Tahoma"/>
            <family val="2"/>
          </rPr>
          <t xml:space="preserve">
Fator de Abrangência k (0,05)</t>
        </r>
      </text>
    </comment>
    <comment ref="B203" authorId="0" shapeId="0">
      <text>
        <r>
          <rPr>
            <b/>
            <sz val="8"/>
            <color indexed="81"/>
            <rFont val="Tahoma"/>
            <family val="2"/>
          </rPr>
          <t>mdalmeida:</t>
        </r>
        <r>
          <rPr>
            <sz val="8"/>
            <color indexed="81"/>
            <rFont val="Tahoma"/>
            <family val="2"/>
          </rPr>
          <t xml:space="preserve">
Graus de liberdade efetivo</t>
        </r>
      </text>
    </comment>
    <comment ref="B204" authorId="0" shapeId="0">
      <text>
        <r>
          <rPr>
            <b/>
            <sz val="8"/>
            <color indexed="81"/>
            <rFont val="Tahoma"/>
            <family val="2"/>
          </rPr>
          <t>mdalmeida:</t>
        </r>
        <r>
          <rPr>
            <sz val="8"/>
            <color indexed="81"/>
            <rFont val="Tahoma"/>
            <family val="2"/>
          </rPr>
          <t xml:space="preserve">
Fator de Abrangência k (0,05)</t>
        </r>
      </text>
    </comment>
    <comment ref="B212" authorId="0" shapeId="0">
      <text>
        <r>
          <rPr>
            <b/>
            <sz val="8"/>
            <color indexed="81"/>
            <rFont val="Tahoma"/>
            <family val="2"/>
          </rPr>
          <t>mdalmeida:</t>
        </r>
        <r>
          <rPr>
            <sz val="8"/>
            <color indexed="81"/>
            <rFont val="Tahoma"/>
            <family val="2"/>
          </rPr>
          <t xml:space="preserve">
Graus de liberdade efetivo</t>
        </r>
      </text>
    </comment>
    <comment ref="B213" authorId="0" shapeId="0">
      <text>
        <r>
          <rPr>
            <b/>
            <sz val="8"/>
            <color indexed="81"/>
            <rFont val="Tahoma"/>
            <family val="2"/>
          </rPr>
          <t>mdalmeida:</t>
        </r>
        <r>
          <rPr>
            <sz val="8"/>
            <color indexed="81"/>
            <rFont val="Tahoma"/>
            <family val="2"/>
          </rPr>
          <t xml:space="preserve">
Fator de Abrangência k (0,05)</t>
        </r>
      </text>
    </comment>
    <comment ref="B221" authorId="0" shapeId="0">
      <text>
        <r>
          <rPr>
            <b/>
            <sz val="8"/>
            <color indexed="81"/>
            <rFont val="Tahoma"/>
            <family val="2"/>
          </rPr>
          <t>mdalmeida:</t>
        </r>
        <r>
          <rPr>
            <sz val="8"/>
            <color indexed="81"/>
            <rFont val="Tahoma"/>
            <family val="2"/>
          </rPr>
          <t xml:space="preserve">
Graus de liberdade efetivo</t>
        </r>
      </text>
    </comment>
    <comment ref="B222" authorId="0" shapeId="0">
      <text>
        <r>
          <rPr>
            <b/>
            <sz val="8"/>
            <color indexed="81"/>
            <rFont val="Tahoma"/>
            <family val="2"/>
          </rPr>
          <t>mdalmeida:</t>
        </r>
        <r>
          <rPr>
            <sz val="8"/>
            <color indexed="81"/>
            <rFont val="Tahoma"/>
            <family val="2"/>
          </rPr>
          <t xml:space="preserve">
Fator de Abrangência k (0,05)</t>
        </r>
      </text>
    </comment>
    <comment ref="B230" authorId="0" shapeId="0">
      <text>
        <r>
          <rPr>
            <b/>
            <sz val="8"/>
            <color indexed="81"/>
            <rFont val="Tahoma"/>
            <family val="2"/>
          </rPr>
          <t>mdalmeida:</t>
        </r>
        <r>
          <rPr>
            <sz val="8"/>
            <color indexed="81"/>
            <rFont val="Tahoma"/>
            <family val="2"/>
          </rPr>
          <t xml:space="preserve">
Graus de liberdade efetivo</t>
        </r>
      </text>
    </comment>
    <comment ref="B231" authorId="0" shapeId="0">
      <text>
        <r>
          <rPr>
            <b/>
            <sz val="8"/>
            <color indexed="81"/>
            <rFont val="Tahoma"/>
            <family val="2"/>
          </rPr>
          <t>mdalmeida:</t>
        </r>
        <r>
          <rPr>
            <sz val="8"/>
            <color indexed="81"/>
            <rFont val="Tahoma"/>
            <family val="2"/>
          </rPr>
          <t xml:space="preserve">
Fator de Abrangência k (0,05)</t>
        </r>
      </text>
    </comment>
    <comment ref="B239" authorId="0" shapeId="0">
      <text>
        <r>
          <rPr>
            <b/>
            <sz val="8"/>
            <color indexed="81"/>
            <rFont val="Tahoma"/>
            <family val="2"/>
          </rPr>
          <t>mdalmeida:</t>
        </r>
        <r>
          <rPr>
            <sz val="8"/>
            <color indexed="81"/>
            <rFont val="Tahoma"/>
            <family val="2"/>
          </rPr>
          <t xml:space="preserve">
Graus de liberdade efetivo</t>
        </r>
      </text>
    </comment>
    <comment ref="B240" authorId="0" shapeId="0">
      <text>
        <r>
          <rPr>
            <b/>
            <sz val="8"/>
            <color indexed="81"/>
            <rFont val="Tahoma"/>
            <family val="2"/>
          </rPr>
          <t>mdalmeida:</t>
        </r>
        <r>
          <rPr>
            <sz val="8"/>
            <color indexed="81"/>
            <rFont val="Tahoma"/>
            <family val="2"/>
          </rPr>
          <t xml:space="preserve">
Fator de Abrangência k (0,05)</t>
        </r>
      </text>
    </comment>
    <comment ref="B248" authorId="0" shapeId="0">
      <text>
        <r>
          <rPr>
            <b/>
            <sz val="8"/>
            <color indexed="81"/>
            <rFont val="Tahoma"/>
            <family val="2"/>
          </rPr>
          <t>mdalmeida:</t>
        </r>
        <r>
          <rPr>
            <sz val="8"/>
            <color indexed="81"/>
            <rFont val="Tahoma"/>
            <family val="2"/>
          </rPr>
          <t xml:space="preserve">
Graus de liberdade efetivo</t>
        </r>
      </text>
    </comment>
    <comment ref="B249" authorId="0" shapeId="0">
      <text>
        <r>
          <rPr>
            <b/>
            <sz val="8"/>
            <color indexed="81"/>
            <rFont val="Tahoma"/>
            <family val="2"/>
          </rPr>
          <t>mdalmeida:</t>
        </r>
        <r>
          <rPr>
            <sz val="8"/>
            <color indexed="81"/>
            <rFont val="Tahoma"/>
            <family val="2"/>
          </rPr>
          <t xml:space="preserve">
Fator de Abrangência k (0,05)</t>
        </r>
      </text>
    </comment>
    <comment ref="B257" authorId="0" shapeId="0">
      <text>
        <r>
          <rPr>
            <b/>
            <sz val="8"/>
            <color indexed="81"/>
            <rFont val="Tahoma"/>
            <family val="2"/>
          </rPr>
          <t>mdalmeida:</t>
        </r>
        <r>
          <rPr>
            <sz val="8"/>
            <color indexed="81"/>
            <rFont val="Tahoma"/>
            <family val="2"/>
          </rPr>
          <t xml:space="preserve">
Graus de liberdade efetivo</t>
        </r>
      </text>
    </comment>
    <comment ref="B258" authorId="0" shapeId="0">
      <text>
        <r>
          <rPr>
            <b/>
            <sz val="8"/>
            <color indexed="81"/>
            <rFont val="Tahoma"/>
            <family val="2"/>
          </rPr>
          <t>mdalmeida:</t>
        </r>
        <r>
          <rPr>
            <sz val="8"/>
            <color indexed="81"/>
            <rFont val="Tahoma"/>
            <family val="2"/>
          </rPr>
          <t xml:space="preserve">
Fator de Abrangência k (0,05)</t>
        </r>
      </text>
    </comment>
    <comment ref="B266" authorId="0" shapeId="0">
      <text>
        <r>
          <rPr>
            <b/>
            <sz val="8"/>
            <color indexed="81"/>
            <rFont val="Tahoma"/>
            <family val="2"/>
          </rPr>
          <t>mdalmeida:</t>
        </r>
        <r>
          <rPr>
            <sz val="8"/>
            <color indexed="81"/>
            <rFont val="Tahoma"/>
            <family val="2"/>
          </rPr>
          <t xml:space="preserve">
Graus de liberdade efetivo</t>
        </r>
      </text>
    </comment>
    <comment ref="B267" authorId="0" shapeId="0">
      <text>
        <r>
          <rPr>
            <b/>
            <sz val="8"/>
            <color indexed="81"/>
            <rFont val="Tahoma"/>
            <family val="2"/>
          </rPr>
          <t>mdalmeida:</t>
        </r>
        <r>
          <rPr>
            <sz val="8"/>
            <color indexed="81"/>
            <rFont val="Tahoma"/>
            <family val="2"/>
          </rPr>
          <t xml:space="preserve">
Fator de Abrangência k (0,05)</t>
        </r>
      </text>
    </comment>
    <comment ref="B275" authorId="0" shapeId="0">
      <text>
        <r>
          <rPr>
            <b/>
            <sz val="8"/>
            <color indexed="81"/>
            <rFont val="Tahoma"/>
            <family val="2"/>
          </rPr>
          <t>mdalmeida:</t>
        </r>
        <r>
          <rPr>
            <sz val="8"/>
            <color indexed="81"/>
            <rFont val="Tahoma"/>
            <family val="2"/>
          </rPr>
          <t xml:space="preserve">
Graus de liberdade efetivo</t>
        </r>
      </text>
    </comment>
    <comment ref="B276" authorId="0" shapeId="0">
      <text>
        <r>
          <rPr>
            <b/>
            <sz val="8"/>
            <color indexed="81"/>
            <rFont val="Tahoma"/>
            <family val="2"/>
          </rPr>
          <t>mdalmeida:</t>
        </r>
        <r>
          <rPr>
            <sz val="8"/>
            <color indexed="81"/>
            <rFont val="Tahoma"/>
            <family val="2"/>
          </rPr>
          <t xml:space="preserve">
Fator de Abrangência k (0,05)</t>
        </r>
      </text>
    </comment>
    <comment ref="B284" authorId="0" shapeId="0">
      <text>
        <r>
          <rPr>
            <b/>
            <sz val="8"/>
            <color indexed="81"/>
            <rFont val="Tahoma"/>
            <family val="2"/>
          </rPr>
          <t>mdalmeida:</t>
        </r>
        <r>
          <rPr>
            <sz val="8"/>
            <color indexed="81"/>
            <rFont val="Tahoma"/>
            <family val="2"/>
          </rPr>
          <t xml:space="preserve">
Graus de liberdade efetivo</t>
        </r>
      </text>
    </comment>
    <comment ref="B285" authorId="0" shapeId="0">
      <text>
        <r>
          <rPr>
            <b/>
            <sz val="8"/>
            <color indexed="81"/>
            <rFont val="Tahoma"/>
            <family val="2"/>
          </rPr>
          <t>mdalmeida:</t>
        </r>
        <r>
          <rPr>
            <sz val="8"/>
            <color indexed="81"/>
            <rFont val="Tahoma"/>
            <family val="2"/>
          </rPr>
          <t xml:space="preserve">
Fator de Abrangência k (0,05)</t>
        </r>
      </text>
    </comment>
  </commentList>
</comments>
</file>

<file path=xl/connections.xml><?xml version="1.0" encoding="utf-8"?>
<connections xmlns="http://schemas.openxmlformats.org/spreadsheetml/2006/main">
  <connection id="1" name="21DEZ17 ALIQUOTA 106" type="6" refreshedVersion="4" background="1" saveData="1">
    <textPr codePage="850" sourceFile="D:\21DEZ17 ALIQUOTA 106.csv" comma="1">
      <textFields count="7">
        <textField/>
        <textField/>
        <textField/>
        <textField/>
        <textField/>
        <textField/>
        <textField/>
      </textFields>
    </textPr>
  </connection>
</connections>
</file>

<file path=xl/sharedStrings.xml><?xml version="1.0" encoding="utf-8"?>
<sst xmlns="http://schemas.openxmlformats.org/spreadsheetml/2006/main" count="813" uniqueCount="406">
  <si>
    <r>
      <t>mg.kg</t>
    </r>
    <r>
      <rPr>
        <b/>
        <vertAlign val="superscript"/>
        <sz val="10"/>
        <rFont val="Arial"/>
        <family val="2"/>
      </rPr>
      <t>-1</t>
    </r>
  </si>
  <si>
    <t>Inclin. =</t>
  </si>
  <si>
    <t>Inters. =</t>
  </si>
  <si>
    <t>r =</t>
  </si>
  <si>
    <r>
      <t>S</t>
    </r>
    <r>
      <rPr>
        <b/>
        <vertAlign val="subscript"/>
        <sz val="10"/>
        <rFont val="Arial"/>
        <family val="2"/>
      </rPr>
      <t xml:space="preserve">residual  </t>
    </r>
    <r>
      <rPr>
        <b/>
        <sz val="10"/>
        <rFont val="Arial"/>
        <family val="2"/>
      </rPr>
      <t>=</t>
    </r>
  </si>
  <si>
    <r>
      <t>S</t>
    </r>
    <r>
      <rPr>
        <b/>
        <vertAlign val="subscript"/>
        <sz val="10"/>
        <rFont val="Arial"/>
        <family val="2"/>
      </rPr>
      <t>xx</t>
    </r>
  </si>
  <si>
    <t>(Cj-C)²</t>
  </si>
  <si>
    <t>x²</t>
  </si>
  <si>
    <r>
      <t>D</t>
    </r>
    <r>
      <rPr>
        <b/>
        <sz val="10"/>
        <rFont val="Arial"/>
        <family val="2"/>
      </rPr>
      <t>²</t>
    </r>
  </si>
  <si>
    <r>
      <t xml:space="preserve">LD </t>
    </r>
    <r>
      <rPr>
        <b/>
        <sz val="8"/>
        <rFont val="Arial"/>
        <family val="2"/>
      </rPr>
      <t>(mg.kg</t>
    </r>
    <r>
      <rPr>
        <b/>
        <vertAlign val="superscript"/>
        <sz val="8"/>
        <rFont val="Arial"/>
        <family val="2"/>
      </rPr>
      <t>-1</t>
    </r>
    <r>
      <rPr>
        <b/>
        <sz val="8"/>
        <rFont val="Arial"/>
        <family val="2"/>
      </rPr>
      <t>)</t>
    </r>
    <r>
      <rPr>
        <b/>
        <sz val="10"/>
        <rFont val="Arial"/>
        <family val="2"/>
      </rPr>
      <t xml:space="preserve"> =</t>
    </r>
  </si>
  <si>
    <r>
      <t xml:space="preserve">LQ </t>
    </r>
    <r>
      <rPr>
        <b/>
        <sz val="8"/>
        <rFont val="Arial"/>
        <family val="2"/>
      </rPr>
      <t>(mg.kg</t>
    </r>
    <r>
      <rPr>
        <b/>
        <vertAlign val="superscript"/>
        <sz val="8"/>
        <rFont val="Arial"/>
        <family val="2"/>
      </rPr>
      <t>-1</t>
    </r>
    <r>
      <rPr>
        <b/>
        <sz val="8"/>
        <rFont val="Arial"/>
        <family val="2"/>
      </rPr>
      <t>)</t>
    </r>
    <r>
      <rPr>
        <b/>
        <sz val="10"/>
        <rFont val="Arial"/>
        <family val="2"/>
      </rPr>
      <t xml:space="preserve"> =</t>
    </r>
  </si>
  <si>
    <r>
      <t>I</t>
    </r>
    <r>
      <rPr>
        <b/>
        <vertAlign val="subscript"/>
        <sz val="10"/>
        <rFont val="Arial"/>
        <family val="2"/>
      </rPr>
      <t>Esp</t>
    </r>
  </si>
  <si>
    <r>
      <t>u</t>
    </r>
    <r>
      <rPr>
        <b/>
        <vertAlign val="subscript"/>
        <sz val="10"/>
        <rFont val="Arial"/>
        <family val="2"/>
      </rPr>
      <t>fd</t>
    </r>
  </si>
  <si>
    <t>Concentration</t>
  </si>
  <si>
    <t>Residue</t>
  </si>
  <si>
    <t>k (balance)</t>
  </si>
  <si>
    <t>Média=</t>
  </si>
  <si>
    <r>
      <t>S</t>
    </r>
    <r>
      <rPr>
        <vertAlign val="subscript"/>
        <sz val="10"/>
        <rFont val="Arial"/>
        <family val="2"/>
      </rPr>
      <t>xx</t>
    </r>
  </si>
  <si>
    <t xml:space="preserve"> Intensity</t>
  </si>
  <si>
    <t>Measured</t>
  </si>
  <si>
    <t>Expected</t>
  </si>
  <si>
    <t xml:space="preserve"> Concentration</t>
  </si>
  <si>
    <t>Diluição da amostra</t>
  </si>
  <si>
    <t>Branco</t>
  </si>
  <si>
    <t>g</t>
  </si>
  <si>
    <t>u (%)</t>
  </si>
  <si>
    <t>Replicatas</t>
  </si>
  <si>
    <t>Intensidade</t>
  </si>
  <si>
    <t>Data</t>
  </si>
  <si>
    <t>Analista</t>
  </si>
  <si>
    <t>Entrada de dados</t>
  </si>
  <si>
    <t>Curva de calibração</t>
  </si>
  <si>
    <t>Padrão 1</t>
  </si>
  <si>
    <t>Padrão 2</t>
  </si>
  <si>
    <t>Padrão 3</t>
  </si>
  <si>
    <t>Padrão 4</t>
  </si>
  <si>
    <t>Padrão 5</t>
  </si>
  <si>
    <t>Padrão 6</t>
  </si>
  <si>
    <t>Média</t>
  </si>
  <si>
    <t>Fator de Abrangência (k)</t>
  </si>
  <si>
    <t>Massa da Solução Estoque(g)</t>
  </si>
  <si>
    <t>Medida de Intensidade</t>
  </si>
  <si>
    <t>Valor</t>
  </si>
  <si>
    <t>Incerteza</t>
  </si>
  <si>
    <t>Alíquota da solução intermediária 1 (g) ; mf</t>
  </si>
  <si>
    <t>Massa da solução intermediária 2 (g)</t>
  </si>
  <si>
    <t>Nº de padrões</t>
  </si>
  <si>
    <t>Nº  med. p/ calibr.</t>
  </si>
  <si>
    <t>Nº med. de conc.</t>
  </si>
  <si>
    <t>Nº med. p/ amostra</t>
  </si>
  <si>
    <t>Incerteza da diluição dos padrões</t>
  </si>
  <si>
    <t>Estoque</t>
  </si>
  <si>
    <t>Solução intermediária 2</t>
  </si>
  <si>
    <r>
      <t>u</t>
    </r>
    <r>
      <rPr>
        <b/>
        <vertAlign val="subscript"/>
        <sz val="10"/>
        <rFont val="Arial"/>
        <family val="2"/>
      </rPr>
      <t>(m)</t>
    </r>
  </si>
  <si>
    <r>
      <t xml:space="preserve"> Fator de diluição (f</t>
    </r>
    <r>
      <rPr>
        <b/>
        <vertAlign val="subscript"/>
        <sz val="10"/>
        <rFont val="Arial"/>
        <family val="2"/>
      </rPr>
      <t>d</t>
    </r>
    <r>
      <rPr>
        <b/>
        <sz val="10"/>
        <rFont val="Arial"/>
        <family val="2"/>
      </rPr>
      <t>)</t>
    </r>
  </si>
  <si>
    <t>Massa do padrão 1 (g) ; mf1</t>
  </si>
  <si>
    <t>Solução intermediária 1</t>
  </si>
  <si>
    <t>Frasco</t>
  </si>
  <si>
    <t>Massa final</t>
  </si>
  <si>
    <t>Frasco + Padrão</t>
  </si>
  <si>
    <t>Amostra</t>
  </si>
  <si>
    <t>Cálculos da incerteza</t>
  </si>
  <si>
    <t>DP</t>
  </si>
  <si>
    <t>Primeira diluição da amostra</t>
  </si>
  <si>
    <t>Entrada da Medida de Intensidade do padrões</t>
  </si>
  <si>
    <t>Medida de Intensidade do padrões corrigida pelo Branco</t>
  </si>
  <si>
    <t>Br. Amostra</t>
  </si>
  <si>
    <t>Planilha de análise  rev: 01</t>
  </si>
  <si>
    <t>Massa (g)</t>
  </si>
  <si>
    <t>k=</t>
  </si>
  <si>
    <r>
      <t>u</t>
    </r>
    <r>
      <rPr>
        <vertAlign val="subscript"/>
        <sz val="10"/>
        <rFont val="Arial"/>
        <family val="2"/>
      </rPr>
      <t>c</t>
    </r>
    <r>
      <rPr>
        <sz val="10"/>
        <rFont val="Arial"/>
        <family val="2"/>
      </rPr>
      <t>(g)</t>
    </r>
  </si>
  <si>
    <t>Planilha para até 30 amostras</t>
  </si>
  <si>
    <t>Carga (g)</t>
  </si>
  <si>
    <t>Erro de indicação. (g)</t>
  </si>
  <si>
    <t>Solução intermediária 3</t>
  </si>
  <si>
    <t>Massa total de solução Intermediária 1 (g) ; mf</t>
  </si>
  <si>
    <t>Alíquota da solução intermediária 2 (g) ; mf</t>
  </si>
  <si>
    <t>Massa da solução intermediária 3 (g)</t>
  </si>
  <si>
    <t>Massa total do padrão 1 (g) ; mf1</t>
  </si>
  <si>
    <t>u (g)</t>
  </si>
  <si>
    <t>Alíquota da Solução Estoque(g)</t>
  </si>
  <si>
    <t>Massa total da solução Intermediária 1 (g)</t>
  </si>
  <si>
    <t>Massa total da solução intermediária 2 (g)</t>
  </si>
  <si>
    <t>Massa total da solução intermediária 3 (g)</t>
  </si>
  <si>
    <t>Número do Certificado</t>
  </si>
  <si>
    <r>
      <t>u</t>
    </r>
    <r>
      <rPr>
        <b/>
        <vertAlign val="subscript"/>
        <sz val="10"/>
        <rFont val="Arial"/>
        <family val="2"/>
      </rPr>
      <t>fd Rel</t>
    </r>
  </si>
  <si>
    <t>u(dil) rel</t>
  </si>
  <si>
    <t>u(Rep) Rel</t>
  </si>
  <si>
    <t>u(Calib) Rel</t>
  </si>
  <si>
    <r>
      <t>u(</t>
    </r>
    <r>
      <rPr>
        <b/>
        <vertAlign val="subscript"/>
        <sz val="10"/>
        <rFont val="Arial"/>
        <family val="2"/>
      </rPr>
      <t>Comb</t>
    </r>
    <r>
      <rPr>
        <b/>
        <sz val="10"/>
        <rFont val="Arial"/>
        <family val="2"/>
      </rPr>
      <t>) Rel</t>
    </r>
  </si>
  <si>
    <t>MRC</t>
  </si>
  <si>
    <t>Lote</t>
  </si>
  <si>
    <t>Teste de consistência entre replicatas</t>
  </si>
  <si>
    <t>Accred Qual Assur (2008) 13:293–298</t>
  </si>
  <si>
    <t>DOI 10.1007/s00769-008-0382-x</t>
  </si>
  <si>
    <t>Application of consistency checking to evaluation of uncertainty in multiple replicate measurements</t>
  </si>
  <si>
    <t>ueff</t>
  </si>
  <si>
    <t>K 0,05</t>
  </si>
  <si>
    <t>Fração mássica da amostra (mg.kg-1)</t>
  </si>
  <si>
    <t>Incerteza expandida (mg.kg-1)</t>
  </si>
  <si>
    <t>Média Total</t>
  </si>
  <si>
    <t>Incerteza combinada</t>
  </si>
  <si>
    <t>n</t>
  </si>
  <si>
    <t>u between</t>
  </si>
  <si>
    <t>Original</t>
  </si>
  <si>
    <t>Está aba deve ser usada para colocar links dos arquivos que foram salvos com os dados de entrada.</t>
  </si>
  <si>
    <t>Planilhas de diluição</t>
  </si>
  <si>
    <t>Dados de intensidades</t>
  </si>
  <si>
    <t xml:space="preserve">Certificado do SRM </t>
  </si>
  <si>
    <t>Conferente</t>
  </si>
  <si>
    <t>Incerteza Ampliada</t>
  </si>
  <si>
    <t>PT002</t>
  </si>
  <si>
    <t>PT006</t>
  </si>
  <si>
    <t>Código de Identificação</t>
  </si>
  <si>
    <t>Certificados de Calibração das Balanças</t>
  </si>
  <si>
    <t>Erro ind. (g)</t>
  </si>
  <si>
    <t>U (g)</t>
  </si>
  <si>
    <r>
      <t>Fração Mássica (</t>
    </r>
    <r>
      <rPr>
        <i/>
        <sz val="10"/>
        <rFont val="Arial"/>
        <family val="2"/>
      </rPr>
      <t>w</t>
    </r>
    <r>
      <rPr>
        <vertAlign val="subscript"/>
        <sz val="10"/>
        <rFont val="Arial"/>
        <family val="2"/>
      </rPr>
      <t>si1</t>
    </r>
    <r>
      <rPr>
        <sz val="10"/>
        <rFont val="Arial"/>
        <family val="2"/>
      </rPr>
      <t>)</t>
    </r>
  </si>
  <si>
    <r>
      <t>Fração Mássica (</t>
    </r>
    <r>
      <rPr>
        <i/>
        <sz val="10"/>
        <rFont val="Arial"/>
        <family val="2"/>
      </rPr>
      <t>w</t>
    </r>
    <r>
      <rPr>
        <vertAlign val="subscript"/>
        <sz val="10"/>
        <rFont val="Arial"/>
        <family val="2"/>
      </rPr>
      <t>si2</t>
    </r>
    <r>
      <rPr>
        <sz val="10"/>
        <rFont val="Arial"/>
        <family val="2"/>
      </rPr>
      <t xml:space="preserve">) </t>
    </r>
    <r>
      <rPr>
        <sz val="10"/>
        <rFont val="Symbol"/>
        <family val="1"/>
        <charset val="2"/>
      </rPr>
      <t/>
    </r>
  </si>
  <si>
    <r>
      <t>Fração Mássica (</t>
    </r>
    <r>
      <rPr>
        <i/>
        <sz val="10"/>
        <rFont val="Arial"/>
        <family val="2"/>
      </rPr>
      <t>w</t>
    </r>
    <r>
      <rPr>
        <vertAlign val="subscript"/>
        <sz val="10"/>
        <rFont val="Arial"/>
        <family val="2"/>
      </rPr>
      <t>si3</t>
    </r>
    <r>
      <rPr>
        <sz val="10"/>
        <rFont val="Arial"/>
        <family val="2"/>
      </rPr>
      <t xml:space="preserve">) </t>
    </r>
    <r>
      <rPr>
        <sz val="10"/>
        <rFont val="Symbol"/>
        <family val="1"/>
        <charset val="2"/>
      </rPr>
      <t/>
    </r>
  </si>
  <si>
    <r>
      <t>Fração Mássica (</t>
    </r>
    <r>
      <rPr>
        <i/>
        <sz val="10"/>
        <rFont val="Arial"/>
        <family val="2"/>
      </rPr>
      <t>w</t>
    </r>
    <r>
      <rPr>
        <vertAlign val="subscript"/>
        <sz val="10"/>
        <rFont val="Arial"/>
        <family val="2"/>
      </rPr>
      <t>s1</t>
    </r>
    <r>
      <rPr>
        <sz val="10"/>
        <rFont val="Arial"/>
        <family val="2"/>
      </rPr>
      <t xml:space="preserve">) </t>
    </r>
    <r>
      <rPr>
        <sz val="10"/>
        <rFont val="Symbol"/>
        <family val="1"/>
        <charset val="2"/>
      </rPr>
      <t/>
    </r>
  </si>
  <si>
    <t>Fração Mássica</t>
  </si>
  <si>
    <r>
      <t>Fração Mássica (</t>
    </r>
    <r>
      <rPr>
        <i/>
        <sz val="10"/>
        <rFont val="Arial"/>
        <family val="2"/>
      </rPr>
      <t>w</t>
    </r>
    <r>
      <rPr>
        <vertAlign val="subscript"/>
        <sz val="10"/>
        <rFont val="Arial"/>
        <family val="2"/>
      </rPr>
      <t>s2</t>
    </r>
    <r>
      <rPr>
        <sz val="10"/>
        <rFont val="Arial"/>
        <family val="2"/>
      </rPr>
      <t xml:space="preserve">) </t>
    </r>
  </si>
  <si>
    <r>
      <t>Fração Mássica (</t>
    </r>
    <r>
      <rPr>
        <i/>
        <sz val="10"/>
        <rFont val="Arial"/>
        <family val="2"/>
      </rPr>
      <t>w</t>
    </r>
    <r>
      <rPr>
        <vertAlign val="subscript"/>
        <sz val="10"/>
        <rFont val="Arial"/>
        <family val="2"/>
      </rPr>
      <t>s3</t>
    </r>
    <r>
      <rPr>
        <sz val="10"/>
        <rFont val="Arial"/>
        <family val="2"/>
      </rPr>
      <t xml:space="preserve">) </t>
    </r>
  </si>
  <si>
    <r>
      <t>Fração Mássica (</t>
    </r>
    <r>
      <rPr>
        <i/>
        <sz val="10"/>
        <rFont val="Arial"/>
        <family val="2"/>
      </rPr>
      <t>w</t>
    </r>
    <r>
      <rPr>
        <vertAlign val="subscript"/>
        <sz val="10"/>
        <rFont val="Arial"/>
        <family val="2"/>
      </rPr>
      <t>s4</t>
    </r>
    <r>
      <rPr>
        <sz val="10"/>
        <rFont val="Arial"/>
        <family val="2"/>
      </rPr>
      <t xml:space="preserve">) </t>
    </r>
  </si>
  <si>
    <r>
      <t>Fração Mássica (</t>
    </r>
    <r>
      <rPr>
        <i/>
        <sz val="10"/>
        <rFont val="Arial"/>
        <family val="2"/>
      </rPr>
      <t>w</t>
    </r>
    <r>
      <rPr>
        <vertAlign val="subscript"/>
        <sz val="10"/>
        <rFont val="Arial"/>
        <family val="2"/>
      </rPr>
      <t>s5</t>
    </r>
    <r>
      <rPr>
        <sz val="10"/>
        <rFont val="Arial"/>
        <family val="2"/>
      </rPr>
      <t xml:space="preserve">) </t>
    </r>
  </si>
  <si>
    <r>
      <t>Fração Mássica (</t>
    </r>
    <r>
      <rPr>
        <i/>
        <sz val="10"/>
        <rFont val="Arial"/>
        <family val="2"/>
      </rPr>
      <t>w</t>
    </r>
    <r>
      <rPr>
        <vertAlign val="subscript"/>
        <sz val="10"/>
        <rFont val="Arial"/>
        <family val="2"/>
      </rPr>
      <t>s6</t>
    </r>
    <r>
      <rPr>
        <sz val="10"/>
        <rFont val="Arial"/>
        <family val="2"/>
      </rPr>
      <t xml:space="preserve">) </t>
    </r>
  </si>
  <si>
    <r>
      <t>Fração Mássica Solução Estoque (mg kg</t>
    </r>
    <r>
      <rPr>
        <b/>
        <vertAlign val="superscript"/>
        <sz val="10"/>
        <rFont val="Arial"/>
        <family val="2"/>
      </rPr>
      <t>-1</t>
    </r>
    <r>
      <rPr>
        <b/>
        <sz val="10"/>
        <rFont val="Arial"/>
        <family val="2"/>
      </rPr>
      <t xml:space="preserve">); </t>
    </r>
    <r>
      <rPr>
        <b/>
        <i/>
        <sz val="10"/>
        <rFont val="Arial"/>
        <family val="2"/>
      </rPr>
      <t>w</t>
    </r>
    <r>
      <rPr>
        <b/>
        <sz val="10"/>
        <rFont val="Arial"/>
        <family val="2"/>
      </rPr>
      <t>e</t>
    </r>
  </si>
  <si>
    <r>
      <t>Incerteza associada ao padrão estoque (u</t>
    </r>
    <r>
      <rPr>
        <vertAlign val="subscript"/>
        <sz val="10"/>
        <rFont val="Arial"/>
        <family val="2"/>
      </rPr>
      <t>(</t>
    </r>
    <r>
      <rPr>
        <i/>
        <vertAlign val="subscript"/>
        <sz val="10"/>
        <rFont val="Arial"/>
        <family val="2"/>
      </rPr>
      <t>w</t>
    </r>
    <r>
      <rPr>
        <vertAlign val="subscript"/>
        <sz val="10"/>
        <rFont val="Arial"/>
        <family val="2"/>
      </rPr>
      <t>e)</t>
    </r>
    <r>
      <rPr>
        <sz val="10"/>
        <rFont val="Arial"/>
        <family val="2"/>
      </rPr>
      <t>)</t>
    </r>
  </si>
  <si>
    <r>
      <t>Incerteza combinada (u</t>
    </r>
    <r>
      <rPr>
        <vertAlign val="subscript"/>
        <sz val="10"/>
        <rFont val="Arial"/>
        <family val="2"/>
      </rPr>
      <t>(</t>
    </r>
    <r>
      <rPr>
        <i/>
        <vertAlign val="subscript"/>
        <sz val="10"/>
        <rFont val="Arial"/>
        <family val="2"/>
      </rPr>
      <t>w</t>
    </r>
    <r>
      <rPr>
        <vertAlign val="subscript"/>
        <sz val="10"/>
        <rFont val="Arial"/>
        <family val="2"/>
      </rPr>
      <t>si1)</t>
    </r>
    <r>
      <rPr>
        <sz val="10"/>
        <rFont val="Arial"/>
        <family val="2"/>
      </rPr>
      <t>)</t>
    </r>
  </si>
  <si>
    <r>
      <t>Incerteza combinada (u</t>
    </r>
    <r>
      <rPr>
        <vertAlign val="subscript"/>
        <sz val="10"/>
        <rFont val="Arial"/>
        <family val="2"/>
      </rPr>
      <t>(</t>
    </r>
    <r>
      <rPr>
        <i/>
        <vertAlign val="subscript"/>
        <sz val="10"/>
        <rFont val="Arial"/>
        <family val="2"/>
      </rPr>
      <t>w</t>
    </r>
    <r>
      <rPr>
        <vertAlign val="subscript"/>
        <sz val="10"/>
        <rFont val="Arial"/>
        <family val="2"/>
      </rPr>
      <t>si2)</t>
    </r>
    <r>
      <rPr>
        <sz val="10"/>
        <rFont val="Arial"/>
        <family val="2"/>
      </rPr>
      <t>)</t>
    </r>
  </si>
  <si>
    <r>
      <t>Incerteza combinada (u</t>
    </r>
    <r>
      <rPr>
        <vertAlign val="subscript"/>
        <sz val="10"/>
        <rFont val="Arial"/>
        <family val="2"/>
      </rPr>
      <t>(</t>
    </r>
    <r>
      <rPr>
        <i/>
        <vertAlign val="subscript"/>
        <sz val="10"/>
        <rFont val="Arial"/>
        <family val="2"/>
      </rPr>
      <t>w</t>
    </r>
    <r>
      <rPr>
        <vertAlign val="subscript"/>
        <sz val="10"/>
        <rFont val="Arial"/>
        <family val="2"/>
      </rPr>
      <t>si3)</t>
    </r>
    <r>
      <rPr>
        <sz val="10"/>
        <rFont val="Arial"/>
        <family val="2"/>
      </rPr>
      <t>)</t>
    </r>
  </si>
  <si>
    <r>
      <t>Incerteza combinada (u</t>
    </r>
    <r>
      <rPr>
        <vertAlign val="subscript"/>
        <sz val="10"/>
        <rFont val="Arial"/>
        <family val="2"/>
      </rPr>
      <t>(</t>
    </r>
    <r>
      <rPr>
        <i/>
        <vertAlign val="subscript"/>
        <sz val="10"/>
        <rFont val="Arial"/>
        <family val="2"/>
      </rPr>
      <t>w</t>
    </r>
    <r>
      <rPr>
        <vertAlign val="subscript"/>
        <sz val="10"/>
        <rFont val="Arial"/>
        <family val="2"/>
      </rPr>
      <t>s1)</t>
    </r>
    <r>
      <rPr>
        <sz val="10"/>
        <rFont val="Arial"/>
        <family val="2"/>
      </rPr>
      <t>)</t>
    </r>
  </si>
  <si>
    <r>
      <t>Incerteza combinada (u</t>
    </r>
    <r>
      <rPr>
        <vertAlign val="subscript"/>
        <sz val="10"/>
        <rFont val="Arial"/>
        <family val="2"/>
      </rPr>
      <t>(</t>
    </r>
    <r>
      <rPr>
        <i/>
        <vertAlign val="subscript"/>
        <sz val="10"/>
        <rFont val="Arial"/>
        <family val="2"/>
      </rPr>
      <t>w</t>
    </r>
    <r>
      <rPr>
        <vertAlign val="subscript"/>
        <sz val="10"/>
        <rFont val="Arial"/>
        <family val="2"/>
      </rPr>
      <t>s2)</t>
    </r>
    <r>
      <rPr>
        <sz val="10"/>
        <rFont val="Arial"/>
        <family val="2"/>
      </rPr>
      <t>)</t>
    </r>
  </si>
  <si>
    <r>
      <t>Incerteza combinada (u</t>
    </r>
    <r>
      <rPr>
        <vertAlign val="subscript"/>
        <sz val="10"/>
        <rFont val="Arial"/>
        <family val="2"/>
      </rPr>
      <t>(</t>
    </r>
    <r>
      <rPr>
        <i/>
        <vertAlign val="subscript"/>
        <sz val="10"/>
        <rFont val="Arial"/>
        <family val="2"/>
      </rPr>
      <t>w</t>
    </r>
    <r>
      <rPr>
        <vertAlign val="subscript"/>
        <sz val="10"/>
        <rFont val="Arial"/>
        <family val="2"/>
      </rPr>
      <t>s3)</t>
    </r>
    <r>
      <rPr>
        <sz val="10"/>
        <rFont val="Arial"/>
        <family val="2"/>
      </rPr>
      <t>)</t>
    </r>
  </si>
  <si>
    <r>
      <t>Incerteza combinada (u</t>
    </r>
    <r>
      <rPr>
        <vertAlign val="subscript"/>
        <sz val="10"/>
        <rFont val="Arial"/>
        <family val="2"/>
      </rPr>
      <t>(</t>
    </r>
    <r>
      <rPr>
        <i/>
        <vertAlign val="subscript"/>
        <sz val="10"/>
        <rFont val="Arial"/>
        <family val="2"/>
      </rPr>
      <t>w</t>
    </r>
    <r>
      <rPr>
        <vertAlign val="subscript"/>
        <sz val="10"/>
        <rFont val="Arial"/>
        <family val="2"/>
      </rPr>
      <t>s4)</t>
    </r>
    <r>
      <rPr>
        <sz val="10"/>
        <rFont val="Arial"/>
        <family val="2"/>
      </rPr>
      <t>)</t>
    </r>
  </si>
  <si>
    <r>
      <t>Incerteza combinada (u</t>
    </r>
    <r>
      <rPr>
        <vertAlign val="subscript"/>
        <sz val="10"/>
        <rFont val="Arial"/>
        <family val="2"/>
      </rPr>
      <t>(</t>
    </r>
    <r>
      <rPr>
        <i/>
        <vertAlign val="subscript"/>
        <sz val="10"/>
        <rFont val="Arial"/>
        <family val="2"/>
      </rPr>
      <t>w</t>
    </r>
    <r>
      <rPr>
        <vertAlign val="subscript"/>
        <sz val="10"/>
        <rFont val="Arial"/>
        <family val="2"/>
      </rPr>
      <t>s5)</t>
    </r>
    <r>
      <rPr>
        <sz val="10"/>
        <rFont val="Arial"/>
        <family val="2"/>
      </rPr>
      <t>)</t>
    </r>
  </si>
  <si>
    <r>
      <t>Incerteza combinada (u</t>
    </r>
    <r>
      <rPr>
        <vertAlign val="subscript"/>
        <sz val="10"/>
        <rFont val="Arial"/>
        <family val="2"/>
      </rPr>
      <t>(</t>
    </r>
    <r>
      <rPr>
        <i/>
        <vertAlign val="subscript"/>
        <sz val="10"/>
        <rFont val="Arial"/>
        <family val="2"/>
      </rPr>
      <t>w</t>
    </r>
    <r>
      <rPr>
        <vertAlign val="subscript"/>
        <sz val="10"/>
        <rFont val="Arial"/>
        <family val="2"/>
      </rPr>
      <t>s6)</t>
    </r>
    <r>
      <rPr>
        <sz val="10"/>
        <rFont val="Arial"/>
        <family val="2"/>
      </rPr>
      <t>)</t>
    </r>
  </si>
  <si>
    <r>
      <t>Alíquota da solução intermediária 2 (g) ; m</t>
    </r>
    <r>
      <rPr>
        <i/>
        <sz val="10"/>
        <rFont val="Arial"/>
        <family val="2"/>
      </rPr>
      <t>w</t>
    </r>
    <r>
      <rPr>
        <sz val="10"/>
        <rFont val="Arial"/>
        <family val="2"/>
      </rPr>
      <t>s1</t>
    </r>
  </si>
  <si>
    <r>
      <t>Alíquota da solução intermediária 2. (g) ; m</t>
    </r>
    <r>
      <rPr>
        <i/>
        <sz val="10"/>
        <rFont val="Arial"/>
        <family val="2"/>
      </rPr>
      <t>w</t>
    </r>
    <r>
      <rPr>
        <sz val="10"/>
        <rFont val="Arial"/>
        <family val="2"/>
      </rPr>
      <t>s2</t>
    </r>
  </si>
  <si>
    <r>
      <t>Alíquota da solução intermediária 3. (g) ; m</t>
    </r>
    <r>
      <rPr>
        <i/>
        <sz val="10"/>
        <rFont val="Arial"/>
        <family val="2"/>
      </rPr>
      <t>w</t>
    </r>
    <r>
      <rPr>
        <sz val="10"/>
        <rFont val="Arial"/>
        <family val="2"/>
      </rPr>
      <t>s3</t>
    </r>
  </si>
  <si>
    <r>
      <t>Alíquota da solução intermediária 4. (g) ; m</t>
    </r>
    <r>
      <rPr>
        <i/>
        <sz val="10"/>
        <rFont val="Arial"/>
        <family val="2"/>
      </rPr>
      <t>w</t>
    </r>
    <r>
      <rPr>
        <sz val="10"/>
        <rFont val="Arial"/>
        <family val="2"/>
      </rPr>
      <t>s4</t>
    </r>
  </si>
  <si>
    <r>
      <t>Alíquota da solução intermediária 5. (g) ; m</t>
    </r>
    <r>
      <rPr>
        <i/>
        <sz val="10"/>
        <rFont val="Arial"/>
        <family val="2"/>
      </rPr>
      <t>w</t>
    </r>
    <r>
      <rPr>
        <sz val="10"/>
        <rFont val="Arial"/>
        <family val="2"/>
      </rPr>
      <t>s5</t>
    </r>
  </si>
  <si>
    <r>
      <t>Alíquota da solução intermediária 6. (g) ; m</t>
    </r>
    <r>
      <rPr>
        <i/>
        <sz val="10"/>
        <rFont val="Arial"/>
        <family val="2"/>
      </rPr>
      <t>w</t>
    </r>
    <r>
      <rPr>
        <sz val="10"/>
        <rFont val="Arial"/>
        <family val="2"/>
      </rPr>
      <t>s6</t>
    </r>
  </si>
  <si>
    <r>
      <t>Alíquota da solução intermediária (g) ; m</t>
    </r>
    <r>
      <rPr>
        <i/>
        <sz val="10"/>
        <rFont val="Arial"/>
        <family val="2"/>
      </rPr>
      <t>w</t>
    </r>
    <r>
      <rPr>
        <sz val="10"/>
        <rFont val="Arial"/>
        <family val="2"/>
      </rPr>
      <t>s1</t>
    </r>
  </si>
  <si>
    <r>
      <t>Alíquota da solução intermediária (g) ; m</t>
    </r>
    <r>
      <rPr>
        <i/>
        <sz val="10"/>
        <rFont val="Arial"/>
        <family val="2"/>
      </rPr>
      <t>w</t>
    </r>
    <r>
      <rPr>
        <sz val="10"/>
        <rFont val="Arial"/>
        <family val="2"/>
      </rPr>
      <t>s2</t>
    </r>
  </si>
  <si>
    <r>
      <t>Alíquota da solução intermediária (g) ; m</t>
    </r>
    <r>
      <rPr>
        <i/>
        <sz val="10"/>
        <rFont val="Arial"/>
        <family val="2"/>
      </rPr>
      <t>w</t>
    </r>
    <r>
      <rPr>
        <sz val="10"/>
        <rFont val="Arial"/>
        <family val="2"/>
      </rPr>
      <t>s3</t>
    </r>
  </si>
  <si>
    <r>
      <t>Alíquota da solução intermediária (g) ; m</t>
    </r>
    <r>
      <rPr>
        <i/>
        <sz val="10"/>
        <rFont val="Arial"/>
        <family val="2"/>
      </rPr>
      <t>w</t>
    </r>
    <r>
      <rPr>
        <sz val="10"/>
        <rFont val="Arial"/>
        <family val="2"/>
      </rPr>
      <t>s4</t>
    </r>
  </si>
  <si>
    <r>
      <t>Alíquota da solução intermediária (g) ; m</t>
    </r>
    <r>
      <rPr>
        <i/>
        <sz val="10"/>
        <rFont val="Arial"/>
        <family val="2"/>
      </rPr>
      <t>w</t>
    </r>
    <r>
      <rPr>
        <sz val="10"/>
        <rFont val="Arial"/>
        <family val="2"/>
      </rPr>
      <t>s5</t>
    </r>
  </si>
  <si>
    <r>
      <t>Alíquota da solução intermediária (g) ; m</t>
    </r>
    <r>
      <rPr>
        <i/>
        <sz val="10"/>
        <rFont val="Arial"/>
        <family val="2"/>
      </rPr>
      <t>w</t>
    </r>
    <r>
      <rPr>
        <sz val="10"/>
        <rFont val="Arial"/>
        <family val="2"/>
      </rPr>
      <t>s6</t>
    </r>
  </si>
  <si>
    <r>
      <t>Conc. (</t>
    </r>
    <r>
      <rPr>
        <sz val="10"/>
        <rFont val="Arial"/>
        <family val="2"/>
      </rPr>
      <t>m</t>
    </r>
    <r>
      <rPr>
        <b/>
        <sz val="10"/>
        <rFont val="Arial"/>
        <family val="2"/>
      </rPr>
      <t>g.kg</t>
    </r>
    <r>
      <rPr>
        <b/>
        <vertAlign val="superscript"/>
        <sz val="10"/>
        <rFont val="Arial"/>
        <family val="2"/>
      </rPr>
      <t>-1</t>
    </r>
    <r>
      <rPr>
        <b/>
        <sz val="10"/>
        <rFont val="Arial"/>
        <family val="2"/>
      </rPr>
      <t>)</t>
    </r>
  </si>
  <si>
    <t>Massa do padrão 2 (g) ; mf2</t>
  </si>
  <si>
    <t>Massa do padrão 3 (g) ; mf3</t>
  </si>
  <si>
    <t>Massa do padrão 4 (g) ; mf4</t>
  </si>
  <si>
    <t>Massa do padrão 5 (g) ; mf5</t>
  </si>
  <si>
    <t>Massa do padrão 6 (g) ; mf6</t>
  </si>
  <si>
    <t>Massa total do padrão 2 (g) ; mf2</t>
  </si>
  <si>
    <t>Massa total do padrão 3 (g) ; mf3</t>
  </si>
  <si>
    <t>Massa total do padrão 4 (g) ; mf4</t>
  </si>
  <si>
    <t>Massa total do padrão 5 (g) ; mf5</t>
  </si>
  <si>
    <t>Massa total do padrão 6 (g) ; mf6</t>
  </si>
  <si>
    <t>Teste de consistência</t>
  </si>
  <si>
    <t>Marque um X</t>
  </si>
  <si>
    <t>Elemento</t>
  </si>
  <si>
    <t>Matriz da amostra</t>
  </si>
  <si>
    <t>Validade</t>
  </si>
  <si>
    <t>Sample ID</t>
  </si>
  <si>
    <t>Analyte Name</t>
  </si>
  <si>
    <t>Int (Net)1</t>
  </si>
  <si>
    <t>Int (Net)2</t>
  </si>
  <si>
    <t>Int (Net)3</t>
  </si>
  <si>
    <t>Int (Net)4</t>
  </si>
  <si>
    <t>Int (Net)5</t>
  </si>
  <si>
    <t>BR HNO3 2%</t>
  </si>
  <si>
    <t>Sr 407.771</t>
  </si>
  <si>
    <t>Na 589.592</t>
  </si>
  <si>
    <t>P1</t>
  </si>
  <si>
    <t>P2</t>
  </si>
  <si>
    <t>P3</t>
  </si>
  <si>
    <t>P4</t>
  </si>
  <si>
    <t>P5</t>
  </si>
  <si>
    <t>P6</t>
  </si>
  <si>
    <t>BRanco</t>
  </si>
  <si>
    <t>Controle</t>
  </si>
  <si>
    <t>BR</t>
  </si>
  <si>
    <t>WS 29-1</t>
  </si>
  <si>
    <t>WS 29-2</t>
  </si>
  <si>
    <t>WS 57-1</t>
  </si>
  <si>
    <t>WS 57-2</t>
  </si>
  <si>
    <t>WS 106-1</t>
  </si>
  <si>
    <t>WS 106-2</t>
  </si>
  <si>
    <t>WS CAL 10-2</t>
  </si>
  <si>
    <t>WS CAL 10-6</t>
  </si>
  <si>
    <t>106-31ago17</t>
  </si>
  <si>
    <t>106-25set17</t>
  </si>
  <si>
    <t>106-20out17</t>
  </si>
  <si>
    <t>106-24nov17</t>
  </si>
  <si>
    <t>106-21dez17</t>
  </si>
  <si>
    <t>Solução</t>
  </si>
  <si>
    <t>R1</t>
  </si>
  <si>
    <t>R2</t>
  </si>
  <si>
    <t>R3</t>
  </si>
  <si>
    <t>R4</t>
  </si>
  <si>
    <t>R5</t>
  </si>
  <si>
    <t>DPR (%)</t>
  </si>
  <si>
    <t>Código de Identificação  da balança PT002/PT006</t>
  </si>
  <si>
    <t>Sem valor Inconsistente</t>
  </si>
  <si>
    <t xml:space="preserve">Justificativa para retirada de valor anômalo </t>
  </si>
  <si>
    <t>ATENÇÃO
Imobilizar células B6, B9, B10, C9, E5 e E6 quando revisar e bolquear planilha.</t>
  </si>
  <si>
    <t>DIMCI 1024/2021</t>
  </si>
  <si>
    <t>DIMCI 1025/2021</t>
  </si>
  <si>
    <t>Histórico de Revisão</t>
  </si>
  <si>
    <t>Revisão</t>
  </si>
  <si>
    <t>Itens revisados</t>
  </si>
  <si>
    <t>***</t>
  </si>
  <si>
    <t xml:space="preserve">Foram inseridos novos certificados de calibração das balanças N° RC1512-002 e RC1512-003. As calibrações foram realizadas por Sartorius do Brasil. O número de pontos de calibração foi inferior ao normalmente usado. 
Os resultados da calibração foram preenchidos de forma corrente na tabela "Certificados de Calibração das Balanças" da aba "Massas Corrigidas". As células restantes foram deixadas em branco e não influenciaram no resultado. </t>
  </si>
  <si>
    <t xml:space="preserve"> Foram inseridos novos certificados de calibração das balanças DIMCI 1309/2016 e DIMCI 1310/2016. As calibrações foram realizadas pelo Lamas-INMETRO. </t>
  </si>
  <si>
    <t>Nas abas "entradas de massas" e "Massas Corrigidas" campos onde haviam a indicação da unidade "mg" foram corrigidos para unidade "g"</t>
  </si>
  <si>
    <t>Inserção de campo na aba Principal para selecionar amostras para o teste de consistência.</t>
  </si>
  <si>
    <t>Na aba principal foram inseridas formulas para busca de dados do MRC utilizado na calibração</t>
  </si>
  <si>
    <t xml:space="preserve">Na aba Cálculos, funções foram inseridas de modo a deixar a célula vazia se existir erro. Na aba principal pequenas adaptações foram feitas para permitir o uso de 5 ou 6 pontos de calibração e 6 ou 7 replicas. </t>
  </si>
  <si>
    <t>Na aba principal foi incluida a possibilidade de usar o MRC SELM-1 como calibrante</t>
  </si>
  <si>
    <t>Inserção do campo de conferente de transferência de dados do certificado da balança. Modificação da célula de entrada do código da balança para a aba "Entrada de Massas"</t>
  </si>
  <si>
    <t xml:space="preserve">Correção da contagem (n) de valores utilizados para calcular a incerteza na aba Teste de consistência na Incerteza Original e Incerteza Ampliada </t>
  </si>
  <si>
    <t>Substituição do termo “Sem Outlier” por “Sem valor Inconsistente” na aba Teste de consistência</t>
  </si>
  <si>
    <t>Novos certificados de balança</t>
  </si>
  <si>
    <t>Inserção de aviso na Aba Principal para lembrar de imobilizar células no momento de revisão final e bloqueio. Inserção de campo na Aba Teste de consistência  para justificar retirada de valor anômalo.</t>
  </si>
  <si>
    <t xml:space="preserve">Modificação na Aba Principal celulas H98:H366 para aceitar intensidades negativas. </t>
  </si>
  <si>
    <t>Correção do cálculo do Grau de liberdade efetivo na aba "Teste de Consistência" célula C13</t>
  </si>
  <si>
    <t xml:space="preserve"> Novos certificados de balança DIMCI 1024/2021 e DIMCI 1025/2021</t>
  </si>
  <si>
    <t xml:space="preserve">Norma de Referência: </t>
  </si>
  <si>
    <t>Quadro de Aprovação</t>
  </si>
  <si>
    <t>Elaborado por</t>
  </si>
  <si>
    <t>Verificado por</t>
  </si>
  <si>
    <t>Aprovado por</t>
  </si>
  <si>
    <t>Rodrigo Caciano de Sena</t>
  </si>
  <si>
    <t>Chefe do Labin</t>
  </si>
  <si>
    <t>Marcelo Domiguez de Almeida</t>
  </si>
  <si>
    <t>Chefe Substituto do Labin</t>
  </si>
  <si>
    <t xml:space="preserve">Emily Silva Dutra </t>
  </si>
  <si>
    <t>CQ do Labin</t>
  </si>
  <si>
    <t>Rodrigo Sena</t>
  </si>
  <si>
    <t>Nome</t>
  </si>
  <si>
    <t>Atribuição</t>
  </si>
  <si>
    <t>AMA</t>
  </si>
  <si>
    <t>AMB</t>
  </si>
  <si>
    <t>CCQM K158B</t>
  </si>
  <si>
    <t>CCQM K158A</t>
  </si>
  <si>
    <t>CCQM K56A</t>
  </si>
  <si>
    <t>CCQMK56B</t>
  </si>
  <si>
    <t>Kathleen</t>
  </si>
  <si>
    <t>Cu</t>
  </si>
  <si>
    <t>Farinha de arroz integral</t>
  </si>
  <si>
    <t>Massas</t>
  </si>
  <si>
    <t>Concentração dos Padrões</t>
  </si>
  <si>
    <t>Curva de Calibração Linear</t>
  </si>
  <si>
    <t>Ajuste da Curva de Calibração</t>
  </si>
  <si>
    <t>Limites e indenpencia dos resíduos</t>
  </si>
  <si>
    <t>Solução stock</t>
  </si>
  <si>
    <t>[mg/kg]</t>
  </si>
  <si>
    <t>Solução Stock (Intermediária I)</t>
  </si>
  <si>
    <t>Intermediária I</t>
  </si>
  <si>
    <t>Concentração</t>
  </si>
  <si>
    <t>Sinal Analítico</t>
  </si>
  <si>
    <t>Sinal Esperado</t>
  </si>
  <si>
    <t>Resíduo</t>
  </si>
  <si>
    <r>
      <t>[(y</t>
    </r>
    <r>
      <rPr>
        <b/>
        <vertAlign val="subscript"/>
        <sz val="10"/>
        <rFont val="Arial"/>
        <family val="2"/>
      </rPr>
      <t>e</t>
    </r>
    <r>
      <rPr>
        <b/>
        <sz val="10"/>
        <rFont val="Arial"/>
        <family val="2"/>
      </rPr>
      <t>)</t>
    </r>
    <r>
      <rPr>
        <b/>
        <vertAlign val="subscript"/>
        <sz val="10"/>
        <rFont val="Arial"/>
        <family val="2"/>
      </rPr>
      <t>i</t>
    </r>
    <r>
      <rPr>
        <b/>
        <sz val="10"/>
        <rFont val="Arial"/>
        <family val="2"/>
      </rPr>
      <t xml:space="preserve"> - y</t>
    </r>
    <r>
      <rPr>
        <b/>
        <vertAlign val="subscript"/>
        <sz val="10"/>
        <rFont val="Arial"/>
        <family val="2"/>
      </rPr>
      <t>m</t>
    </r>
    <r>
      <rPr>
        <b/>
        <sz val="10"/>
        <rFont val="Arial"/>
        <family val="2"/>
      </rPr>
      <t>]</t>
    </r>
    <r>
      <rPr>
        <b/>
        <vertAlign val="superscript"/>
        <sz val="10"/>
        <rFont val="Arial"/>
        <family val="2"/>
      </rPr>
      <t>2</t>
    </r>
  </si>
  <si>
    <r>
      <t>[y</t>
    </r>
    <r>
      <rPr>
        <b/>
        <vertAlign val="subscript"/>
        <sz val="10"/>
        <rFont val="Arial"/>
        <family val="2"/>
      </rPr>
      <t>ij</t>
    </r>
    <r>
      <rPr>
        <b/>
        <sz val="10"/>
        <rFont val="Arial"/>
        <family val="2"/>
      </rPr>
      <t>-(y</t>
    </r>
    <r>
      <rPr>
        <b/>
        <vertAlign val="subscript"/>
        <sz val="10"/>
        <rFont val="Arial"/>
        <family val="2"/>
      </rPr>
      <t>e</t>
    </r>
    <r>
      <rPr>
        <b/>
        <sz val="10"/>
        <rFont val="Arial"/>
        <family val="2"/>
      </rPr>
      <t>)</t>
    </r>
    <r>
      <rPr>
        <b/>
        <vertAlign val="subscript"/>
        <sz val="10"/>
        <rFont val="Arial"/>
        <family val="2"/>
      </rPr>
      <t>i</t>
    </r>
    <r>
      <rPr>
        <b/>
        <sz val="10"/>
        <rFont val="Arial"/>
        <family val="2"/>
      </rPr>
      <t>]</t>
    </r>
    <r>
      <rPr>
        <b/>
        <vertAlign val="superscript"/>
        <sz val="10"/>
        <rFont val="Arial"/>
        <family val="2"/>
      </rPr>
      <t>2</t>
    </r>
  </si>
  <si>
    <r>
      <t>[(y</t>
    </r>
    <r>
      <rPr>
        <b/>
        <vertAlign val="subscript"/>
        <sz val="10"/>
        <rFont val="Arial"/>
        <family val="2"/>
      </rPr>
      <t>e</t>
    </r>
    <r>
      <rPr>
        <b/>
        <sz val="10"/>
        <rFont val="Arial"/>
        <family val="2"/>
      </rPr>
      <t>)</t>
    </r>
    <r>
      <rPr>
        <b/>
        <vertAlign val="subscript"/>
        <sz val="10"/>
        <rFont val="Arial"/>
        <family val="2"/>
      </rPr>
      <t>i</t>
    </r>
    <r>
      <rPr>
        <b/>
        <sz val="10"/>
        <rFont val="Arial"/>
        <family val="2"/>
      </rPr>
      <t>-y</t>
    </r>
    <r>
      <rPr>
        <b/>
        <vertAlign val="subscript"/>
        <sz val="10"/>
        <rFont val="Arial"/>
        <family val="2"/>
      </rPr>
      <t>im</t>
    </r>
    <r>
      <rPr>
        <b/>
        <sz val="10"/>
        <rFont val="Arial"/>
        <family val="2"/>
      </rPr>
      <t>]</t>
    </r>
    <r>
      <rPr>
        <b/>
        <vertAlign val="superscript"/>
        <sz val="10"/>
        <rFont val="Arial"/>
        <family val="2"/>
      </rPr>
      <t>2</t>
    </r>
  </si>
  <si>
    <r>
      <t>(y</t>
    </r>
    <r>
      <rPr>
        <b/>
        <vertAlign val="subscript"/>
        <sz val="10"/>
        <rFont val="Arial"/>
        <family val="2"/>
      </rPr>
      <t>ij</t>
    </r>
    <r>
      <rPr>
        <b/>
        <sz val="10"/>
        <rFont val="Arial"/>
        <family val="2"/>
      </rPr>
      <t>-y</t>
    </r>
    <r>
      <rPr>
        <b/>
        <vertAlign val="subscript"/>
        <sz val="10"/>
        <rFont val="Arial"/>
        <family val="2"/>
      </rPr>
      <t>im</t>
    </r>
    <r>
      <rPr>
        <b/>
        <sz val="10"/>
        <rFont val="Arial"/>
        <family val="2"/>
      </rPr>
      <t>)</t>
    </r>
    <r>
      <rPr>
        <b/>
        <vertAlign val="superscript"/>
        <sz val="10"/>
        <rFont val="Arial"/>
        <family val="2"/>
      </rPr>
      <t>2</t>
    </r>
  </si>
  <si>
    <r>
      <t>(y</t>
    </r>
    <r>
      <rPr>
        <b/>
        <vertAlign val="subscript"/>
        <sz val="10"/>
        <rFont val="Arial"/>
        <family val="2"/>
      </rPr>
      <t>ij</t>
    </r>
    <r>
      <rPr>
        <b/>
        <sz val="10"/>
        <rFont val="Arial"/>
        <family val="2"/>
      </rPr>
      <t>-y</t>
    </r>
    <r>
      <rPr>
        <b/>
        <vertAlign val="subscript"/>
        <sz val="10"/>
        <rFont val="Arial"/>
        <family val="2"/>
      </rPr>
      <t>m</t>
    </r>
    <r>
      <rPr>
        <b/>
        <sz val="10"/>
        <rFont val="Arial"/>
        <family val="2"/>
      </rPr>
      <t>)</t>
    </r>
    <r>
      <rPr>
        <b/>
        <vertAlign val="superscript"/>
        <sz val="10"/>
        <rFont val="Arial"/>
        <family val="2"/>
      </rPr>
      <t>2</t>
    </r>
  </si>
  <si>
    <t>LS</t>
  </si>
  <si>
    <t>LI</t>
  </si>
  <si>
    <r>
      <t>e</t>
    </r>
    <r>
      <rPr>
        <b/>
        <vertAlign val="subscript"/>
        <sz val="12"/>
        <color theme="1"/>
        <rFont val="Arial"/>
        <family val="2"/>
      </rPr>
      <t xml:space="preserve">i </t>
    </r>
    <r>
      <rPr>
        <b/>
        <sz val="12"/>
        <color theme="1"/>
        <rFont val="Arial"/>
        <family val="2"/>
      </rPr>
      <t>- e</t>
    </r>
    <r>
      <rPr>
        <b/>
        <vertAlign val="subscript"/>
        <sz val="12"/>
        <color theme="1"/>
        <rFont val="Arial"/>
        <family val="2"/>
      </rPr>
      <t>i-1</t>
    </r>
  </si>
  <si>
    <r>
      <t>e</t>
    </r>
    <r>
      <rPr>
        <b/>
        <vertAlign val="subscript"/>
        <sz val="12"/>
        <color theme="1"/>
        <rFont val="Arial"/>
        <family val="2"/>
      </rPr>
      <t>i-1</t>
    </r>
  </si>
  <si>
    <t>Padrão 7</t>
  </si>
  <si>
    <t>Padrão 8</t>
  </si>
  <si>
    <t>Padrão 9</t>
  </si>
  <si>
    <t>frasco (g)</t>
  </si>
  <si>
    <t>Intermediária II</t>
  </si>
  <si>
    <t>frasco + analito (g)</t>
  </si>
  <si>
    <t>massa do analito (g)</t>
  </si>
  <si>
    <t>P0</t>
  </si>
  <si>
    <t>massa final (g)</t>
  </si>
  <si>
    <t>massa total (g)</t>
  </si>
  <si>
    <t>Stand. Dev.</t>
  </si>
  <si>
    <t>Gmin</t>
  </si>
  <si>
    <t>Parâmetros da Curva linear</t>
  </si>
  <si>
    <t>Gmax</t>
  </si>
  <si>
    <t>Inclinação</t>
  </si>
  <si>
    <t>Variância</t>
  </si>
  <si>
    <t>Intercepção</t>
  </si>
  <si>
    <t>Teste de Cochran</t>
  </si>
  <si>
    <t>Ccalc =</t>
  </si>
  <si>
    <r>
      <t>s</t>
    </r>
    <r>
      <rPr>
        <b/>
        <vertAlign val="superscript"/>
        <sz val="12"/>
        <rFont val="Arial"/>
        <family val="2"/>
      </rPr>
      <t>2</t>
    </r>
    <r>
      <rPr>
        <b/>
        <vertAlign val="subscript"/>
        <sz val="12"/>
        <rFont val="Arial"/>
        <family val="2"/>
      </rPr>
      <t>Max</t>
    </r>
    <r>
      <rPr>
        <b/>
        <sz val="12"/>
        <rFont val="Arial"/>
        <family val="2"/>
      </rPr>
      <t>/</t>
    </r>
    <r>
      <rPr>
        <sz val="12"/>
        <rFont val="Symbol"/>
        <family val="1"/>
        <charset val="2"/>
      </rPr>
      <t>S</t>
    </r>
    <r>
      <rPr>
        <b/>
        <sz val="12"/>
        <rFont val="Arial"/>
        <family val="2"/>
      </rPr>
      <t>s</t>
    </r>
    <r>
      <rPr>
        <b/>
        <vertAlign val="superscript"/>
        <sz val="12"/>
        <rFont val="Arial"/>
        <family val="2"/>
      </rPr>
      <t>2</t>
    </r>
  </si>
  <si>
    <t>Variância max</t>
  </si>
  <si>
    <r>
      <rPr>
        <b/>
        <sz val="12"/>
        <rFont val="Symbol"/>
        <family val="1"/>
        <charset val="2"/>
      </rPr>
      <t>S</t>
    </r>
    <r>
      <rPr>
        <sz val="12"/>
        <rFont val="Arial"/>
        <family val="2"/>
      </rPr>
      <t xml:space="preserve"> variâncias</t>
    </r>
  </si>
  <si>
    <t>Ccalc</t>
  </si>
  <si>
    <t xml:space="preserve"> </t>
  </si>
  <si>
    <r>
      <t xml:space="preserve">Caso Ccal &lt; Ctab </t>
    </r>
    <r>
      <rPr>
        <b/>
        <sz val="12"/>
        <rFont val="Wingdings 3"/>
        <family val="1"/>
        <charset val="2"/>
      </rPr>
      <t>"</t>
    </r>
    <r>
      <rPr>
        <b/>
        <sz val="12"/>
        <rFont val="Arial"/>
        <family val="2"/>
      </rPr>
      <t xml:space="preserve"> HOMOCEDÁSTICO</t>
    </r>
  </si>
  <si>
    <t>frasco + amostra (g)</t>
  </si>
  <si>
    <t>Curva linear</t>
  </si>
  <si>
    <r>
      <t>s</t>
    </r>
    <r>
      <rPr>
        <vertAlign val="subscript"/>
        <sz val="12"/>
        <color theme="1"/>
        <rFont val="Arial"/>
        <family val="2"/>
      </rPr>
      <t>res</t>
    </r>
    <r>
      <rPr>
        <vertAlign val="superscript"/>
        <sz val="12"/>
        <color theme="1"/>
        <rFont val="Arial"/>
        <family val="2"/>
      </rPr>
      <t>2</t>
    </r>
  </si>
  <si>
    <r>
      <t>s</t>
    </r>
    <r>
      <rPr>
        <vertAlign val="subscript"/>
        <sz val="12"/>
        <color theme="1"/>
        <rFont val="Arial"/>
        <family val="2"/>
      </rPr>
      <t>res</t>
    </r>
  </si>
  <si>
    <t>t</t>
  </si>
  <si>
    <r>
      <t>t*s</t>
    </r>
    <r>
      <rPr>
        <vertAlign val="subscript"/>
        <sz val="12"/>
        <color theme="1"/>
        <rFont val="Arial"/>
        <family val="2"/>
      </rPr>
      <t>res</t>
    </r>
  </si>
  <si>
    <r>
      <t>LS=e</t>
    </r>
    <r>
      <rPr>
        <sz val="12"/>
        <color theme="1"/>
        <rFont val="Calibri"/>
        <family val="2"/>
      </rPr>
      <t>+</t>
    </r>
    <r>
      <rPr>
        <sz val="13.2"/>
        <color theme="1"/>
        <rFont val="Arial"/>
        <family val="2"/>
      </rPr>
      <t>t.S</t>
    </r>
    <r>
      <rPr>
        <vertAlign val="subscript"/>
        <sz val="13.2"/>
        <color theme="1"/>
        <rFont val="Arial"/>
        <family val="2"/>
      </rPr>
      <t>res</t>
    </r>
  </si>
  <si>
    <r>
      <t>LI=e-t.S</t>
    </r>
    <r>
      <rPr>
        <vertAlign val="subscript"/>
        <sz val="12"/>
        <color theme="1"/>
        <rFont val="Arial"/>
        <family val="2"/>
      </rPr>
      <t>res</t>
    </r>
  </si>
  <si>
    <t>Intensidade Medida</t>
  </si>
  <si>
    <t>AVALIAÇÃO GRÁFICA</t>
  </si>
  <si>
    <t>AVALIAÇÃO DE OUTLIERS - GRUBBS</t>
  </si>
  <si>
    <t>AVALIAÇÃO DE HOMOCEDASTICIDADE - COCHRAN</t>
  </si>
  <si>
    <t>AVALIAÇÃO DO AJUSTE DA CURVA DE CALIBRAÇÃO</t>
  </si>
  <si>
    <t>Independência dos resíduos</t>
  </si>
  <si>
    <t>Fonte</t>
  </si>
  <si>
    <t xml:space="preserve">Teste </t>
  </si>
  <si>
    <t>Abreviatura</t>
  </si>
  <si>
    <t>Valor calculado</t>
  </si>
  <si>
    <t>Valor tabelado</t>
  </si>
  <si>
    <t>Conclusão</t>
  </si>
  <si>
    <t>d =</t>
  </si>
  <si>
    <t>Outliers (1 valor)</t>
  </si>
  <si>
    <t>Gcalculado_1</t>
  </si>
  <si>
    <r>
      <t xml:space="preserve">Não há presença de </t>
    </r>
    <r>
      <rPr>
        <i/>
        <sz val="12"/>
        <color theme="1"/>
        <rFont val="Arial"/>
        <family val="2"/>
      </rPr>
      <t>outilier</t>
    </r>
  </si>
  <si>
    <t>TESTES DE NORMALIDADE</t>
  </si>
  <si>
    <t>Critérios de Normalidade</t>
  </si>
  <si>
    <t>dL (n = 45) 2,5%</t>
  </si>
  <si>
    <t>Outliers (2 valores)</t>
  </si>
  <si>
    <t>Gcalculado_2</t>
  </si>
  <si>
    <t>Wcalc &gt; Wtab</t>
  </si>
  <si>
    <t>Distribuição normal</t>
  </si>
  <si>
    <t>dU (n = 45) 2,5%</t>
  </si>
  <si>
    <t>Normalidade dos resíduos</t>
  </si>
  <si>
    <t>Wcalculado</t>
  </si>
  <si>
    <t>Resíduos normais</t>
  </si>
  <si>
    <t>Somatório</t>
  </si>
  <si>
    <t>Graus de Liberdade</t>
  </si>
  <si>
    <t>Média Quadrática</t>
  </si>
  <si>
    <t>DADOS DO PROCESSO</t>
  </si>
  <si>
    <t>p&gt;0,05</t>
  </si>
  <si>
    <t>Homocedasticidade</t>
  </si>
  <si>
    <t>Ccalculado</t>
  </si>
  <si>
    <t>Curva de calibração homocedástica</t>
  </si>
  <si>
    <r>
      <t>SQ</t>
    </r>
    <r>
      <rPr>
        <vertAlign val="subscript"/>
        <sz val="12"/>
        <rFont val="Arial"/>
        <family val="2"/>
      </rPr>
      <t>reg</t>
    </r>
  </si>
  <si>
    <t>Wtab (0,05;n=42)</t>
  </si>
  <si>
    <t>Correlação positiva</t>
  </si>
  <si>
    <t>Critérios da correlação positiva</t>
  </si>
  <si>
    <t>Correlação dos resíduos</t>
  </si>
  <si>
    <t>dcalculado</t>
  </si>
  <si>
    <t>Resíduos não correlacionados</t>
  </si>
  <si>
    <r>
      <t>SQ</t>
    </r>
    <r>
      <rPr>
        <vertAlign val="subscript"/>
        <sz val="12"/>
        <rFont val="Arial"/>
        <family val="2"/>
      </rPr>
      <t>r</t>
    </r>
  </si>
  <si>
    <t>Estatística: Shapiro-Wilk</t>
  </si>
  <si>
    <t xml:space="preserve">d &lt; dL </t>
  </si>
  <si>
    <t>Erros correlacionados</t>
  </si>
  <si>
    <t>Falta de ajuste</t>
  </si>
  <si>
    <t>MQFAJ/MQEP</t>
  </si>
  <si>
    <t>Falta de ajuste não significativa</t>
  </si>
  <si>
    <t>Ctab (n=7 p=6)</t>
  </si>
  <si>
    <r>
      <t>SQ</t>
    </r>
    <r>
      <rPr>
        <vertAlign val="subscript"/>
        <sz val="12"/>
        <rFont val="Arial"/>
        <family val="2"/>
      </rPr>
      <t>faj</t>
    </r>
  </si>
  <si>
    <t>P-valor</t>
  </si>
  <si>
    <t>d &gt; dU</t>
  </si>
  <si>
    <t>Erros não correlacionados</t>
  </si>
  <si>
    <t>MQreg/MQres</t>
  </si>
  <si>
    <t>Significânia da regressão</t>
  </si>
  <si>
    <t>Regressão significante</t>
  </si>
  <si>
    <r>
      <t>SQ</t>
    </r>
    <r>
      <rPr>
        <vertAlign val="subscript"/>
        <sz val="12"/>
        <rFont val="Arial"/>
        <family val="2"/>
      </rPr>
      <t>ep</t>
    </r>
  </si>
  <si>
    <t xml:space="preserve">dL &lt; d &lt; dU </t>
  </si>
  <si>
    <t>Inconclusivo</t>
  </si>
  <si>
    <r>
      <t>SQ</t>
    </r>
    <r>
      <rPr>
        <vertAlign val="subscript"/>
        <sz val="12"/>
        <rFont val="Arial"/>
        <family val="2"/>
      </rPr>
      <t>t</t>
    </r>
  </si>
  <si>
    <t>Teste de normalidade</t>
  </si>
  <si>
    <t xml:space="preserve">Teste de homocedasticidade </t>
  </si>
  <si>
    <t>Correlação negativa</t>
  </si>
  <si>
    <t>Critérios da correlação negativa</t>
  </si>
  <si>
    <t>Variância máxima</t>
  </si>
  <si>
    <t>Dados</t>
  </si>
  <si>
    <t>Wtabelado</t>
  </si>
  <si>
    <t xml:space="preserve">(4-d) &lt; dL </t>
  </si>
  <si>
    <t>Soma das variâncias</t>
  </si>
  <si>
    <t>p</t>
  </si>
  <si>
    <t>Dados do processo</t>
  </si>
  <si>
    <t>(4-d) &gt; dU</t>
  </si>
  <si>
    <t xml:space="preserve">dL &lt; (4-d) &lt; dU </t>
  </si>
  <si>
    <t>Ctabelado (n=7 p=6)</t>
  </si>
  <si>
    <t>m</t>
  </si>
  <si>
    <t>Gtab (n=7)</t>
  </si>
  <si>
    <t>Fcalculado</t>
  </si>
  <si>
    <t>F tabelado (95%)</t>
  </si>
  <si>
    <t>Regressão</t>
  </si>
  <si>
    <t>Resultado</t>
  </si>
  <si>
    <t>AVALIAÇÃO DE OUTLIERS - GRUBBS (2 VALORES SUSPEITO)</t>
  </si>
  <si>
    <t>Média_com</t>
  </si>
  <si>
    <t>Média_sem_min</t>
  </si>
  <si>
    <t>Média_sem_max</t>
  </si>
  <si>
    <r>
      <t>Sx</t>
    </r>
    <r>
      <rPr>
        <vertAlign val="subscript"/>
        <sz val="12"/>
        <rFont val="Arial"/>
        <family val="2"/>
      </rPr>
      <t>i_0</t>
    </r>
    <r>
      <rPr>
        <sz val="12"/>
        <rFont val="Arial"/>
        <family val="2"/>
      </rPr>
      <t>-x</t>
    </r>
    <r>
      <rPr>
        <vertAlign val="subscript"/>
        <sz val="12"/>
        <rFont val="Arial"/>
        <family val="2"/>
      </rPr>
      <t>0</t>
    </r>
  </si>
  <si>
    <r>
      <t>S</t>
    </r>
    <r>
      <rPr>
        <b/>
        <vertAlign val="subscript"/>
        <sz val="12"/>
        <rFont val="Arial"/>
        <family val="2"/>
      </rPr>
      <t>0</t>
    </r>
    <r>
      <rPr>
        <b/>
        <vertAlign val="superscript"/>
        <sz val="12"/>
        <rFont val="Arial"/>
        <family val="2"/>
      </rPr>
      <t>2</t>
    </r>
    <r>
      <rPr>
        <b/>
        <sz val="12"/>
        <rFont val="Arial"/>
        <family val="2"/>
      </rPr>
      <t xml:space="preserve"> (com)</t>
    </r>
  </si>
  <si>
    <t>Dois valores mínimos</t>
  </si>
  <si>
    <r>
      <t>Sx</t>
    </r>
    <r>
      <rPr>
        <vertAlign val="subscript"/>
        <sz val="12"/>
        <rFont val="Arial"/>
        <family val="2"/>
      </rPr>
      <t>i_1</t>
    </r>
    <r>
      <rPr>
        <sz val="12"/>
        <rFont val="Arial"/>
        <family val="2"/>
      </rPr>
      <t>-x</t>
    </r>
    <r>
      <rPr>
        <vertAlign val="subscript"/>
        <sz val="12"/>
        <rFont val="Arial"/>
        <family val="2"/>
      </rPr>
      <t>1</t>
    </r>
  </si>
  <si>
    <r>
      <t>S</t>
    </r>
    <r>
      <rPr>
        <b/>
        <vertAlign val="subscript"/>
        <sz val="12"/>
        <rFont val="Arial"/>
        <family val="2"/>
      </rPr>
      <t>1</t>
    </r>
    <r>
      <rPr>
        <b/>
        <vertAlign val="superscript"/>
        <sz val="12"/>
        <rFont val="Arial"/>
        <family val="2"/>
      </rPr>
      <t>2</t>
    </r>
    <r>
      <rPr>
        <b/>
        <sz val="12"/>
        <rFont val="Arial"/>
        <family val="2"/>
      </rPr>
      <t xml:space="preserve"> (sem_min)</t>
    </r>
  </si>
  <si>
    <t>Gcalc</t>
  </si>
  <si>
    <t>Dois valores máximos</t>
  </si>
  <si>
    <r>
      <t>S</t>
    </r>
    <r>
      <rPr>
        <b/>
        <vertAlign val="subscript"/>
        <sz val="12"/>
        <rFont val="Arial"/>
        <family val="2"/>
      </rPr>
      <t>1</t>
    </r>
    <r>
      <rPr>
        <b/>
        <vertAlign val="superscript"/>
        <sz val="12"/>
        <rFont val="Arial"/>
        <family val="2"/>
      </rPr>
      <t>2</t>
    </r>
    <r>
      <rPr>
        <b/>
        <sz val="12"/>
        <rFont val="Arial"/>
        <family val="2"/>
      </rPr>
      <t xml:space="preserve"> (sem_máx)</t>
    </r>
  </si>
  <si>
    <t>Modelo Linear (ANOVA)</t>
  </si>
  <si>
    <t>AVALIAÇÃO DA INDEPENDÊNCIA DOS RESÍDUOS (Durbin Watson)</t>
  </si>
  <si>
    <t xml:space="preserve">Estatística: </t>
  </si>
  <si>
    <t>AVALIAÇÃO DA NORMALIDADE DOS RESÍDUOS (Shapiro-Wilk)</t>
  </si>
  <si>
    <t>RESUMO</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</si>
</sst>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000"/>
    <numFmt numFmtId="166" formatCode="0.000"/>
    <numFmt numFmtId="167" formatCode="0.00000"/>
    <numFmt numFmtId="168" formatCode="0.0"/>
    <numFmt numFmtId="169" formatCode="0.000000"/>
    <numFmt numFmtId="170" formatCode="0.00000000000"/>
    <numFmt numFmtId="171" formatCode="0.0E+00"/>
    <numFmt numFmtId="172" formatCode="0.0000%"/>
    <numFmt numFmtId="173" formatCode="0.000000000"/>
    <numFmt numFmtId="174" formatCode="0.00000000"/>
    <numFmt numFmtId="175" formatCode="0.000%"/>
    <numFmt numFmtId="176" formatCode="0.000E+00"/>
  </numFmts>
  <fonts count="58" x14ac:knownFonts="1">
    <font>
      <sz val="10"/>
      <name val="Arial"/>
    </font>
    <font>
      <sz val="10"/>
      <name val="Arial"/>
      <family val="2"/>
    </font>
    <font>
      <b/>
      <sz val="10"/>
      <name val="Arial"/>
      <family val="2"/>
    </font>
    <font>
      <sz val="10"/>
      <name val="Arial"/>
      <family val="2"/>
    </font>
    <font>
      <b/>
      <vertAlign val="superscript"/>
      <sz val="10"/>
      <name val="Arial"/>
      <family val="2"/>
    </font>
    <font>
      <b/>
      <sz val="10"/>
      <name val="Symbol"/>
      <family val="1"/>
      <charset val="2"/>
    </font>
    <font>
      <sz val="10"/>
      <name val="Symbol"/>
      <family val="1"/>
      <charset val="2"/>
    </font>
    <font>
      <vertAlign val="subscript"/>
      <sz val="10"/>
      <name val="Arial"/>
      <family val="2"/>
    </font>
    <font>
      <sz val="10"/>
      <color indexed="57"/>
      <name val="Arial"/>
      <family val="2"/>
    </font>
    <font>
      <b/>
      <vertAlign val="subscript"/>
      <sz val="10"/>
      <name val="Arial"/>
      <family val="2"/>
    </font>
    <font>
      <b/>
      <sz val="10"/>
      <name val="Arial"/>
      <family val="2"/>
    </font>
    <font>
      <b/>
      <sz val="8"/>
      <name val="Arial"/>
      <family val="2"/>
    </font>
    <font>
      <b/>
      <vertAlign val="superscript"/>
      <sz val="8"/>
      <name val="Arial"/>
      <family val="2"/>
    </font>
    <font>
      <b/>
      <sz val="10"/>
      <color indexed="10"/>
      <name val="Arial"/>
      <family val="2"/>
    </font>
    <font>
      <b/>
      <sz val="10"/>
      <color indexed="57"/>
      <name val="Arial"/>
      <family val="2"/>
    </font>
    <font>
      <sz val="9"/>
      <name val="Arial"/>
      <family val="2"/>
    </font>
    <font>
      <sz val="8"/>
      <color indexed="81"/>
      <name val="Tahoma"/>
      <family val="2"/>
    </font>
    <font>
      <b/>
      <sz val="8"/>
      <color indexed="81"/>
      <name val="Tahoma"/>
      <family val="2"/>
    </font>
    <font>
      <sz val="12"/>
      <name val="Times New Roman"/>
      <family val="1"/>
    </font>
    <font>
      <sz val="8.0500000000000007"/>
      <color indexed="8"/>
      <name val="Arial"/>
      <family val="2"/>
    </font>
    <font>
      <b/>
      <sz val="10"/>
      <color indexed="81"/>
      <name val="Tahoma"/>
      <family val="2"/>
    </font>
    <font>
      <sz val="10"/>
      <color indexed="81"/>
      <name val="Tahoma"/>
      <family val="2"/>
    </font>
    <font>
      <sz val="10"/>
      <color rgb="FFFF0000"/>
      <name val="Arial"/>
      <family val="2"/>
    </font>
    <font>
      <b/>
      <i/>
      <sz val="11"/>
      <color theme="1"/>
      <name val="Calibri"/>
      <family val="2"/>
      <scheme val="minor"/>
    </font>
    <font>
      <sz val="10"/>
      <name val="Arial"/>
      <family val="2"/>
    </font>
    <font>
      <sz val="14"/>
      <name val="Arial"/>
      <family val="2"/>
    </font>
    <font>
      <sz val="28"/>
      <name val="Arial"/>
      <family val="2"/>
    </font>
    <font>
      <sz val="11"/>
      <color theme="1"/>
      <name val="Times New Roman"/>
      <family val="1"/>
    </font>
    <font>
      <b/>
      <sz val="28"/>
      <name val="Arial"/>
      <family val="2"/>
    </font>
    <font>
      <i/>
      <sz val="10"/>
      <name val="Arial"/>
      <family val="2"/>
    </font>
    <font>
      <b/>
      <i/>
      <sz val="10"/>
      <name val="Arial"/>
      <family val="2"/>
    </font>
    <font>
      <i/>
      <vertAlign val="subscript"/>
      <sz val="10"/>
      <name val="Arial"/>
      <family val="2"/>
    </font>
    <font>
      <sz val="11"/>
      <name val="Cambria"/>
      <family val="1"/>
      <scheme val="major"/>
    </font>
    <font>
      <i/>
      <sz val="10"/>
      <color theme="0" tint="-0.499984740745262"/>
      <name val="Arial"/>
      <family val="2"/>
    </font>
    <font>
      <b/>
      <sz val="10"/>
      <color rgb="FFFF0000"/>
      <name val="Arial"/>
      <family val="2"/>
    </font>
    <font>
      <b/>
      <sz val="11"/>
      <name val="Segoe UI Light"/>
      <family val="2"/>
    </font>
    <font>
      <sz val="11"/>
      <name val="Segoe UI Light"/>
      <family val="2"/>
    </font>
    <font>
      <sz val="10"/>
      <name val="Segoe UI Light"/>
      <family val="2"/>
    </font>
    <font>
      <b/>
      <sz val="10"/>
      <name val="Segoe UI Light"/>
      <family val="2"/>
    </font>
    <font>
      <sz val="12"/>
      <color theme="1"/>
      <name val="Arial"/>
      <family val="2"/>
    </font>
    <font>
      <b/>
      <sz val="12"/>
      <color theme="1"/>
      <name val="Arial"/>
      <family val="2"/>
    </font>
    <font>
      <b/>
      <sz val="12"/>
      <name val="Arial"/>
      <family val="2"/>
    </font>
    <font>
      <b/>
      <vertAlign val="subscript"/>
      <sz val="12"/>
      <color theme="1"/>
      <name val="Arial"/>
      <family val="2"/>
    </font>
    <font>
      <sz val="12"/>
      <name val="Arial"/>
      <family val="2"/>
    </font>
    <font>
      <vertAlign val="superscript"/>
      <sz val="12"/>
      <color theme="1"/>
      <name val="Arial"/>
      <family val="2"/>
    </font>
    <font>
      <b/>
      <vertAlign val="superscript"/>
      <sz val="12"/>
      <name val="Arial"/>
      <family val="2"/>
    </font>
    <font>
      <b/>
      <vertAlign val="subscript"/>
      <sz val="12"/>
      <name val="Arial"/>
      <family val="2"/>
    </font>
    <font>
      <sz val="12"/>
      <name val="Symbol"/>
      <family val="1"/>
      <charset val="2"/>
    </font>
    <font>
      <b/>
      <sz val="12"/>
      <name val="Symbol"/>
      <family val="1"/>
      <charset val="2"/>
    </font>
    <font>
      <b/>
      <sz val="12"/>
      <name val="Wingdings 3"/>
      <family val="1"/>
      <charset val="2"/>
    </font>
    <font>
      <vertAlign val="subscript"/>
      <sz val="12"/>
      <color theme="1"/>
      <name val="Arial"/>
      <family val="2"/>
    </font>
    <font>
      <sz val="12"/>
      <color theme="1"/>
      <name val="Calibri"/>
      <family val="2"/>
    </font>
    <font>
      <sz val="13.2"/>
      <color theme="1"/>
      <name val="Arial"/>
      <family val="2"/>
    </font>
    <font>
      <vertAlign val="subscript"/>
      <sz val="13.2"/>
      <color theme="1"/>
      <name val="Arial"/>
      <family val="2"/>
    </font>
    <font>
      <sz val="10"/>
      <color indexed="8"/>
      <name val="Arial"/>
      <family val="2"/>
    </font>
    <font>
      <i/>
      <sz val="12"/>
      <color theme="1"/>
      <name val="Arial"/>
      <family val="2"/>
    </font>
    <font>
      <b/>
      <i/>
      <sz val="12"/>
      <color theme="1"/>
      <name val="Arial"/>
      <family val="2"/>
    </font>
    <font>
      <vertAlign val="subscript"/>
      <sz val="12"/>
      <name val="Arial"/>
      <family val="2"/>
    </font>
  </fonts>
  <fills count="11">
    <fill>
      <patternFill patternType="none"/>
    </fill>
    <fill>
      <patternFill patternType="gray125"/>
    </fill>
    <fill>
      <patternFill patternType="solid">
        <fgColor theme="0" tint="-0.14999847407452621"/>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s>
  <cellStyleXfs count="5">
    <xf numFmtId="0" fontId="0" fillId="0" borderId="0"/>
    <xf numFmtId="164" fontId="24" fillId="0" borderId="0" applyFont="0" applyFill="0" applyBorder="0" applyAlignment="0" applyProtection="0"/>
    <xf numFmtId="0" fontId="1" fillId="0" borderId="0"/>
    <xf numFmtId="0" fontId="1" fillId="0" borderId="0"/>
    <xf numFmtId="164" fontId="1" fillId="0" borderId="0" applyFont="0" applyFill="0" applyBorder="0" applyAlignment="0" applyProtection="0"/>
  </cellStyleXfs>
  <cellXfs count="654">
    <xf numFmtId="0" fontId="0" fillId="0" borderId="0" xfId="0"/>
    <xf numFmtId="0" fontId="0" fillId="0" borderId="0" xfId="0" applyFill="1" applyProtection="1">
      <protection locked="0"/>
    </xf>
    <xf numFmtId="0" fontId="1" fillId="0" borderId="0" xfId="0" applyFont="1" applyFill="1" applyAlignment="1" applyProtection="1">
      <alignment horizontal="center"/>
      <protection locked="0"/>
    </xf>
    <xf numFmtId="0" fontId="25" fillId="0" borderId="0" xfId="0" applyFont="1"/>
    <xf numFmtId="0" fontId="1" fillId="0" borderId="0" xfId="0" applyFont="1"/>
    <xf numFmtId="167" fontId="0" fillId="0" borderId="0" xfId="0" applyNumberFormat="1" applyFill="1" applyAlignment="1" applyProtection="1">
      <alignment horizontal="center"/>
      <protection locked="0"/>
    </xf>
    <xf numFmtId="0" fontId="0" fillId="2" borderId="0" xfId="0" applyFill="1" applyProtection="1"/>
    <xf numFmtId="0" fontId="26" fillId="2" borderId="0" xfId="0" applyFont="1" applyFill="1" applyAlignment="1" applyProtection="1">
      <alignment vertical="center"/>
    </xf>
    <xf numFmtId="0" fontId="2" fillId="2" borderId="0" xfId="0" applyFont="1" applyFill="1" applyAlignment="1" applyProtection="1">
      <alignment horizontal="center"/>
    </xf>
    <xf numFmtId="0" fontId="2" fillId="2" borderId="0" xfId="0" applyFont="1" applyFill="1" applyAlignment="1" applyProtection="1">
      <alignment horizontal="right"/>
    </xf>
    <xf numFmtId="0" fontId="0" fillId="2" borderId="0" xfId="0" applyFill="1" applyAlignment="1" applyProtection="1"/>
    <xf numFmtId="0" fontId="13" fillId="2" borderId="0" xfId="0" applyFont="1" applyFill="1" applyBorder="1" applyAlignment="1" applyProtection="1"/>
    <xf numFmtId="2" fontId="0" fillId="2" borderId="0" xfId="0" applyNumberFormat="1" applyFill="1" applyAlignment="1" applyProtection="1"/>
    <xf numFmtId="0" fontId="13" fillId="2" borderId="0" xfId="0" applyFont="1" applyFill="1" applyBorder="1" applyAlignment="1" applyProtection="1">
      <alignment horizontal="center"/>
    </xf>
    <xf numFmtId="0" fontId="0" fillId="2" borderId="0" xfId="0" applyFill="1" applyBorder="1" applyAlignment="1" applyProtection="1"/>
    <xf numFmtId="0" fontId="0" fillId="2" borderId="0" xfId="0" applyFill="1" applyBorder="1" applyProtection="1"/>
    <xf numFmtId="0" fontId="3" fillId="2" borderId="0" xfId="0" applyFont="1" applyFill="1" applyBorder="1" applyAlignment="1" applyProtection="1"/>
    <xf numFmtId="0" fontId="0" fillId="2" borderId="0" xfId="0" applyFill="1" applyBorder="1" applyAlignment="1" applyProtection="1">
      <alignment horizontal="center"/>
    </xf>
    <xf numFmtId="2" fontId="3" fillId="2" borderId="0" xfId="0" applyNumberFormat="1" applyFont="1" applyFill="1" applyBorder="1" applyAlignment="1" applyProtection="1"/>
    <xf numFmtId="0" fontId="0" fillId="2" borderId="0" xfId="0" applyFill="1" applyAlignment="1" applyProtection="1">
      <alignment horizontal="center"/>
    </xf>
    <xf numFmtId="14" fontId="0" fillId="2" borderId="0" xfId="0" applyNumberFormat="1" applyFill="1" applyAlignment="1" applyProtection="1">
      <alignment horizontal="center"/>
    </xf>
    <xf numFmtId="166" fontId="0" fillId="2" borderId="0" xfId="0" applyNumberFormat="1" applyFill="1" applyAlignment="1" applyProtection="1"/>
    <xf numFmtId="14" fontId="3" fillId="2" borderId="0" xfId="0" applyNumberFormat="1" applyFont="1" applyFill="1" applyAlignment="1" applyProtection="1">
      <alignment horizontal="center"/>
    </xf>
    <xf numFmtId="2" fontId="0" fillId="2" borderId="0" xfId="0" applyNumberFormat="1" applyFill="1" applyAlignment="1" applyProtection="1">
      <alignment horizontal="center"/>
    </xf>
    <xf numFmtId="1" fontId="3" fillId="2" borderId="0" xfId="0" applyNumberFormat="1" applyFont="1" applyFill="1" applyAlignment="1" applyProtection="1">
      <alignment horizontal="center"/>
    </xf>
    <xf numFmtId="0" fontId="3" fillId="2" borderId="10" xfId="0" applyFont="1" applyFill="1" applyBorder="1" applyProtection="1"/>
    <xf numFmtId="0" fontId="0" fillId="2" borderId="10" xfId="0" applyFill="1" applyBorder="1" applyProtection="1"/>
    <xf numFmtId="0" fontId="3" fillId="2" borderId="0" xfId="0" applyFont="1" applyFill="1" applyProtection="1"/>
    <xf numFmtId="168" fontId="0" fillId="2" borderId="0" xfId="0" applyNumberFormat="1" applyFill="1" applyAlignment="1" applyProtection="1">
      <alignment horizontal="center"/>
    </xf>
    <xf numFmtId="0" fontId="3" fillId="2" borderId="1" xfId="0" applyFont="1" applyFill="1" applyBorder="1" applyProtection="1"/>
    <xf numFmtId="0" fontId="0" fillId="2" borderId="1" xfId="0" applyFill="1" applyBorder="1" applyProtection="1"/>
    <xf numFmtId="167" fontId="0" fillId="2" borderId="1" xfId="0" applyNumberFormat="1" applyFill="1" applyBorder="1" applyAlignment="1" applyProtection="1">
      <alignment horizontal="center"/>
    </xf>
    <xf numFmtId="0" fontId="3" fillId="2" borderId="0" xfId="0" applyFont="1" applyFill="1" applyBorder="1" applyAlignment="1" applyProtection="1">
      <alignment horizontal="center"/>
    </xf>
    <xf numFmtId="0" fontId="3" fillId="2" borderId="1" xfId="0" applyFont="1" applyFill="1" applyBorder="1" applyAlignment="1" applyProtection="1">
      <alignment horizontal="left"/>
    </xf>
    <xf numFmtId="0" fontId="3" fillId="2" borderId="0" xfId="0" applyFont="1" applyFill="1" applyAlignment="1" applyProtection="1">
      <alignment horizontal="left"/>
    </xf>
    <xf numFmtId="0" fontId="0" fillId="2" borderId="0" xfId="0" applyFill="1" applyBorder="1" applyAlignment="1" applyProtection="1">
      <alignment horizontal="left"/>
    </xf>
    <xf numFmtId="167" fontId="3" fillId="2" borderId="0" xfId="0" applyNumberFormat="1" applyFont="1" applyFill="1" applyBorder="1" applyAlignment="1" applyProtection="1">
      <alignment horizontal="center"/>
    </xf>
    <xf numFmtId="167" fontId="0" fillId="2" borderId="0" xfId="0" applyNumberFormat="1" applyFill="1" applyBorder="1" applyAlignment="1" applyProtection="1">
      <alignment horizontal="center"/>
    </xf>
    <xf numFmtId="167" fontId="0" fillId="2" borderId="0" xfId="0" applyNumberFormat="1" applyFill="1" applyBorder="1" applyAlignment="1" applyProtection="1">
      <alignment horizontal="center"/>
      <protection locked="0"/>
    </xf>
    <xf numFmtId="0" fontId="15" fillId="2" borderId="0" xfId="0" applyFont="1" applyFill="1" applyBorder="1" applyAlignment="1" applyProtection="1"/>
    <xf numFmtId="2" fontId="0" fillId="2" borderId="0" xfId="0" applyNumberFormat="1" applyFill="1" applyBorder="1" applyAlignment="1" applyProtection="1">
      <alignment horizontal="center"/>
    </xf>
    <xf numFmtId="168" fontId="0" fillId="2" borderId="0" xfId="0" applyNumberFormat="1" applyFill="1" applyBorder="1" applyAlignment="1" applyProtection="1">
      <alignment horizontal="center"/>
    </xf>
    <xf numFmtId="0" fontId="15" fillId="2" borderId="0" xfId="0" applyFont="1" applyFill="1" applyBorder="1" applyProtection="1"/>
    <xf numFmtId="2" fontId="0" fillId="2" borderId="0" xfId="0" applyNumberFormat="1" applyFill="1" applyProtection="1"/>
    <xf numFmtId="166" fontId="0" fillId="2" borderId="0" xfId="0" applyNumberFormat="1" applyFill="1" applyBorder="1" applyAlignment="1" applyProtection="1"/>
    <xf numFmtId="4" fontId="0" fillId="2" borderId="0" xfId="0" applyNumberFormat="1" applyFill="1" applyBorder="1" applyAlignment="1" applyProtection="1"/>
    <xf numFmtId="2" fontId="2" fillId="2" borderId="0" xfId="0" applyNumberFormat="1" applyFont="1" applyFill="1" applyBorder="1" applyAlignment="1" applyProtection="1">
      <alignment horizontal="center"/>
    </xf>
    <xf numFmtId="4" fontId="0" fillId="2" borderId="0" xfId="0" applyNumberFormat="1" applyFill="1" applyBorder="1" applyProtection="1"/>
    <xf numFmtId="4" fontId="3" fillId="2" borderId="0" xfId="0" applyNumberFormat="1" applyFont="1" applyFill="1" applyBorder="1" applyAlignment="1" applyProtection="1"/>
    <xf numFmtId="4" fontId="3" fillId="2" borderId="0" xfId="0" applyNumberFormat="1" applyFont="1" applyFill="1" applyBorder="1" applyProtection="1"/>
    <xf numFmtId="0" fontId="3" fillId="2" borderId="0" xfId="0" applyFont="1" applyFill="1" applyBorder="1" applyAlignment="1" applyProtection="1">
      <alignment horizontal="left"/>
    </xf>
    <xf numFmtId="167" fontId="18" fillId="2" borderId="0" xfId="0" applyNumberFormat="1" applyFont="1" applyFill="1" applyBorder="1" applyAlignment="1" applyProtection="1">
      <alignment horizontal="center"/>
    </xf>
    <xf numFmtId="168" fontId="3" fillId="2" borderId="0" xfId="0" applyNumberFormat="1" applyFont="1" applyFill="1" applyBorder="1" applyAlignment="1" applyProtection="1"/>
    <xf numFmtId="0" fontId="2" fillId="2" borderId="0" xfId="0" applyFont="1" applyFill="1" applyBorder="1" applyAlignment="1" applyProtection="1">
      <alignment horizontal="center"/>
    </xf>
    <xf numFmtId="2" fontId="0" fillId="2" borderId="0" xfId="0" applyNumberFormat="1" applyFill="1" applyBorder="1" applyAlignment="1" applyProtection="1">
      <alignment horizontal="right"/>
    </xf>
    <xf numFmtId="2" fontId="0" fillId="2" borderId="0" xfId="0" applyNumberFormat="1" applyFill="1" applyBorder="1" applyProtection="1"/>
    <xf numFmtId="0" fontId="2" fillId="2" borderId="0" xfId="0" applyFont="1" applyFill="1" applyBorder="1" applyAlignment="1" applyProtection="1"/>
    <xf numFmtId="2" fontId="2" fillId="2" borderId="0" xfId="0" applyNumberFormat="1" applyFont="1" applyFill="1" applyAlignment="1" applyProtection="1">
      <alignment horizontal="center"/>
    </xf>
    <xf numFmtId="2" fontId="0" fillId="2" borderId="10" xfId="0" applyNumberFormat="1" applyFill="1" applyBorder="1" applyProtection="1"/>
    <xf numFmtId="165" fontId="2" fillId="2" borderId="0" xfId="0" applyNumberFormat="1" applyFont="1" applyFill="1" applyBorder="1" applyAlignment="1" applyProtection="1">
      <alignment horizontal="center"/>
    </xf>
    <xf numFmtId="2" fontId="13" fillId="2" borderId="0" xfId="0" applyNumberFormat="1" applyFont="1" applyFill="1" applyBorder="1" applyAlignment="1" applyProtection="1">
      <alignment horizontal="center"/>
    </xf>
    <xf numFmtId="0" fontId="2" fillId="2" borderId="0" xfId="0" applyFont="1" applyFill="1" applyBorder="1" applyProtection="1"/>
    <xf numFmtId="2" fontId="0" fillId="2" borderId="0" xfId="0" applyNumberFormat="1" applyFill="1" applyBorder="1" applyAlignment="1" applyProtection="1"/>
    <xf numFmtId="4" fontId="2" fillId="2" borderId="0" xfId="0" applyNumberFormat="1" applyFont="1" applyFill="1" applyAlignment="1" applyProtection="1">
      <alignment horizontal="center"/>
    </xf>
    <xf numFmtId="4" fontId="2" fillId="2" borderId="0" xfId="0" applyNumberFormat="1" applyFont="1" applyFill="1" applyBorder="1" applyAlignment="1" applyProtection="1">
      <alignment horizontal="center"/>
    </xf>
    <xf numFmtId="4" fontId="0" fillId="2" borderId="0" xfId="0" applyNumberFormat="1" applyFill="1" applyBorder="1" applyAlignment="1" applyProtection="1">
      <alignment horizontal="center"/>
    </xf>
    <xf numFmtId="168" fontId="2" fillId="2" borderId="0" xfId="0" applyNumberFormat="1" applyFont="1" applyFill="1" applyBorder="1" applyAlignment="1" applyProtection="1">
      <alignment horizontal="center"/>
    </xf>
    <xf numFmtId="0" fontId="0" fillId="2" borderId="10" xfId="0" applyFill="1" applyBorder="1" applyAlignment="1" applyProtection="1">
      <alignment horizontal="center"/>
    </xf>
    <xf numFmtId="0" fontId="0" fillId="2" borderId="1" xfId="0" applyFill="1" applyBorder="1" applyAlignment="1" applyProtection="1">
      <alignment horizontal="left"/>
    </xf>
    <xf numFmtId="0" fontId="2" fillId="2" borderId="0" xfId="0" applyFont="1" applyFill="1" applyBorder="1" applyAlignment="1" applyProtection="1">
      <alignment horizontal="right"/>
    </xf>
    <xf numFmtId="165" fontId="2" fillId="2" borderId="0" xfId="0" applyNumberFormat="1" applyFont="1" applyFill="1" applyBorder="1" applyProtection="1"/>
    <xf numFmtId="0" fontId="0" fillId="2" borderId="0" xfId="0" applyFont="1" applyFill="1" applyProtection="1"/>
    <xf numFmtId="0" fontId="0" fillId="2" borderId="0" xfId="0" applyFont="1" applyFill="1" applyBorder="1" applyAlignment="1" applyProtection="1"/>
    <xf numFmtId="2" fontId="0" fillId="2" borderId="0" xfId="0" applyNumberFormat="1" applyFill="1" applyAlignment="1" applyProtection="1">
      <alignment horizontal="right"/>
    </xf>
    <xf numFmtId="166" fontId="2" fillId="2" borderId="0" xfId="0" applyNumberFormat="1" applyFont="1" applyFill="1" applyBorder="1" applyAlignment="1" applyProtection="1">
      <alignment horizontal="center"/>
    </xf>
    <xf numFmtId="0" fontId="0" fillId="2" borderId="0" xfId="0" applyFill="1"/>
    <xf numFmtId="0" fontId="0" fillId="2" borderId="0" xfId="0" applyFill="1" applyBorder="1" applyAlignment="1" applyProtection="1">
      <protection locked="0"/>
    </xf>
    <xf numFmtId="21" fontId="0" fillId="2" borderId="0" xfId="0" applyNumberFormat="1" applyFill="1"/>
    <xf numFmtId="0" fontId="15" fillId="2" borderId="0" xfId="0" applyFont="1" applyFill="1" applyProtection="1"/>
    <xf numFmtId="0" fontId="0" fillId="2" borderId="0" xfId="0" applyFill="1" applyAlignment="1" applyProtection="1">
      <alignment horizontal="left"/>
    </xf>
    <xf numFmtId="167" fontId="0" fillId="0" borderId="10" xfId="0" applyNumberFormat="1" applyFill="1" applyBorder="1" applyAlignment="1" applyProtection="1">
      <alignment horizontal="center"/>
      <protection locked="0"/>
    </xf>
    <xf numFmtId="167" fontId="0" fillId="0" borderId="1" xfId="0" applyNumberFormat="1" applyFill="1" applyBorder="1" applyAlignment="1" applyProtection="1">
      <alignment horizontal="center"/>
      <protection locked="0"/>
    </xf>
    <xf numFmtId="167" fontId="1" fillId="0" borderId="0" xfId="0" applyNumberFormat="1" applyFont="1" applyFill="1" applyAlignment="1" applyProtection="1">
      <alignment horizontal="center"/>
      <protection locked="0"/>
    </xf>
    <xf numFmtId="167" fontId="1" fillId="0" borderId="0" xfId="1" applyNumberFormat="1" applyFont="1" applyFill="1" applyAlignment="1" applyProtection="1">
      <alignment horizontal="center"/>
      <protection locked="0"/>
    </xf>
    <xf numFmtId="0" fontId="26" fillId="2" borderId="0" xfId="0" applyFont="1" applyFill="1" applyProtection="1"/>
    <xf numFmtId="0" fontId="2" fillId="3" borderId="21" xfId="0" applyFont="1" applyFill="1" applyBorder="1" applyAlignment="1">
      <alignment horizontal="left"/>
    </xf>
    <xf numFmtId="0" fontId="2" fillId="3" borderId="21" xfId="0" applyFont="1" applyFill="1" applyBorder="1" applyAlignment="1">
      <alignment horizontal="center"/>
    </xf>
    <xf numFmtId="0" fontId="0" fillId="3" borderId="0" xfId="0" applyFill="1" applyProtection="1"/>
    <xf numFmtId="0" fontId="2" fillId="3" borderId="0" xfId="0" applyFont="1" applyFill="1" applyAlignment="1" applyProtection="1">
      <alignment horizontal="right"/>
    </xf>
    <xf numFmtId="0" fontId="0" fillId="3" borderId="0" xfId="0" applyFill="1" applyAlignment="1" applyProtection="1"/>
    <xf numFmtId="0" fontId="23" fillId="3" borderId="11" xfId="0" applyFont="1" applyFill="1" applyBorder="1" applyAlignment="1">
      <alignment horizontal="right"/>
    </xf>
    <xf numFmtId="0" fontId="0" fillId="3" borderId="0" xfId="0" applyFill="1" applyBorder="1"/>
    <xf numFmtId="0" fontId="0" fillId="3" borderId="0" xfId="0" applyFill="1"/>
    <xf numFmtId="0" fontId="0" fillId="3" borderId="0" xfId="0" applyFill="1" applyBorder="1" applyAlignment="1" applyProtection="1">
      <alignment horizontal="center"/>
    </xf>
    <xf numFmtId="169" fontId="0" fillId="3" borderId="0" xfId="0" applyNumberFormat="1" applyFill="1" applyBorder="1" applyAlignment="1" applyProtection="1">
      <alignment horizontal="center"/>
    </xf>
    <xf numFmtId="167" fontId="0" fillId="3" borderId="0" xfId="0" applyNumberFormat="1" applyFill="1" applyBorder="1" applyAlignment="1" applyProtection="1">
      <alignment horizontal="center"/>
    </xf>
    <xf numFmtId="174" fontId="0" fillId="3" borderId="0" xfId="0" applyNumberFormat="1" applyFill="1" applyProtection="1"/>
    <xf numFmtId="0" fontId="2" fillId="3" borderId="0" xfId="0" applyFont="1" applyFill="1" applyAlignment="1" applyProtection="1">
      <alignment horizontal="center"/>
    </xf>
    <xf numFmtId="0" fontId="0" fillId="3" borderId="0" xfId="0" applyFill="1" applyBorder="1" applyProtection="1"/>
    <xf numFmtId="0" fontId="13" fillId="3" borderId="0" xfId="0" applyFont="1" applyFill="1" applyBorder="1" applyAlignment="1" applyProtection="1"/>
    <xf numFmtId="2" fontId="0" fillId="3" borderId="0" xfId="0" applyNumberFormat="1" applyFill="1" applyAlignment="1" applyProtection="1"/>
    <xf numFmtId="0" fontId="0" fillId="3" borderId="0" xfId="0" applyFill="1" applyBorder="1" applyAlignment="1" applyProtection="1"/>
    <xf numFmtId="0" fontId="1" fillId="3" borderId="0" xfId="0" applyFont="1" applyFill="1" applyBorder="1" applyAlignment="1" applyProtection="1"/>
    <xf numFmtId="2" fontId="1" fillId="3" borderId="0" xfId="0" applyNumberFormat="1" applyFont="1" applyFill="1" applyBorder="1" applyAlignment="1" applyProtection="1"/>
    <xf numFmtId="0" fontId="0" fillId="3" borderId="0" xfId="0" applyFill="1" applyAlignment="1" applyProtection="1">
      <alignment horizontal="center"/>
    </xf>
    <xf numFmtId="14" fontId="0" fillId="3" borderId="0" xfId="0" applyNumberFormat="1" applyFill="1" applyAlignment="1" applyProtection="1">
      <alignment horizontal="center"/>
    </xf>
    <xf numFmtId="166" fontId="0" fillId="3" borderId="0" xfId="0" applyNumberFormat="1" applyFill="1" applyAlignment="1" applyProtection="1"/>
    <xf numFmtId="14" fontId="1" fillId="3" borderId="0" xfId="0" applyNumberFormat="1" applyFont="1" applyFill="1" applyAlignment="1" applyProtection="1">
      <alignment horizontal="center"/>
    </xf>
    <xf numFmtId="1" fontId="1" fillId="3" borderId="0" xfId="0" applyNumberFormat="1" applyFont="1" applyFill="1" applyAlignment="1" applyProtection="1">
      <alignment horizontal="center"/>
    </xf>
    <xf numFmtId="2" fontId="0" fillId="3" borderId="0" xfId="0" applyNumberFormat="1" applyFill="1" applyAlignment="1" applyProtection="1">
      <alignment horizontal="center"/>
    </xf>
    <xf numFmtId="0" fontId="1" fillId="3" borderId="1" xfId="0" applyFont="1" applyFill="1" applyBorder="1" applyProtection="1"/>
    <xf numFmtId="167" fontId="0" fillId="3" borderId="1" xfId="0" applyNumberFormat="1" applyFill="1" applyBorder="1" applyProtection="1"/>
    <xf numFmtId="169" fontId="0" fillId="3" borderId="1" xfId="0" applyNumberFormat="1" applyFill="1" applyBorder="1" applyProtection="1"/>
    <xf numFmtId="0" fontId="0" fillId="3" borderId="1" xfId="0" applyFill="1" applyBorder="1" applyProtection="1"/>
    <xf numFmtId="0" fontId="1" fillId="3" borderId="1" xfId="0" applyFont="1" applyFill="1" applyBorder="1" applyAlignment="1" applyProtection="1">
      <alignment horizontal="center"/>
    </xf>
    <xf numFmtId="0" fontId="1" fillId="3" borderId="0" xfId="0" applyFont="1" applyFill="1" applyBorder="1" applyProtection="1"/>
    <xf numFmtId="167" fontId="0" fillId="3" borderId="0" xfId="0" applyNumberFormat="1" applyFill="1" applyBorder="1" applyProtection="1"/>
    <xf numFmtId="169" fontId="0" fillId="3" borderId="0" xfId="0" applyNumberFormat="1" applyFill="1" applyBorder="1" applyProtection="1"/>
    <xf numFmtId="168" fontId="0" fillId="3" borderId="0" xfId="0" applyNumberFormat="1" applyFill="1" applyBorder="1" applyAlignment="1" applyProtection="1">
      <alignment horizontal="center"/>
    </xf>
    <xf numFmtId="167" fontId="0" fillId="3" borderId="1" xfId="0" applyNumberFormat="1" applyFill="1" applyBorder="1" applyAlignment="1" applyProtection="1">
      <alignment horizontal="center"/>
    </xf>
    <xf numFmtId="2" fontId="0" fillId="3" borderId="0" xfId="0" applyNumberFormat="1" applyFill="1" applyBorder="1" applyAlignment="1" applyProtection="1">
      <alignment horizontal="center"/>
    </xf>
    <xf numFmtId="0" fontId="1" fillId="3" borderId="0" xfId="0" applyFont="1" applyFill="1" applyBorder="1" applyAlignment="1" applyProtection="1">
      <alignment horizontal="center"/>
    </xf>
    <xf numFmtId="0" fontId="1" fillId="3" borderId="1" xfId="0" applyFont="1" applyFill="1" applyBorder="1" applyAlignment="1" applyProtection="1">
      <alignment horizontal="left"/>
    </xf>
    <xf numFmtId="0" fontId="1" fillId="3" borderId="0" xfId="0" applyFont="1" applyFill="1" applyBorder="1" applyAlignment="1" applyProtection="1">
      <alignment horizontal="left"/>
    </xf>
    <xf numFmtId="0" fontId="0" fillId="3" borderId="0" xfId="0" applyFill="1" applyBorder="1" applyAlignment="1" applyProtection="1">
      <alignment horizontal="left"/>
    </xf>
    <xf numFmtId="167" fontId="1" fillId="3" borderId="0" xfId="0" applyNumberFormat="1" applyFont="1" applyFill="1" applyBorder="1" applyAlignment="1" applyProtection="1">
      <alignment horizontal="center"/>
    </xf>
    <xf numFmtId="14" fontId="1" fillId="3" borderId="0" xfId="0" applyNumberFormat="1" applyFont="1" applyFill="1" applyBorder="1" applyAlignment="1" applyProtection="1">
      <alignment horizontal="center"/>
    </xf>
    <xf numFmtId="1" fontId="1" fillId="3" borderId="0" xfId="0" applyNumberFormat="1" applyFont="1" applyFill="1" applyBorder="1" applyAlignment="1" applyProtection="1">
      <alignment horizontal="center"/>
    </xf>
    <xf numFmtId="0" fontId="15" fillId="3" borderId="0" xfId="0" applyFont="1" applyFill="1" applyBorder="1" applyAlignment="1" applyProtection="1"/>
    <xf numFmtId="0" fontId="15" fillId="3" borderId="0" xfId="0" applyFont="1" applyFill="1" applyBorder="1" applyProtection="1"/>
    <xf numFmtId="0" fontId="1" fillId="3" borderId="10" xfId="0" applyFont="1" applyFill="1" applyBorder="1" applyProtection="1"/>
    <xf numFmtId="0" fontId="0" fillId="3" borderId="10" xfId="0" applyFill="1" applyBorder="1" applyProtection="1"/>
    <xf numFmtId="0" fontId="1" fillId="3" borderId="10" xfId="0" applyFont="1" applyFill="1" applyBorder="1" applyAlignment="1" applyProtection="1">
      <alignment horizontal="center"/>
    </xf>
    <xf numFmtId="166" fontId="0" fillId="3" borderId="0" xfId="0" applyNumberFormat="1" applyFill="1" applyBorder="1" applyAlignment="1" applyProtection="1"/>
    <xf numFmtId="4" fontId="0" fillId="3" borderId="0" xfId="0" applyNumberFormat="1" applyFill="1" applyBorder="1" applyAlignment="1" applyProtection="1"/>
    <xf numFmtId="2" fontId="2" fillId="3" borderId="0" xfId="0" applyNumberFormat="1" applyFont="1" applyFill="1" applyBorder="1" applyAlignment="1" applyProtection="1">
      <alignment horizontal="center"/>
    </xf>
    <xf numFmtId="4" fontId="0" fillId="3" borderId="0" xfId="0" applyNumberFormat="1" applyFill="1" applyBorder="1" applyProtection="1"/>
    <xf numFmtId="4" fontId="1" fillId="3" borderId="0" xfId="0" applyNumberFormat="1" applyFont="1" applyFill="1" applyBorder="1" applyAlignment="1" applyProtection="1"/>
    <xf numFmtId="4" fontId="1" fillId="3" borderId="0" xfId="0" applyNumberFormat="1" applyFont="1" applyFill="1" applyBorder="1" applyProtection="1"/>
    <xf numFmtId="2" fontId="0" fillId="3" borderId="0" xfId="0" applyNumberFormat="1" applyFill="1" applyBorder="1" applyProtection="1"/>
    <xf numFmtId="168" fontId="1" fillId="3" borderId="0" xfId="0" applyNumberFormat="1" applyFont="1" applyFill="1" applyBorder="1" applyAlignment="1" applyProtection="1"/>
    <xf numFmtId="0" fontId="2" fillId="3" borderId="0" xfId="0" applyFont="1" applyFill="1" applyBorder="1" applyAlignment="1" applyProtection="1">
      <alignment horizontal="center"/>
    </xf>
    <xf numFmtId="2" fontId="0" fillId="3" borderId="0" xfId="0" applyNumberFormat="1" applyFill="1" applyBorder="1" applyAlignment="1" applyProtection="1">
      <alignment horizontal="right"/>
    </xf>
    <xf numFmtId="2" fontId="0" fillId="3" borderId="0" xfId="0" applyNumberFormat="1" applyFill="1" applyProtection="1"/>
    <xf numFmtId="2" fontId="22" fillId="3" borderId="0" xfId="0" applyNumberFormat="1" applyFont="1" applyFill="1" applyBorder="1" applyProtection="1"/>
    <xf numFmtId="0" fontId="2" fillId="3" borderId="0" xfId="0" applyFont="1" applyFill="1" applyBorder="1" applyAlignment="1" applyProtection="1"/>
    <xf numFmtId="2" fontId="2" fillId="3" borderId="0" xfId="0" applyNumberFormat="1" applyFont="1" applyFill="1" applyAlignment="1" applyProtection="1">
      <alignment horizontal="center"/>
    </xf>
    <xf numFmtId="2" fontId="0" fillId="3" borderId="10" xfId="0" applyNumberFormat="1" applyFill="1" applyBorder="1" applyProtection="1"/>
    <xf numFmtId="165" fontId="2" fillId="3" borderId="0" xfId="0" applyNumberFormat="1" applyFont="1" applyFill="1" applyBorder="1" applyAlignment="1" applyProtection="1">
      <alignment horizontal="center"/>
    </xf>
    <xf numFmtId="2" fontId="13" fillId="3" borderId="0" xfId="0" applyNumberFormat="1" applyFont="1" applyFill="1" applyBorder="1" applyAlignment="1" applyProtection="1">
      <alignment horizontal="center"/>
    </xf>
    <xf numFmtId="0" fontId="2" fillId="3" borderId="0" xfId="0" applyFont="1" applyFill="1" applyBorder="1" applyProtection="1"/>
    <xf numFmtId="2" fontId="0" fillId="3" borderId="0" xfId="0" applyNumberFormat="1" applyFill="1" applyBorder="1" applyAlignment="1" applyProtection="1"/>
    <xf numFmtId="4" fontId="2" fillId="3" borderId="0" xfId="0" applyNumberFormat="1" applyFont="1" applyFill="1" applyAlignment="1" applyProtection="1">
      <alignment horizontal="center"/>
    </xf>
    <xf numFmtId="4" fontId="2" fillId="3" borderId="0" xfId="0" applyNumberFormat="1" applyFont="1" applyFill="1" applyBorder="1" applyAlignment="1" applyProtection="1">
      <alignment horizontal="center"/>
    </xf>
    <xf numFmtId="4" fontId="0" fillId="3" borderId="0" xfId="0" applyNumberFormat="1" applyFill="1" applyBorder="1" applyAlignment="1" applyProtection="1">
      <alignment horizontal="center"/>
    </xf>
    <xf numFmtId="168" fontId="2" fillId="3" borderId="0" xfId="0" applyNumberFormat="1" applyFont="1" applyFill="1" applyBorder="1" applyAlignment="1" applyProtection="1">
      <alignment horizontal="center"/>
    </xf>
    <xf numFmtId="0" fontId="0" fillId="3" borderId="10" xfId="0" applyFill="1" applyBorder="1" applyAlignment="1" applyProtection="1">
      <alignment horizontal="center"/>
    </xf>
    <xf numFmtId="165" fontId="2" fillId="3" borderId="0" xfId="0" applyNumberFormat="1" applyFont="1" applyFill="1" applyBorder="1" applyProtection="1"/>
    <xf numFmtId="0" fontId="0" fillId="3" borderId="0" xfId="0" applyFont="1" applyFill="1" applyProtection="1"/>
    <xf numFmtId="0" fontId="0" fillId="3" borderId="0" xfId="0" applyFont="1" applyFill="1" applyBorder="1" applyAlignment="1" applyProtection="1"/>
    <xf numFmtId="2" fontId="0" fillId="3" borderId="0" xfId="0" applyNumberFormat="1" applyFill="1" applyAlignment="1" applyProtection="1">
      <alignment horizontal="right"/>
    </xf>
    <xf numFmtId="0" fontId="2" fillId="3" borderId="0" xfId="0" applyFont="1" applyFill="1" applyBorder="1" applyAlignment="1" applyProtection="1">
      <alignment horizontal="right"/>
    </xf>
    <xf numFmtId="166" fontId="2" fillId="3" borderId="0" xfId="0" applyNumberFormat="1" applyFont="1" applyFill="1" applyBorder="1" applyAlignment="1" applyProtection="1">
      <alignment horizontal="center"/>
    </xf>
    <xf numFmtId="0" fontId="15" fillId="3" borderId="0" xfId="0" applyFont="1" applyFill="1" applyProtection="1"/>
    <xf numFmtId="0" fontId="0" fillId="3" borderId="0" xfId="0" applyFill="1" applyAlignment="1" applyProtection="1">
      <alignment horizontal="left"/>
    </xf>
    <xf numFmtId="0" fontId="1" fillId="3" borderId="0" xfId="0" applyFont="1" applyFill="1" applyProtection="1"/>
    <xf numFmtId="0" fontId="1" fillId="3" borderId="0" xfId="0" applyFont="1" applyFill="1" applyAlignment="1" applyProtection="1">
      <alignment horizontal="left"/>
    </xf>
    <xf numFmtId="0" fontId="2" fillId="3" borderId="1" xfId="0" applyFont="1" applyFill="1" applyBorder="1" applyAlignment="1" applyProtection="1">
      <alignment horizontal="center"/>
    </xf>
    <xf numFmtId="0" fontId="3" fillId="3" borderId="1" xfId="0" applyFont="1" applyFill="1" applyBorder="1" applyAlignment="1" applyProtection="1">
      <alignment horizontal="center"/>
    </xf>
    <xf numFmtId="2" fontId="0" fillId="3" borderId="0" xfId="0" applyNumberFormat="1" applyFill="1"/>
    <xf numFmtId="0" fontId="2" fillId="3" borderId="3" xfId="0" applyFont="1" applyFill="1" applyBorder="1" applyAlignment="1" applyProtection="1">
      <alignment horizontal="center"/>
    </xf>
    <xf numFmtId="2" fontId="19" fillId="3" borderId="1" xfId="0" applyNumberFormat="1" applyFont="1" applyFill="1" applyBorder="1" applyAlignment="1">
      <alignment horizontal="center" vertical="center"/>
    </xf>
    <xf numFmtId="0" fontId="0" fillId="3" borderId="0" xfId="0" applyFill="1" applyAlignment="1">
      <alignment horizontal="left"/>
    </xf>
    <xf numFmtId="0" fontId="2" fillId="3" borderId="0" xfId="0" applyFont="1" applyFill="1"/>
    <xf numFmtId="1" fontId="2" fillId="3" borderId="0" xfId="0" applyNumberFormat="1" applyFont="1" applyFill="1" applyAlignment="1">
      <alignment horizontal="left"/>
    </xf>
    <xf numFmtId="0" fontId="3" fillId="3" borderId="0" xfId="0" applyFont="1" applyFill="1"/>
    <xf numFmtId="2" fontId="19" fillId="3" borderId="0" xfId="0" applyNumberFormat="1" applyFont="1" applyFill="1" applyAlignment="1">
      <alignment horizontal="center" vertical="center"/>
    </xf>
    <xf numFmtId="0" fontId="19" fillId="3" borderId="0" xfId="0" applyFont="1" applyFill="1" applyAlignment="1">
      <alignment horizontal="right" vertical="center"/>
    </xf>
    <xf numFmtId="0" fontId="19" fillId="0" borderId="1" xfId="0" applyFont="1" applyFill="1" applyBorder="1" applyAlignment="1" applyProtection="1">
      <alignment horizontal="center" vertical="center"/>
      <protection locked="0"/>
    </xf>
    <xf numFmtId="168" fontId="19" fillId="0" borderId="1" xfId="0" applyNumberFormat="1" applyFont="1" applyFill="1" applyBorder="1" applyAlignment="1" applyProtection="1">
      <alignment horizontal="center" vertical="center"/>
      <protection locked="0"/>
    </xf>
    <xf numFmtId="0" fontId="0" fillId="2" borderId="0" xfId="0" applyFill="1" applyAlignment="1">
      <alignment horizontal="center"/>
    </xf>
    <xf numFmtId="0" fontId="2" fillId="2" borderId="0" xfId="0" applyFont="1" applyFill="1" applyAlignment="1">
      <alignment horizontal="center"/>
    </xf>
    <xf numFmtId="0" fontId="10" fillId="2" borderId="0" xfId="0" applyFont="1" applyFill="1" applyAlignment="1">
      <alignment horizontal="center"/>
    </xf>
    <xf numFmtId="0" fontId="5" fillId="2" borderId="0" xfId="0" applyFont="1" applyFill="1" applyAlignment="1">
      <alignment horizontal="center"/>
    </xf>
    <xf numFmtId="11" fontId="0" fillId="2" borderId="0" xfId="0" applyNumberFormat="1" applyFill="1" applyAlignment="1">
      <alignment horizontal="center"/>
    </xf>
    <xf numFmtId="2" fontId="0" fillId="2" borderId="0" xfId="0" applyNumberFormat="1" applyFill="1" applyAlignment="1">
      <alignment horizontal="center"/>
    </xf>
    <xf numFmtId="165" fontId="0" fillId="2" borderId="0" xfId="0" applyNumberFormat="1" applyFill="1" applyAlignment="1">
      <alignment horizontal="center"/>
    </xf>
    <xf numFmtId="166" fontId="0" fillId="2" borderId="0" xfId="0" applyNumberFormat="1" applyFill="1" applyAlignment="1">
      <alignment horizontal="center"/>
    </xf>
    <xf numFmtId="166" fontId="0" fillId="2" borderId="0" xfId="0" applyNumberFormat="1" applyFill="1" applyBorder="1" applyAlignment="1">
      <alignment horizontal="center"/>
    </xf>
    <xf numFmtId="166" fontId="3" fillId="2" borderId="0" xfId="0" applyNumberFormat="1" applyFont="1" applyFill="1" applyBorder="1" applyAlignment="1">
      <alignment horizontal="center"/>
    </xf>
    <xf numFmtId="0" fontId="6" fillId="2" borderId="0" xfId="0" applyFont="1" applyFill="1" applyBorder="1" applyAlignment="1">
      <alignment horizontal="center"/>
    </xf>
    <xf numFmtId="0" fontId="0" fillId="2" borderId="0" xfId="0" applyFill="1" applyBorder="1" applyAlignment="1">
      <alignment horizontal="center"/>
    </xf>
    <xf numFmtId="2" fontId="0" fillId="2" borderId="0" xfId="0" applyNumberFormat="1" applyFill="1" applyBorder="1" applyAlignment="1">
      <alignment horizontal="center"/>
    </xf>
    <xf numFmtId="165" fontId="0" fillId="2" borderId="0" xfId="0" applyNumberFormat="1" applyFill="1" applyBorder="1" applyAlignment="1">
      <alignment horizontal="center"/>
    </xf>
    <xf numFmtId="168" fontId="0" fillId="2" borderId="0" xfId="0" applyNumberFormat="1" applyFill="1" applyBorder="1" applyAlignment="1">
      <alignment horizontal="center"/>
    </xf>
    <xf numFmtId="1" fontId="0" fillId="2" borderId="0" xfId="0" applyNumberFormat="1" applyFill="1" applyBorder="1" applyAlignment="1">
      <alignment horizontal="center"/>
    </xf>
    <xf numFmtId="0" fontId="3" fillId="2" borderId="0" xfId="0" applyFont="1" applyFill="1" applyBorder="1" applyAlignment="1">
      <alignment horizontal="center"/>
    </xf>
    <xf numFmtId="0" fontId="26" fillId="3" borderId="0" xfId="0" applyFont="1" applyFill="1" applyProtection="1"/>
    <xf numFmtId="0" fontId="3" fillId="3" borderId="0" xfId="0" applyFont="1" applyFill="1" applyProtection="1"/>
    <xf numFmtId="0" fontId="3" fillId="3" borderId="0" xfId="0" applyFont="1" applyFill="1" applyBorder="1" applyAlignment="1" applyProtection="1"/>
    <xf numFmtId="0" fontId="26" fillId="3" borderId="0" xfId="0" applyFont="1" applyFill="1" applyAlignment="1" applyProtection="1">
      <alignment vertical="center"/>
    </xf>
    <xf numFmtId="0" fontId="2" fillId="3" borderId="0" xfId="0" applyFont="1" applyFill="1" applyAlignment="1" applyProtection="1">
      <alignment vertical="center"/>
      <protection locked="0"/>
    </xf>
    <xf numFmtId="0" fontId="2" fillId="3" borderId="0" xfId="0" applyFont="1" applyFill="1" applyAlignment="1" applyProtection="1">
      <alignment horizontal="right" vertical="center"/>
    </xf>
    <xf numFmtId="0" fontId="2" fillId="3" borderId="0" xfId="0" applyFont="1" applyFill="1" applyAlignment="1" applyProtection="1">
      <alignment vertical="center"/>
    </xf>
    <xf numFmtId="0" fontId="2" fillId="3" borderId="0" xfId="0" applyFont="1" applyFill="1" applyBorder="1" applyAlignment="1" applyProtection="1">
      <alignment horizontal="center" vertical="center"/>
    </xf>
    <xf numFmtId="0" fontId="3" fillId="3" borderId="0" xfId="0" applyFont="1" applyFill="1" applyBorder="1" applyAlignment="1" applyProtection="1">
      <alignment horizontal="center"/>
    </xf>
    <xf numFmtId="0" fontId="2" fillId="3" borderId="2" xfId="0" applyFont="1" applyFill="1" applyBorder="1" applyAlignment="1" applyProtection="1">
      <alignment horizontal="center"/>
    </xf>
    <xf numFmtId="165" fontId="3" fillId="3" borderId="1" xfId="0" applyNumberFormat="1" applyFont="1" applyFill="1" applyBorder="1" applyAlignment="1" applyProtection="1">
      <alignment horizontal="center"/>
    </xf>
    <xf numFmtId="167" fontId="3" fillId="3" borderId="0" xfId="0" applyNumberFormat="1" applyFont="1" applyFill="1" applyBorder="1" applyProtection="1"/>
    <xf numFmtId="167" fontId="3" fillId="3" borderId="0" xfId="0" applyNumberFormat="1" applyFont="1" applyFill="1" applyBorder="1" applyAlignment="1" applyProtection="1">
      <alignment horizontal="center"/>
    </xf>
    <xf numFmtId="0" fontId="2" fillId="3" borderId="1" xfId="0" applyFont="1" applyFill="1" applyBorder="1" applyProtection="1"/>
    <xf numFmtId="0" fontId="3" fillId="3" borderId="1" xfId="0" applyFont="1" applyFill="1" applyBorder="1" applyProtection="1"/>
    <xf numFmtId="169" fontId="3" fillId="3" borderId="0" xfId="0" applyNumberFormat="1" applyFont="1" applyFill="1" applyBorder="1" applyAlignment="1" applyProtection="1"/>
    <xf numFmtId="0" fontId="8" fillId="3" borderId="0" xfId="0" applyFont="1" applyFill="1" applyBorder="1" applyAlignment="1" applyProtection="1">
      <alignment horizontal="center"/>
    </xf>
    <xf numFmtId="0" fontId="3" fillId="3" borderId="0" xfId="0" applyFont="1" applyFill="1" applyBorder="1" applyProtection="1"/>
    <xf numFmtId="2" fontId="8" fillId="3" borderId="0" xfId="0" applyNumberFormat="1" applyFont="1" applyFill="1" applyBorder="1" applyAlignment="1" applyProtection="1">
      <alignment horizontal="center"/>
    </xf>
    <xf numFmtId="169" fontId="3" fillId="3" borderId="0" xfId="0" applyNumberFormat="1" applyFont="1" applyFill="1" applyBorder="1" applyAlignment="1" applyProtection="1">
      <alignment horizontal="center"/>
    </xf>
    <xf numFmtId="167" fontId="8" fillId="3" borderId="1" xfId="0" applyNumberFormat="1" applyFont="1" applyFill="1" applyBorder="1" applyAlignment="1" applyProtection="1">
      <alignment horizontal="center"/>
    </xf>
    <xf numFmtId="0" fontId="2" fillId="3" borderId="2" xfId="0" applyFont="1" applyFill="1" applyBorder="1" applyProtection="1"/>
    <xf numFmtId="167" fontId="3" fillId="3" borderId="1" xfId="0" applyNumberFormat="1" applyFont="1" applyFill="1" applyBorder="1" applyAlignment="1" applyProtection="1">
      <alignment horizontal="center"/>
    </xf>
    <xf numFmtId="2" fontId="3" fillId="3" borderId="0" xfId="0" applyNumberFormat="1" applyFont="1" applyFill="1" applyBorder="1" applyAlignment="1" applyProtection="1">
      <alignment horizontal="center"/>
    </xf>
    <xf numFmtId="166" fontId="3" fillId="3" borderId="0" xfId="0" applyNumberFormat="1" applyFont="1" applyFill="1" applyBorder="1" applyAlignment="1" applyProtection="1">
      <alignment horizontal="center"/>
    </xf>
    <xf numFmtId="0" fontId="14" fillId="3" borderId="0" xfId="0" applyFont="1" applyFill="1" applyBorder="1" applyAlignment="1" applyProtection="1">
      <alignment horizontal="left"/>
    </xf>
    <xf numFmtId="0" fontId="2" fillId="3" borderId="5" xfId="0" applyFont="1" applyFill="1" applyBorder="1" applyProtection="1"/>
    <xf numFmtId="0" fontId="2" fillId="3" borderId="6" xfId="0" applyFont="1" applyFill="1" applyBorder="1" applyProtection="1"/>
    <xf numFmtId="2" fontId="3" fillId="3" borderId="1" xfId="0" applyNumberFormat="1" applyFont="1" applyFill="1" applyBorder="1" applyAlignment="1" applyProtection="1">
      <alignment horizontal="center"/>
    </xf>
    <xf numFmtId="167" fontId="3" fillId="3" borderId="0" xfId="0" applyNumberFormat="1" applyFont="1" applyFill="1" applyBorder="1" applyAlignment="1" applyProtection="1"/>
    <xf numFmtId="168" fontId="3" fillId="3" borderId="0" xfId="0" applyNumberFormat="1" applyFont="1" applyFill="1" applyBorder="1" applyAlignment="1" applyProtection="1">
      <alignment horizontal="center"/>
    </xf>
    <xf numFmtId="0" fontId="3" fillId="3" borderId="0" xfId="0" applyFont="1" applyFill="1" applyAlignment="1" applyProtection="1">
      <alignment horizontal="center"/>
    </xf>
    <xf numFmtId="11" fontId="3" fillId="3" borderId="0" xfId="0" applyNumberFormat="1" applyFont="1" applyFill="1" applyAlignment="1" applyProtection="1">
      <alignment horizontal="center"/>
    </xf>
    <xf numFmtId="166" fontId="3" fillId="3" borderId="1" xfId="0" applyNumberFormat="1" applyFont="1" applyFill="1" applyBorder="1" applyAlignment="1" applyProtection="1">
      <alignment horizontal="center"/>
    </xf>
    <xf numFmtId="167" fontId="3" fillId="3" borderId="0" xfId="0" applyNumberFormat="1" applyFont="1" applyFill="1" applyProtection="1"/>
    <xf numFmtId="0" fontId="2" fillId="3" borderId="0" xfId="0" applyFont="1" applyFill="1" applyProtection="1"/>
    <xf numFmtId="165" fontId="3" fillId="3" borderId="0" xfId="0" applyNumberFormat="1" applyFont="1" applyFill="1" applyBorder="1" applyAlignment="1" applyProtection="1">
      <alignment horizontal="center"/>
    </xf>
    <xf numFmtId="169" fontId="3" fillId="3" borderId="1" xfId="0" applyNumberFormat="1" applyFont="1" applyFill="1" applyBorder="1" applyAlignment="1" applyProtection="1">
      <alignment horizontal="center"/>
    </xf>
    <xf numFmtId="0" fontId="3" fillId="3" borderId="0" xfId="0" applyFont="1" applyFill="1" applyBorder="1" applyAlignment="1" applyProtection="1">
      <alignment horizontal="left"/>
    </xf>
    <xf numFmtId="173" fontId="3" fillId="3" borderId="0" xfId="0" applyNumberFormat="1" applyFont="1" applyFill="1" applyProtection="1"/>
    <xf numFmtId="169" fontId="1" fillId="3" borderId="1" xfId="0" applyNumberFormat="1" applyFont="1" applyFill="1" applyBorder="1" applyAlignment="1" applyProtection="1">
      <alignment horizontal="center"/>
    </xf>
    <xf numFmtId="167" fontId="8" fillId="3" borderId="0" xfId="0" applyNumberFormat="1" applyFont="1" applyFill="1" applyBorder="1" applyAlignment="1" applyProtection="1">
      <alignment horizontal="center"/>
    </xf>
    <xf numFmtId="172" fontId="3" fillId="3" borderId="0" xfId="0" applyNumberFormat="1" applyFont="1" applyFill="1" applyBorder="1" applyAlignment="1" applyProtection="1">
      <alignment horizontal="center"/>
    </xf>
    <xf numFmtId="0" fontId="0" fillId="3" borderId="0" xfId="0" applyFill="1" applyBorder="1" applyAlignment="1"/>
    <xf numFmtId="2" fontId="3" fillId="3" borderId="1" xfId="0" applyNumberFormat="1" applyFont="1" applyFill="1" applyBorder="1" applyProtection="1"/>
    <xf numFmtId="0" fontId="9" fillId="3" borderId="0" xfId="0" applyFont="1" applyFill="1" applyBorder="1" applyAlignment="1" applyProtection="1">
      <alignment horizontal="center"/>
    </xf>
    <xf numFmtId="0" fontId="2" fillId="3" borderId="0" xfId="0" applyFont="1" applyFill="1" applyBorder="1" applyAlignment="1" applyProtection="1">
      <alignment horizontal="left"/>
    </xf>
    <xf numFmtId="168" fontId="3" fillId="3" borderId="0" xfId="0" applyNumberFormat="1" applyFont="1" applyFill="1" applyBorder="1" applyAlignment="1" applyProtection="1">
      <alignment horizontal="center" vertical="center"/>
    </xf>
    <xf numFmtId="167" fontId="3" fillId="3" borderId="0" xfId="0" applyNumberFormat="1" applyFont="1" applyFill="1" applyBorder="1" applyAlignment="1" applyProtection="1">
      <alignment horizontal="center" vertical="center"/>
    </xf>
    <xf numFmtId="2" fontId="3" fillId="3" borderId="0" xfId="0" applyNumberFormat="1" applyFont="1" applyFill="1" applyBorder="1" applyAlignment="1" applyProtection="1">
      <alignment horizontal="center" vertical="center"/>
    </xf>
    <xf numFmtId="2" fontId="3" fillId="3" borderId="0" xfId="0" applyNumberFormat="1" applyFont="1" applyFill="1" applyBorder="1" applyProtection="1"/>
    <xf numFmtId="0" fontId="14" fillId="3" borderId="0" xfId="0" applyFont="1" applyFill="1" applyBorder="1" applyAlignment="1" applyProtection="1">
      <alignment horizontal="center"/>
    </xf>
    <xf numFmtId="2" fontId="2" fillId="3" borderId="0" xfId="0" applyNumberFormat="1" applyFont="1" applyFill="1" applyBorder="1" applyProtection="1"/>
    <xf numFmtId="168" fontId="2" fillId="3" borderId="0" xfId="0" applyNumberFormat="1" applyFont="1" applyFill="1" applyBorder="1" applyAlignment="1" applyProtection="1">
      <alignment horizontal="center" vertical="center"/>
    </xf>
    <xf numFmtId="167" fontId="2" fillId="3" borderId="0" xfId="0" applyNumberFormat="1" applyFont="1" applyFill="1" applyBorder="1" applyAlignment="1" applyProtection="1">
      <alignment horizontal="center" vertical="center"/>
    </xf>
    <xf numFmtId="10" fontId="2" fillId="3" borderId="0" xfId="0" applyNumberFormat="1" applyFont="1" applyFill="1" applyProtection="1"/>
    <xf numFmtId="171" fontId="3" fillId="3" borderId="0" xfId="0" applyNumberFormat="1" applyFont="1" applyFill="1" applyBorder="1" applyAlignment="1" applyProtection="1">
      <alignment horizontal="center"/>
    </xf>
    <xf numFmtId="170" fontId="2" fillId="3" borderId="0" xfId="0" applyNumberFormat="1" applyFont="1" applyFill="1" applyProtection="1"/>
    <xf numFmtId="0" fontId="2" fillId="3" borderId="7" xfId="0" applyFont="1" applyFill="1" applyBorder="1" applyAlignment="1" applyProtection="1">
      <alignment horizontal="center"/>
    </xf>
    <xf numFmtId="10" fontId="3" fillId="3" borderId="0" xfId="0" applyNumberFormat="1" applyFont="1" applyFill="1" applyProtection="1"/>
    <xf numFmtId="0" fontId="2" fillId="3" borderId="8" xfId="0" applyFont="1" applyFill="1" applyBorder="1" applyAlignment="1" applyProtection="1">
      <alignment horizontal="center"/>
    </xf>
    <xf numFmtId="0" fontId="3" fillId="3" borderId="4" xfId="0" applyFont="1" applyFill="1" applyBorder="1" applyProtection="1"/>
    <xf numFmtId="0" fontId="2" fillId="3" borderId="9" xfId="0" applyFont="1" applyFill="1" applyBorder="1" applyAlignment="1" applyProtection="1">
      <alignment horizontal="center"/>
    </xf>
    <xf numFmtId="0" fontId="2" fillId="3" borderId="8" xfId="0" applyFont="1" applyFill="1" applyBorder="1" applyProtection="1"/>
    <xf numFmtId="0" fontId="2" fillId="3" borderId="8" xfId="0" applyFont="1" applyFill="1" applyBorder="1" applyAlignment="1" applyProtection="1">
      <alignment horizontal="left"/>
    </xf>
    <xf numFmtId="1" fontId="2" fillId="3" borderId="0" xfId="0" applyNumberFormat="1" applyFont="1" applyFill="1" applyBorder="1" applyAlignment="1" applyProtection="1">
      <alignment horizontal="center"/>
    </xf>
    <xf numFmtId="175" fontId="3" fillId="3" borderId="0" xfId="0" applyNumberFormat="1" applyFont="1" applyFill="1" applyBorder="1" applyAlignment="1" applyProtection="1">
      <alignment horizontal="center"/>
    </xf>
    <xf numFmtId="10" fontId="3" fillId="3" borderId="0" xfId="0" applyNumberFormat="1" applyFont="1" applyFill="1" applyBorder="1" applyAlignment="1" applyProtection="1">
      <alignment horizontal="center"/>
    </xf>
    <xf numFmtId="169" fontId="0" fillId="3" borderId="0" xfId="0" applyNumberFormat="1" applyFill="1" applyProtection="1"/>
    <xf numFmtId="1" fontId="3" fillId="3" borderId="0" xfId="0" applyNumberFormat="1" applyFont="1" applyFill="1" applyBorder="1" applyAlignment="1" applyProtection="1">
      <alignment horizontal="center" vertical="center"/>
    </xf>
    <xf numFmtId="1" fontId="2" fillId="3" borderId="0" xfId="0" applyNumberFormat="1" applyFont="1" applyFill="1" applyBorder="1" applyAlignment="1" applyProtection="1">
      <alignment horizontal="center"/>
      <protection locked="0"/>
    </xf>
    <xf numFmtId="165" fontId="3" fillId="3" borderId="0" xfId="0" applyNumberFormat="1" applyFont="1" applyFill="1" applyBorder="1" applyAlignment="1" applyProtection="1">
      <alignment horizontal="center" vertical="center"/>
    </xf>
    <xf numFmtId="166" fontId="3" fillId="3" borderId="0" xfId="0" applyNumberFormat="1" applyFont="1" applyFill="1" applyBorder="1" applyAlignment="1" applyProtection="1">
      <alignment horizontal="center" vertical="center"/>
    </xf>
    <xf numFmtId="2" fontId="1" fillId="3" borderId="0" xfId="0" applyNumberFormat="1" applyFont="1" applyFill="1" applyBorder="1" applyAlignment="1" applyProtection="1">
      <alignment horizontal="center"/>
    </xf>
    <xf numFmtId="1" fontId="3" fillId="3" borderId="0" xfId="0" applyNumberFormat="1" applyFont="1" applyFill="1" applyBorder="1" applyAlignment="1" applyProtection="1">
      <alignment horizontal="center"/>
      <protection locked="0"/>
    </xf>
    <xf numFmtId="0" fontId="3" fillId="3" borderId="0" xfId="0" applyFont="1" applyFill="1" applyBorder="1" applyAlignment="1" applyProtection="1">
      <alignment horizontal="center" vertical="center"/>
    </xf>
    <xf numFmtId="169" fontId="3" fillId="3" borderId="0" xfId="0" applyNumberFormat="1" applyFont="1" applyFill="1" applyBorder="1" applyAlignment="1" applyProtection="1">
      <alignment horizontal="center" vertical="center"/>
    </xf>
    <xf numFmtId="2" fontId="3" fillId="3" borderId="0" xfId="0" applyNumberFormat="1" applyFont="1" applyFill="1" applyProtection="1"/>
    <xf numFmtId="0" fontId="2" fillId="3" borderId="11" xfId="0" applyFont="1" applyFill="1" applyBorder="1" applyAlignment="1" applyProtection="1">
      <alignment horizontal="right" vertical="center"/>
    </xf>
    <xf numFmtId="14" fontId="2" fillId="0" borderId="13" xfId="0" applyNumberFormat="1" applyFont="1" applyFill="1" applyBorder="1" applyAlignment="1" applyProtection="1">
      <alignment horizontal="center" vertical="center"/>
      <protection locked="0"/>
    </xf>
    <xf numFmtId="165" fontId="0" fillId="3" borderId="0" xfId="0" applyNumberFormat="1" applyFill="1" applyProtection="1"/>
    <xf numFmtId="1" fontId="0" fillId="3" borderId="0" xfId="0" applyNumberFormat="1" applyFill="1" applyProtection="1"/>
    <xf numFmtId="1" fontId="2" fillId="3" borderId="0" xfId="0" applyNumberFormat="1" applyFont="1" applyFill="1" applyAlignment="1" applyProtection="1">
      <alignment horizontal="center"/>
    </xf>
    <xf numFmtId="165" fontId="2" fillId="3" borderId="0" xfId="0" applyNumberFormat="1" applyFont="1" applyFill="1" applyAlignment="1" applyProtection="1">
      <alignment horizontal="center"/>
    </xf>
    <xf numFmtId="2" fontId="2" fillId="0" borderId="0" xfId="0" applyNumberFormat="1" applyFont="1" applyFill="1" applyAlignment="1" applyProtection="1">
      <alignment horizontal="center"/>
      <protection locked="0"/>
    </xf>
    <xf numFmtId="0" fontId="2" fillId="2" borderId="21" xfId="0" applyFont="1" applyFill="1" applyBorder="1" applyAlignment="1" applyProtection="1">
      <alignment horizontal="left"/>
    </xf>
    <xf numFmtId="0" fontId="2" fillId="2" borderId="21" xfId="0" applyFont="1" applyFill="1" applyBorder="1" applyAlignment="1" applyProtection="1">
      <alignment horizontal="center"/>
    </xf>
    <xf numFmtId="0" fontId="0" fillId="3" borderId="13" xfId="0" applyFill="1" applyBorder="1" applyProtection="1"/>
    <xf numFmtId="167" fontId="27" fillId="0" borderId="0" xfId="0" applyNumberFormat="1" applyFont="1" applyAlignment="1" applyProtection="1">
      <alignment horizontal="center"/>
      <protection locked="0"/>
    </xf>
    <xf numFmtId="0" fontId="3" fillId="3" borderId="1" xfId="0" applyFont="1" applyFill="1" applyBorder="1" applyAlignment="1" applyProtection="1">
      <alignment horizontal="center"/>
    </xf>
    <xf numFmtId="0" fontId="8" fillId="0" borderId="1" xfId="0" applyFont="1" applyFill="1" applyBorder="1" applyAlignment="1" applyProtection="1">
      <alignment horizontal="center"/>
      <protection locked="0"/>
    </xf>
    <xf numFmtId="0" fontId="1" fillId="2" borderId="1" xfId="0" applyFont="1" applyFill="1" applyBorder="1" applyAlignment="1" applyProtection="1">
      <alignment horizontal="center"/>
    </xf>
    <xf numFmtId="0" fontId="28" fillId="3" borderId="0" xfId="0" applyFont="1" applyFill="1" applyAlignment="1" applyProtection="1">
      <alignment horizontal="center"/>
    </xf>
    <xf numFmtId="169" fontId="1" fillId="3" borderId="0" xfId="0" applyNumberFormat="1" applyFont="1" applyFill="1" applyBorder="1" applyAlignment="1" applyProtection="1">
      <alignment horizontal="center"/>
    </xf>
    <xf numFmtId="0" fontId="1" fillId="3" borderId="0" xfId="0" applyFont="1" applyFill="1"/>
    <xf numFmtId="0" fontId="1" fillId="2" borderId="0" xfId="0" applyFont="1" applyFill="1" applyBorder="1" applyAlignment="1" applyProtection="1">
      <alignment horizontal="center"/>
    </xf>
    <xf numFmtId="0" fontId="1" fillId="2" borderId="0" xfId="0" applyFont="1" applyFill="1" applyProtection="1"/>
    <xf numFmtId="174" fontId="1" fillId="3" borderId="0" xfId="0" applyNumberFormat="1" applyFont="1" applyFill="1" applyProtection="1"/>
    <xf numFmtId="0" fontId="1" fillId="3" borderId="17" xfId="0" applyFont="1" applyFill="1" applyBorder="1" applyAlignment="1" applyProtection="1">
      <alignment horizontal="center"/>
    </xf>
    <xf numFmtId="0" fontId="1" fillId="2" borderId="17" xfId="0" applyFont="1" applyFill="1" applyBorder="1" applyAlignment="1" applyProtection="1">
      <alignment horizontal="center"/>
    </xf>
    <xf numFmtId="0" fontId="2" fillId="3" borderId="1" xfId="0" applyFont="1" applyFill="1" applyBorder="1" applyAlignment="1" applyProtection="1">
      <alignment horizontal="center"/>
    </xf>
    <xf numFmtId="0" fontId="1" fillId="2" borderId="1" xfId="0" applyFont="1" applyFill="1" applyBorder="1" applyProtection="1"/>
    <xf numFmtId="0" fontId="0" fillId="2" borderId="17" xfId="0" applyFill="1" applyBorder="1" applyAlignment="1" applyProtection="1">
      <alignment horizontal="center"/>
    </xf>
    <xf numFmtId="0" fontId="2" fillId="3" borderId="0" xfId="0" applyFont="1" applyFill="1" applyBorder="1" applyAlignment="1" applyProtection="1">
      <alignment horizontal="left"/>
    </xf>
    <xf numFmtId="0" fontId="2" fillId="3" borderId="1" xfId="0" applyFont="1" applyFill="1" applyBorder="1" applyAlignment="1" applyProtection="1">
      <alignment horizontal="center"/>
    </xf>
    <xf numFmtId="0" fontId="2" fillId="3" borderId="10" xfId="0" applyFont="1" applyFill="1" applyBorder="1" applyAlignment="1" applyProtection="1">
      <alignment horizontal="center"/>
    </xf>
    <xf numFmtId="0" fontId="2" fillId="3" borderId="8" xfId="0" applyFont="1" applyFill="1" applyBorder="1" applyAlignment="1" applyProtection="1">
      <alignment horizontal="center" vertical="center"/>
    </xf>
    <xf numFmtId="171" fontId="32" fillId="0" borderId="0" xfId="0" applyNumberFormat="1" applyFont="1" applyFill="1" applyProtection="1">
      <protection locked="0"/>
    </xf>
    <xf numFmtId="167" fontId="1" fillId="0" borderId="0" xfId="0" applyNumberFormat="1" applyFont="1" applyBorder="1" applyAlignment="1" applyProtection="1">
      <alignment horizontal="center" vertical="center"/>
      <protection locked="0"/>
    </xf>
    <xf numFmtId="1" fontId="1" fillId="0" borderId="0" xfId="0" applyNumberFormat="1" applyFont="1" applyFill="1" applyAlignment="1" applyProtection="1">
      <alignment horizontal="center"/>
      <protection locked="0"/>
    </xf>
    <xf numFmtId="0" fontId="32" fillId="0" borderId="0" xfId="0" applyFont="1" applyFill="1" applyProtection="1">
      <protection locked="0"/>
    </xf>
    <xf numFmtId="1" fontId="32" fillId="0" borderId="0" xfId="0" applyNumberFormat="1" applyFont="1" applyFill="1" applyProtection="1">
      <protection locked="0"/>
    </xf>
    <xf numFmtId="176" fontId="32" fillId="0" borderId="0" xfId="0" applyNumberFormat="1" applyFont="1" applyFill="1" applyProtection="1">
      <protection locked="0"/>
    </xf>
    <xf numFmtId="176" fontId="32" fillId="0" borderId="0" xfId="0" applyNumberFormat="1" applyFont="1" applyFill="1" applyBorder="1" applyProtection="1">
      <protection locked="0"/>
    </xf>
    <xf numFmtId="0" fontId="1" fillId="0" borderId="0" xfId="0" applyFont="1" applyFill="1" applyBorder="1" applyProtection="1">
      <protection locked="0"/>
    </xf>
    <xf numFmtId="0" fontId="2" fillId="3" borderId="1" xfId="0" applyFont="1" applyFill="1" applyBorder="1" applyAlignment="1" applyProtection="1">
      <alignment horizontal="center" vertical="center"/>
    </xf>
    <xf numFmtId="14" fontId="2" fillId="3" borderId="1" xfId="0" applyNumberFormat="1" applyFont="1" applyFill="1" applyBorder="1" applyAlignment="1" applyProtection="1">
      <alignment horizontal="center"/>
    </xf>
    <xf numFmtId="0" fontId="0" fillId="0" borderId="3" xfId="0" applyBorder="1"/>
    <xf numFmtId="0" fontId="2" fillId="0" borderId="0" xfId="0" applyFont="1"/>
    <xf numFmtId="0" fontId="33" fillId="0" borderId="0" xfId="0" applyFont="1"/>
    <xf numFmtId="0" fontId="0" fillId="0" borderId="0" xfId="0" applyProtection="1">
      <protection locked="0"/>
    </xf>
    <xf numFmtId="0" fontId="13" fillId="3" borderId="0" xfId="0" applyFont="1" applyFill="1" applyBorder="1" applyAlignment="1" applyProtection="1">
      <alignment horizontal="center"/>
    </xf>
    <xf numFmtId="0" fontId="2" fillId="3" borderId="0" xfId="0" applyFont="1" applyFill="1" applyBorder="1" applyAlignment="1" applyProtection="1">
      <alignment horizontal="center"/>
    </xf>
    <xf numFmtId="0" fontId="2" fillId="3" borderId="11" xfId="0" applyFont="1" applyFill="1" applyBorder="1" applyAlignment="1">
      <alignment horizontal="left" wrapText="1"/>
    </xf>
    <xf numFmtId="0" fontId="2" fillId="0" borderId="22" xfId="0" applyFont="1" applyFill="1" applyBorder="1" applyAlignment="1" applyProtection="1">
      <alignment horizontal="center"/>
      <protection locked="0"/>
    </xf>
    <xf numFmtId="0" fontId="2" fillId="0" borderId="13" xfId="0" applyFont="1" applyFill="1" applyBorder="1" applyAlignment="1" applyProtection="1">
      <alignment horizontal="center"/>
    </xf>
    <xf numFmtId="167" fontId="1" fillId="2" borderId="0" xfId="0" applyNumberFormat="1" applyFont="1" applyFill="1" applyBorder="1" applyAlignment="1" applyProtection="1">
      <alignment horizontal="center"/>
    </xf>
    <xf numFmtId="167" fontId="0" fillId="2" borderId="17" xfId="0" applyNumberFormat="1" applyFill="1" applyBorder="1" applyAlignment="1" applyProtection="1">
      <alignment horizontal="center"/>
    </xf>
    <xf numFmtId="0" fontId="2" fillId="3" borderId="0" xfId="0" applyFont="1" applyFill="1" applyBorder="1" applyAlignment="1" applyProtection="1">
      <alignment horizontal="center"/>
    </xf>
    <xf numFmtId="0" fontId="2" fillId="3" borderId="0" xfId="0" applyFont="1" applyFill="1" applyBorder="1" applyAlignment="1" applyProtection="1">
      <alignment horizontal="left"/>
    </xf>
    <xf numFmtId="2" fontId="3" fillId="3" borderId="0" xfId="0" applyNumberFormat="1" applyFont="1" applyFill="1" applyBorder="1" applyAlignment="1" applyProtection="1">
      <alignment horizontal="center"/>
    </xf>
    <xf numFmtId="2" fontId="1" fillId="3" borderId="0" xfId="0" applyNumberFormat="1" applyFont="1" applyFill="1" applyAlignment="1" applyProtection="1">
      <alignment horizontal="center"/>
    </xf>
    <xf numFmtId="2" fontId="1" fillId="3" borderId="0" xfId="0" applyNumberFormat="1" applyFont="1" applyFill="1" applyProtection="1"/>
    <xf numFmtId="0" fontId="36" fillId="2" borderId="1" xfId="2" applyFont="1" applyFill="1" applyBorder="1" applyAlignment="1" applyProtection="1">
      <alignment horizontal="center"/>
    </xf>
    <xf numFmtId="0" fontId="0" fillId="2" borderId="1" xfId="0" applyFill="1" applyBorder="1"/>
    <xf numFmtId="17" fontId="0" fillId="2" borderId="1" xfId="0" applyNumberFormat="1" applyFill="1" applyBorder="1" applyAlignment="1">
      <alignment horizontal="center"/>
    </xf>
    <xf numFmtId="0" fontId="1" fillId="2" borderId="1" xfId="0" applyFont="1" applyFill="1" applyBorder="1" applyAlignment="1">
      <alignment horizontal="center"/>
    </xf>
    <xf numFmtId="0" fontId="36" fillId="2" borderId="25" xfId="2" applyFont="1" applyFill="1" applyBorder="1" applyAlignment="1" applyProtection="1">
      <alignment horizontal="center" vertical="center"/>
    </xf>
    <xf numFmtId="0" fontId="0" fillId="2" borderId="25" xfId="0" applyFill="1" applyBorder="1" applyAlignment="1">
      <alignment horizontal="center"/>
    </xf>
    <xf numFmtId="0" fontId="0" fillId="2" borderId="25" xfId="0" applyFill="1" applyBorder="1"/>
    <xf numFmtId="0" fontId="0" fillId="2" borderId="27" xfId="0" applyFill="1" applyBorder="1"/>
    <xf numFmtId="0" fontId="0" fillId="2" borderId="30" xfId="0" applyFill="1" applyBorder="1"/>
    <xf numFmtId="2" fontId="39" fillId="0" borderId="0" xfId="0" applyNumberFormat="1" applyFont="1" applyAlignment="1">
      <alignment vertical="center"/>
    </xf>
    <xf numFmtId="2" fontId="39" fillId="0" borderId="0" xfId="0" applyNumberFormat="1" applyFont="1" applyAlignment="1">
      <alignment horizontal="center" vertical="center"/>
    </xf>
    <xf numFmtId="2" fontId="39" fillId="5" borderId="0" xfId="0" applyNumberFormat="1" applyFont="1" applyFill="1" applyBorder="1" applyAlignment="1">
      <alignment vertical="center"/>
    </xf>
    <xf numFmtId="2" fontId="39" fillId="0" borderId="0" xfId="0" applyNumberFormat="1" applyFont="1" applyFill="1" applyAlignment="1">
      <alignment vertical="center"/>
    </xf>
    <xf numFmtId="2" fontId="40" fillId="0" borderId="0" xfId="0" applyNumberFormat="1" applyFont="1" applyBorder="1" applyAlignment="1">
      <alignment horizontal="center" vertical="center"/>
    </xf>
    <xf numFmtId="2" fontId="40" fillId="0" borderId="0" xfId="0" applyNumberFormat="1" applyFont="1" applyFill="1" applyBorder="1" applyAlignment="1">
      <alignment horizontal="center" vertical="center"/>
    </xf>
    <xf numFmtId="2" fontId="41" fillId="6" borderId="35" xfId="0" applyNumberFormat="1" applyFont="1" applyFill="1" applyBorder="1" applyAlignment="1">
      <alignment horizontal="left" vertical="center"/>
    </xf>
    <xf numFmtId="2" fontId="41" fillId="6" borderId="36" xfId="0" applyNumberFormat="1" applyFont="1" applyFill="1" applyBorder="1" applyAlignment="1">
      <alignment horizontal="center" vertical="center"/>
    </xf>
    <xf numFmtId="2" fontId="41" fillId="6" borderId="35" xfId="0" applyNumberFormat="1" applyFont="1" applyFill="1" applyBorder="1" applyAlignment="1">
      <alignment vertical="center"/>
    </xf>
    <xf numFmtId="0" fontId="39" fillId="0" borderId="0" xfId="0" applyFont="1" applyAlignment="1">
      <alignment horizontal="center" vertical="center"/>
    </xf>
    <xf numFmtId="0" fontId="39" fillId="5" borderId="0" xfId="0" applyFont="1" applyFill="1" applyBorder="1" applyAlignment="1">
      <alignment horizontal="center" vertical="center"/>
    </xf>
    <xf numFmtId="2" fontId="41" fillId="6" borderId="6" xfId="0" applyNumberFormat="1" applyFont="1" applyFill="1" applyBorder="1" applyAlignment="1">
      <alignment horizontal="left" vertical="center"/>
    </xf>
    <xf numFmtId="2" fontId="41" fillId="6" borderId="6" xfId="0" applyNumberFormat="1" applyFont="1" applyFill="1" applyBorder="1" applyAlignment="1">
      <alignment horizontal="center" vertical="center"/>
    </xf>
    <xf numFmtId="2" fontId="41" fillId="6" borderId="6" xfId="0" applyNumberFormat="1" applyFont="1" applyFill="1" applyBorder="1" applyAlignment="1">
      <alignment vertical="center"/>
    </xf>
    <xf numFmtId="0" fontId="40" fillId="0" borderId="6" xfId="0" applyFont="1" applyBorder="1" applyAlignment="1">
      <alignment horizontal="center" vertical="center"/>
    </xf>
    <xf numFmtId="0" fontId="40" fillId="0" borderId="2" xfId="0" applyFont="1" applyBorder="1" applyAlignment="1">
      <alignment horizontal="center" vertical="center"/>
    </xf>
    <xf numFmtId="0" fontId="40" fillId="5" borderId="6" xfId="0" applyFont="1" applyFill="1" applyBorder="1" applyAlignment="1">
      <alignment horizontal="center" vertical="center"/>
    </xf>
    <xf numFmtId="2" fontId="41" fillId="0" borderId="0" xfId="0" applyNumberFormat="1" applyFont="1" applyFill="1" applyBorder="1" applyAlignment="1">
      <alignment vertical="center"/>
    </xf>
    <xf numFmtId="2" fontId="41" fillId="6" borderId="3" xfId="0" applyNumberFormat="1" applyFont="1" applyFill="1" applyBorder="1" applyAlignment="1">
      <alignment horizontal="left" vertical="center"/>
    </xf>
    <xf numFmtId="2" fontId="41" fillId="6" borderId="3" xfId="0" applyNumberFormat="1" applyFont="1" applyFill="1" applyBorder="1" applyAlignment="1">
      <alignment horizontal="center" vertical="center"/>
    </xf>
    <xf numFmtId="2" fontId="41" fillId="6" borderId="3" xfId="0" applyNumberFormat="1" applyFont="1" applyFill="1" applyBorder="1" applyAlignment="1">
      <alignment vertical="center"/>
    </xf>
    <xf numFmtId="169" fontId="39" fillId="6" borderId="0" xfId="0" applyNumberFormat="1" applyFont="1" applyFill="1" applyAlignment="1">
      <alignment horizontal="center" vertical="center"/>
    </xf>
    <xf numFmtId="166" fontId="39" fillId="6" borderId="0" xfId="0" applyNumberFormat="1" applyFont="1" applyFill="1" applyAlignment="1">
      <alignment horizontal="center" vertical="center"/>
    </xf>
    <xf numFmtId="168" fontId="39" fillId="6" borderId="0" xfId="0" applyNumberFormat="1" applyFont="1" applyFill="1" applyAlignment="1">
      <alignment horizontal="center" vertical="center"/>
    </xf>
    <xf numFmtId="168" fontId="39" fillId="6" borderId="4" xfId="0" applyNumberFormat="1" applyFont="1" applyFill="1" applyBorder="1" applyAlignment="1">
      <alignment horizontal="center" vertical="center"/>
    </xf>
    <xf numFmtId="11" fontId="39" fillId="6" borderId="0" xfId="0" applyNumberFormat="1" applyFont="1" applyFill="1" applyAlignment="1">
      <alignment horizontal="center" vertical="center"/>
    </xf>
    <xf numFmtId="11" fontId="39" fillId="6" borderId="4" xfId="0" applyNumberFormat="1" applyFont="1" applyFill="1" applyBorder="1" applyAlignment="1">
      <alignment horizontal="center" vertical="center"/>
    </xf>
    <xf numFmtId="11" fontId="39" fillId="6" borderId="35" xfId="0" applyNumberFormat="1" applyFont="1" applyFill="1" applyBorder="1" applyAlignment="1">
      <alignment horizontal="center" vertical="center"/>
    </xf>
    <xf numFmtId="2" fontId="39" fillId="6" borderId="0" xfId="0" applyNumberFormat="1" applyFont="1" applyFill="1" applyAlignment="1">
      <alignment horizontal="left" vertical="center"/>
    </xf>
    <xf numFmtId="2" fontId="39" fillId="6" borderId="0" xfId="0" applyNumberFormat="1" applyFont="1" applyFill="1" applyAlignment="1">
      <alignment horizontal="center" vertical="center"/>
    </xf>
    <xf numFmtId="2" fontId="39" fillId="6" borderId="0" xfId="0" applyNumberFormat="1" applyFont="1" applyFill="1" applyAlignment="1">
      <alignment vertical="center"/>
    </xf>
    <xf numFmtId="165" fontId="40" fillId="0" borderId="0" xfId="0" applyNumberFormat="1" applyFont="1" applyBorder="1" applyAlignment="1">
      <alignment horizontal="center" vertical="center"/>
    </xf>
    <xf numFmtId="11" fontId="39" fillId="6" borderId="0" xfId="0" applyNumberFormat="1" applyFont="1" applyFill="1" applyBorder="1" applyAlignment="1">
      <alignment horizontal="center" vertical="center"/>
    </xf>
    <xf numFmtId="2" fontId="39" fillId="6" borderId="0" xfId="0" applyNumberFormat="1" applyFont="1" applyFill="1" applyBorder="1" applyAlignment="1">
      <alignment horizontal="left" vertical="center"/>
    </xf>
    <xf numFmtId="2" fontId="39" fillId="6" borderId="0" xfId="0" applyNumberFormat="1" applyFont="1" applyFill="1" applyBorder="1" applyAlignment="1">
      <alignment horizontal="center" vertical="center"/>
    </xf>
    <xf numFmtId="2" fontId="39" fillId="0" borderId="0" xfId="0" applyNumberFormat="1" applyFont="1" applyFill="1" applyBorder="1" applyAlignment="1">
      <alignment vertical="center"/>
    </xf>
    <xf numFmtId="2" fontId="39" fillId="0" borderId="0" xfId="0" applyNumberFormat="1" applyFont="1" applyBorder="1" applyAlignment="1">
      <alignment horizontal="left" vertical="center"/>
    </xf>
    <xf numFmtId="169" fontId="39" fillId="0" borderId="0" xfId="0" applyNumberFormat="1" applyFont="1" applyBorder="1" applyAlignment="1">
      <alignment horizontal="center" vertical="center"/>
    </xf>
    <xf numFmtId="2" fontId="39" fillId="0" borderId="0" xfId="0" applyNumberFormat="1" applyFont="1" applyBorder="1" applyAlignment="1">
      <alignment vertical="center"/>
    </xf>
    <xf numFmtId="2" fontId="39" fillId="0" borderId="0" xfId="0" applyNumberFormat="1" applyFont="1" applyBorder="1" applyAlignment="1">
      <alignment horizontal="center" vertical="center"/>
    </xf>
    <xf numFmtId="0" fontId="43" fillId="0" borderId="0" xfId="0" applyFont="1" applyAlignment="1" applyProtection="1">
      <alignment vertical="center"/>
    </xf>
    <xf numFmtId="169" fontId="39" fillId="6" borderId="0" xfId="0" applyNumberFormat="1" applyFont="1" applyFill="1" applyBorder="1" applyAlignment="1">
      <alignment horizontal="center" vertical="center"/>
    </xf>
    <xf numFmtId="2" fontId="39" fillId="6" borderId="0" xfId="0" applyNumberFormat="1" applyFont="1" applyFill="1" applyBorder="1" applyAlignment="1">
      <alignment vertical="center"/>
    </xf>
    <xf numFmtId="2" fontId="39" fillId="6" borderId="3" xfId="0" applyNumberFormat="1" applyFont="1" applyFill="1" applyBorder="1" applyAlignment="1">
      <alignment horizontal="left" vertical="center"/>
    </xf>
    <xf numFmtId="1" fontId="43" fillId="0" borderId="18" xfId="0" applyNumberFormat="1" applyFont="1" applyBorder="1" applyAlignment="1">
      <alignment horizontal="center"/>
    </xf>
    <xf numFmtId="1" fontId="43" fillId="0" borderId="0" xfId="0" applyNumberFormat="1" applyFont="1" applyBorder="1" applyAlignment="1">
      <alignment horizontal="center"/>
    </xf>
    <xf numFmtId="169" fontId="39" fillId="6" borderId="3" xfId="0" applyNumberFormat="1" applyFont="1" applyFill="1" applyBorder="1" applyAlignment="1">
      <alignment horizontal="center" vertical="center"/>
    </xf>
    <xf numFmtId="2" fontId="39" fillId="6" borderId="3" xfId="0" applyNumberFormat="1" applyFont="1" applyFill="1" applyBorder="1" applyAlignment="1">
      <alignment vertical="center"/>
    </xf>
    <xf numFmtId="169" fontId="39" fillId="0" borderId="0" xfId="0" applyNumberFormat="1" applyFont="1" applyAlignment="1">
      <alignment horizontal="center" vertical="center"/>
    </xf>
    <xf numFmtId="166" fontId="39" fillId="0" borderId="0" xfId="0" applyNumberFormat="1" applyFont="1" applyAlignment="1">
      <alignment horizontal="center" vertical="center"/>
    </xf>
    <xf numFmtId="168" fontId="39" fillId="0" borderId="0" xfId="0" applyNumberFormat="1" applyFont="1" applyAlignment="1">
      <alignment horizontal="center" vertical="center"/>
    </xf>
    <xf numFmtId="168" fontId="39" fillId="0" borderId="4" xfId="0" applyNumberFormat="1" applyFont="1" applyBorder="1" applyAlignment="1">
      <alignment horizontal="center" vertical="center"/>
    </xf>
    <xf numFmtId="11" fontId="39" fillId="0" borderId="0" xfId="0" applyNumberFormat="1" applyFont="1" applyAlignment="1">
      <alignment horizontal="center" vertical="center"/>
    </xf>
    <xf numFmtId="11" fontId="39" fillId="0" borderId="4" xfId="0" applyNumberFormat="1" applyFont="1" applyBorder="1" applyAlignment="1">
      <alignment horizontal="center" vertical="center"/>
    </xf>
    <xf numFmtId="11" fontId="39" fillId="0" borderId="0" xfId="0" applyNumberFormat="1" applyFont="1" applyFill="1" applyBorder="1" applyAlignment="1">
      <alignment horizontal="center" vertical="center"/>
    </xf>
    <xf numFmtId="11" fontId="39" fillId="5" borderId="0" xfId="0" applyNumberFormat="1" applyFont="1" applyFill="1" applyBorder="1" applyAlignment="1">
      <alignment horizontal="center" vertical="center"/>
    </xf>
    <xf numFmtId="1" fontId="43" fillId="0" borderId="17" xfId="0" applyNumberFormat="1" applyFont="1" applyBorder="1" applyAlignment="1">
      <alignment horizontal="center"/>
    </xf>
    <xf numFmtId="2" fontId="39" fillId="0" borderId="3" xfId="0" applyNumberFormat="1" applyFont="1" applyBorder="1" applyAlignment="1">
      <alignment horizontal="left" vertical="center"/>
    </xf>
    <xf numFmtId="2" fontId="39" fillId="0" borderId="3" xfId="0" applyNumberFormat="1" applyFont="1" applyBorder="1" applyAlignment="1">
      <alignment horizontal="center" vertical="center"/>
    </xf>
    <xf numFmtId="11" fontId="43" fillId="7" borderId="0" xfId="0" applyNumberFormat="1" applyFont="1" applyFill="1" applyBorder="1"/>
    <xf numFmtId="165" fontId="39" fillId="0" borderId="0" xfId="0" applyNumberFormat="1" applyFont="1" applyAlignment="1">
      <alignment vertical="center"/>
    </xf>
    <xf numFmtId="165" fontId="41" fillId="7" borderId="17" xfId="0" applyNumberFormat="1" applyFont="1" applyFill="1" applyBorder="1"/>
    <xf numFmtId="168" fontId="39" fillId="0" borderId="0" xfId="0" applyNumberFormat="1" applyFont="1" applyBorder="1" applyAlignment="1">
      <alignment horizontal="center" vertical="center"/>
    </xf>
    <xf numFmtId="11" fontId="39" fillId="0" borderId="0" xfId="0" applyNumberFormat="1" applyFont="1" applyBorder="1" applyAlignment="1">
      <alignment horizontal="center" vertical="center"/>
    </xf>
    <xf numFmtId="2" fontId="43" fillId="0" borderId="0" xfId="0" applyNumberFormat="1" applyFont="1" applyAlignment="1" applyProtection="1">
      <alignment vertical="center"/>
    </xf>
    <xf numFmtId="2" fontId="40" fillId="0" borderId="6" xfId="0" applyNumberFormat="1" applyFont="1" applyBorder="1" applyAlignment="1">
      <alignment horizontal="center" vertical="center"/>
    </xf>
    <xf numFmtId="2" fontId="39" fillId="6" borderId="35" xfId="0" applyNumberFormat="1" applyFont="1" applyFill="1" applyBorder="1" applyAlignment="1">
      <alignment horizontal="left" vertical="center"/>
    </xf>
    <xf numFmtId="2" fontId="39" fillId="6" borderId="35" xfId="0" applyNumberFormat="1" applyFont="1" applyFill="1" applyBorder="1" applyAlignment="1">
      <alignment horizontal="center" vertical="center"/>
    </xf>
    <xf numFmtId="168" fontId="39" fillId="0" borderId="3" xfId="0" applyNumberFormat="1" applyFont="1" applyBorder="1" applyAlignment="1">
      <alignment horizontal="center" vertical="center"/>
    </xf>
    <xf numFmtId="168" fontId="39" fillId="0" borderId="37" xfId="0" applyNumberFormat="1" applyFont="1" applyBorder="1" applyAlignment="1">
      <alignment horizontal="center" vertical="center"/>
    </xf>
    <xf numFmtId="11" fontId="39" fillId="0" borderId="16" xfId="0" applyNumberFormat="1" applyFont="1" applyBorder="1" applyAlignment="1">
      <alignment horizontal="center" vertical="center"/>
    </xf>
    <xf numFmtId="11" fontId="39" fillId="0" borderId="3" xfId="0" applyNumberFormat="1" applyFont="1" applyBorder="1" applyAlignment="1">
      <alignment horizontal="center" vertical="center"/>
    </xf>
    <xf numFmtId="11" fontId="39" fillId="0" borderId="37" xfId="0" applyNumberFormat="1" applyFont="1" applyBorder="1" applyAlignment="1">
      <alignment horizontal="center" vertical="center"/>
    </xf>
    <xf numFmtId="2" fontId="40" fillId="0" borderId="6" xfId="0" applyNumberFormat="1" applyFont="1" applyBorder="1" applyAlignment="1">
      <alignment vertical="center"/>
    </xf>
    <xf numFmtId="166" fontId="40" fillId="0" borderId="6" xfId="0" applyNumberFormat="1" applyFont="1" applyBorder="1" applyAlignment="1">
      <alignment horizontal="center" vertical="center"/>
    </xf>
    <xf numFmtId="2" fontId="40" fillId="5" borderId="6" xfId="0" applyNumberFormat="1" applyFont="1" applyFill="1" applyBorder="1" applyAlignment="1">
      <alignment horizontal="center" vertical="center"/>
    </xf>
    <xf numFmtId="168" fontId="39" fillId="5" borderId="0" xfId="0" applyNumberFormat="1" applyFont="1" applyFill="1" applyBorder="1" applyAlignment="1">
      <alignment horizontal="center" vertical="center"/>
    </xf>
    <xf numFmtId="0" fontId="43" fillId="0" borderId="0" xfId="0" applyFont="1" applyFill="1" applyBorder="1" applyAlignment="1" applyProtection="1">
      <alignment vertical="center"/>
    </xf>
    <xf numFmtId="0" fontId="41" fillId="6" borderId="6" xfId="0" applyFont="1" applyFill="1" applyBorder="1" applyAlignment="1" applyProtection="1">
      <alignment horizontal="center" vertical="center"/>
    </xf>
    <xf numFmtId="0" fontId="41" fillId="6" borderId="35" xfId="0" applyFont="1" applyFill="1" applyBorder="1" applyAlignment="1" applyProtection="1">
      <alignment horizontal="center"/>
    </xf>
    <xf numFmtId="0" fontId="41" fillId="0" borderId="38" xfId="0" applyFont="1" applyBorder="1" applyAlignment="1" applyProtection="1">
      <alignment horizontal="center"/>
    </xf>
    <xf numFmtId="2" fontId="54" fillId="0" borderId="0" xfId="0" applyNumberFormat="1" applyFont="1" applyFill="1" applyBorder="1" applyAlignment="1" applyProtection="1">
      <alignment horizontal="center" vertical="center"/>
      <protection locked="0"/>
    </xf>
    <xf numFmtId="0" fontId="41" fillId="0" borderId="39" xfId="0" applyFont="1" applyBorder="1" applyAlignment="1" applyProtection="1">
      <alignment horizontal="center"/>
    </xf>
    <xf numFmtId="0" fontId="41" fillId="0" borderId="16" xfId="0" applyFont="1" applyBorder="1" applyAlignment="1" applyProtection="1">
      <alignment horizontal="center"/>
    </xf>
    <xf numFmtId="0" fontId="39" fillId="0" borderId="0" xfId="0" applyFont="1" applyAlignment="1">
      <alignment vertical="center"/>
    </xf>
    <xf numFmtId="0" fontId="41" fillId="5" borderId="0" xfId="0" applyFont="1" applyFill="1" applyBorder="1" applyAlignment="1">
      <alignment vertical="center"/>
    </xf>
    <xf numFmtId="0" fontId="43" fillId="0" borderId="0" xfId="0" applyFont="1"/>
    <xf numFmtId="0" fontId="39" fillId="0" borderId="0" xfId="0" applyFont="1" applyBorder="1" applyAlignment="1">
      <alignment vertical="center"/>
    </xf>
    <xf numFmtId="0" fontId="43" fillId="6" borderId="0" xfId="0" applyFont="1" applyFill="1" applyBorder="1"/>
    <xf numFmtId="11" fontId="43" fillId="6" borderId="0" xfId="0" applyNumberFormat="1" applyFont="1" applyFill="1" applyBorder="1" applyAlignment="1">
      <alignment horizontal="center"/>
    </xf>
    <xf numFmtId="0" fontId="43" fillId="6" borderId="0" xfId="0" applyFont="1" applyFill="1" applyBorder="1" applyAlignment="1">
      <alignment horizontal="center"/>
    </xf>
    <xf numFmtId="0" fontId="41" fillId="0" borderId="12" xfId="0" applyFont="1" applyBorder="1" applyAlignment="1">
      <alignment horizontal="center"/>
    </xf>
    <xf numFmtId="0" fontId="41" fillId="0" borderId="12" xfId="3" applyFont="1" applyBorder="1" applyAlignment="1">
      <alignment horizontal="right"/>
    </xf>
    <xf numFmtId="0" fontId="41" fillId="0" borderId="12" xfId="3" applyFont="1" applyBorder="1"/>
    <xf numFmtId="0" fontId="40" fillId="0" borderId="22" xfId="0" applyFont="1" applyBorder="1" applyAlignment="1">
      <alignment vertical="center"/>
    </xf>
    <xf numFmtId="0" fontId="43" fillId="0" borderId="0" xfId="0" applyFont="1" applyBorder="1"/>
    <xf numFmtId="11" fontId="43" fillId="0" borderId="0" xfId="0" applyNumberFormat="1" applyFont="1" applyBorder="1" applyAlignment="1">
      <alignment horizontal="center"/>
    </xf>
    <xf numFmtId="0" fontId="41" fillId="0" borderId="35" xfId="0" applyFont="1" applyBorder="1" applyAlignment="1" applyProtection="1">
      <alignment horizontal="center" vertical="center"/>
    </xf>
    <xf numFmtId="1" fontId="43" fillId="0" borderId="35" xfId="0" applyNumberFormat="1" applyFont="1" applyBorder="1" applyAlignment="1" applyProtection="1">
      <alignment horizontal="center" vertical="center"/>
    </xf>
    <xf numFmtId="0" fontId="43" fillId="7" borderId="0" xfId="0" applyFont="1" applyFill="1" applyBorder="1"/>
    <xf numFmtId="11" fontId="43" fillId="6" borderId="18" xfId="0" applyNumberFormat="1" applyFont="1" applyFill="1" applyBorder="1" applyAlignment="1">
      <alignment horizontal="center"/>
    </xf>
    <xf numFmtId="2" fontId="43" fillId="6" borderId="18" xfId="0" applyNumberFormat="1" applyFont="1" applyFill="1" applyBorder="1" applyAlignment="1">
      <alignment horizontal="center"/>
    </xf>
    <xf numFmtId="0" fontId="41" fillId="0" borderId="0" xfId="0" applyFont="1" applyBorder="1" applyAlignment="1" applyProtection="1">
      <alignment horizontal="center" vertical="center"/>
    </xf>
    <xf numFmtId="1" fontId="43" fillId="0" borderId="0" xfId="0" applyNumberFormat="1" applyFont="1" applyBorder="1" applyAlignment="1" applyProtection="1">
      <alignment horizontal="center" vertical="center"/>
    </xf>
    <xf numFmtId="0" fontId="41" fillId="0" borderId="12" xfId="0" applyFont="1" applyBorder="1"/>
    <xf numFmtId="2" fontId="43" fillId="0" borderId="0" xfId="0" applyNumberFormat="1" applyFont="1" applyBorder="1" applyAlignment="1">
      <alignment horizontal="center"/>
    </xf>
    <xf numFmtId="0" fontId="56" fillId="0" borderId="0" xfId="0" applyFont="1" applyAlignment="1">
      <alignment vertical="center"/>
    </xf>
    <xf numFmtId="0" fontId="41" fillId="7" borderId="17" xfId="0" applyFont="1" applyFill="1" applyBorder="1"/>
    <xf numFmtId="166" fontId="43" fillId="0" borderId="0" xfId="0" applyNumberFormat="1" applyFont="1"/>
    <xf numFmtId="11" fontId="43" fillId="6" borderId="3" xfId="0" applyNumberFormat="1" applyFont="1" applyFill="1" applyBorder="1" applyAlignment="1">
      <alignment horizontal="center"/>
    </xf>
    <xf numFmtId="2" fontId="43" fillId="6" borderId="3" xfId="0" applyNumberFormat="1" applyFont="1" applyFill="1" applyBorder="1" applyAlignment="1">
      <alignment horizontal="center"/>
    </xf>
    <xf numFmtId="166" fontId="43" fillId="6" borderId="3" xfId="0" applyNumberFormat="1" applyFont="1" applyFill="1" applyBorder="1" applyAlignment="1">
      <alignment horizontal="center"/>
    </xf>
    <xf numFmtId="0" fontId="43" fillId="6" borderId="3" xfId="0" applyFont="1" applyFill="1" applyBorder="1"/>
    <xf numFmtId="0" fontId="43" fillId="6" borderId="3" xfId="0" applyFont="1" applyFill="1" applyBorder="1" applyAlignment="1">
      <alignment horizontal="center"/>
    </xf>
    <xf numFmtId="0" fontId="43" fillId="7" borderId="0" xfId="0" applyFont="1" applyFill="1"/>
    <xf numFmtId="0" fontId="43" fillId="0" borderId="0" xfId="0" applyFont="1" applyBorder="1" applyAlignment="1">
      <alignment horizontal="center"/>
    </xf>
    <xf numFmtId="0" fontId="40" fillId="0" borderId="0" xfId="0" applyFont="1" applyAlignment="1">
      <alignment vertical="center"/>
    </xf>
    <xf numFmtId="11" fontId="41" fillId="6" borderId="18" xfId="0" applyNumberFormat="1" applyFont="1" applyFill="1" applyBorder="1" applyAlignment="1">
      <alignment horizontal="center"/>
    </xf>
    <xf numFmtId="0" fontId="41" fillId="7" borderId="21" xfId="0" applyFont="1" applyFill="1" applyBorder="1"/>
    <xf numFmtId="11" fontId="41" fillId="0" borderId="0" xfId="0" applyNumberFormat="1" applyFont="1" applyBorder="1" applyAlignment="1">
      <alignment horizontal="center"/>
    </xf>
    <xf numFmtId="0" fontId="39" fillId="0" borderId="17" xfId="0" applyFont="1" applyBorder="1" applyAlignment="1">
      <alignment vertical="center"/>
    </xf>
    <xf numFmtId="11" fontId="41" fillId="6" borderId="3" xfId="0" applyNumberFormat="1" applyFont="1" applyFill="1" applyBorder="1" applyAlignment="1">
      <alignment horizontal="center"/>
    </xf>
    <xf numFmtId="0" fontId="39" fillId="0" borderId="3" xfId="0" applyFont="1" applyBorder="1" applyAlignment="1">
      <alignment vertical="center"/>
    </xf>
    <xf numFmtId="0" fontId="41" fillId="0" borderId="3" xfId="0" applyFont="1" applyBorder="1" applyAlignment="1" applyProtection="1">
      <alignment horizontal="center" vertical="center"/>
    </xf>
    <xf numFmtId="1" fontId="43" fillId="0" borderId="3" xfId="0" applyNumberFormat="1" applyFont="1" applyBorder="1" applyAlignment="1" applyProtection="1">
      <alignment horizontal="center" vertical="center"/>
    </xf>
    <xf numFmtId="0" fontId="41" fillId="0" borderId="18" xfId="0" applyFont="1" applyBorder="1"/>
    <xf numFmtId="0" fontId="39" fillId="6" borderId="18" xfId="0" applyFont="1" applyFill="1" applyBorder="1" applyAlignment="1">
      <alignment horizontal="center" vertical="center"/>
    </xf>
    <xf numFmtId="0" fontId="41" fillId="0" borderId="0" xfId="0" applyFont="1" applyBorder="1"/>
    <xf numFmtId="11" fontId="39" fillId="6" borderId="18" xfId="0" applyNumberFormat="1" applyFont="1" applyFill="1" applyBorder="1" applyAlignment="1">
      <alignment vertical="center"/>
    </xf>
    <xf numFmtId="0" fontId="39" fillId="0" borderId="3" xfId="0" applyFont="1" applyBorder="1" applyAlignment="1">
      <alignment horizontal="center" vertical="center"/>
    </xf>
    <xf numFmtId="11" fontId="41" fillId="6" borderId="0" xfId="0" applyNumberFormat="1" applyFont="1" applyFill="1" applyBorder="1" applyAlignment="1">
      <alignment horizontal="center"/>
    </xf>
    <xf numFmtId="0" fontId="41" fillId="9" borderId="0" xfId="0" applyFont="1" applyFill="1" applyBorder="1"/>
    <xf numFmtId="166" fontId="43" fillId="9" borderId="0" xfId="0" applyNumberFormat="1" applyFont="1" applyFill="1" applyBorder="1" applyAlignment="1">
      <alignment horizontal="center"/>
    </xf>
    <xf numFmtId="11" fontId="39" fillId="0" borderId="0" xfId="0" applyNumberFormat="1" applyFont="1" applyBorder="1" applyAlignment="1">
      <alignment vertical="center"/>
    </xf>
    <xf numFmtId="165" fontId="39" fillId="6" borderId="35" xfId="0" applyNumberFormat="1" applyFont="1" applyFill="1" applyBorder="1" applyAlignment="1">
      <alignment vertical="center"/>
    </xf>
    <xf numFmtId="0" fontId="40" fillId="6" borderId="18" xfId="0" applyFont="1" applyFill="1" applyBorder="1" applyAlignment="1">
      <alignment vertical="center"/>
    </xf>
    <xf numFmtId="0" fontId="39" fillId="6" borderId="18" xfId="0" applyFont="1" applyFill="1" applyBorder="1" applyAlignment="1">
      <alignment vertical="center"/>
    </xf>
    <xf numFmtId="0" fontId="41" fillId="0" borderId="17" xfId="0" applyFont="1" applyBorder="1"/>
    <xf numFmtId="0" fontId="40" fillId="0" borderId="3" xfId="0" applyFont="1" applyBorder="1" applyAlignment="1">
      <alignment vertical="center"/>
    </xf>
    <xf numFmtId="0" fontId="41" fillId="0" borderId="11" xfId="0" applyFont="1" applyBorder="1"/>
    <xf numFmtId="166" fontId="41" fillId="0" borderId="13" xfId="0" applyNumberFormat="1" applyFont="1" applyBorder="1" applyAlignment="1">
      <alignment horizontal="center"/>
    </xf>
    <xf numFmtId="166" fontId="43" fillId="6" borderId="0" xfId="0" applyNumberFormat="1" applyFont="1" applyFill="1" applyBorder="1" applyAlignment="1">
      <alignment horizontal="center"/>
    </xf>
    <xf numFmtId="0" fontId="43" fillId="0" borderId="3" xfId="0" applyFont="1" applyBorder="1"/>
    <xf numFmtId="1" fontId="43" fillId="0" borderId="3" xfId="0" applyNumberFormat="1" applyFont="1" applyBorder="1" applyAlignment="1">
      <alignment horizontal="center"/>
    </xf>
    <xf numFmtId="166" fontId="43" fillId="0" borderId="3" xfId="0" applyNumberFormat="1" applyFont="1" applyBorder="1" applyAlignment="1">
      <alignment horizontal="center"/>
    </xf>
    <xf numFmtId="0" fontId="40" fillId="0" borderId="0" xfId="0" applyFont="1" applyBorder="1" applyAlignment="1">
      <alignment vertical="center"/>
    </xf>
    <xf numFmtId="1" fontId="39" fillId="0" borderId="0" xfId="0" applyNumberFormat="1" applyFont="1" applyAlignment="1">
      <alignment horizontal="center" vertical="center"/>
    </xf>
    <xf numFmtId="0" fontId="41" fillId="0" borderId="35" xfId="0" applyFont="1" applyBorder="1"/>
    <xf numFmtId="1" fontId="43" fillId="0" borderId="35" xfId="0" applyNumberFormat="1" applyFont="1" applyBorder="1" applyAlignment="1">
      <alignment horizontal="center"/>
    </xf>
    <xf numFmtId="0" fontId="41" fillId="0" borderId="3" xfId="0" applyFont="1" applyBorder="1"/>
    <xf numFmtId="0" fontId="43" fillId="0" borderId="35" xfId="0" applyFont="1" applyFill="1" applyBorder="1" applyAlignment="1" applyProtection="1">
      <alignment vertical="center"/>
    </xf>
    <xf numFmtId="0" fontId="41" fillId="0" borderId="6" xfId="0" applyFont="1" applyBorder="1"/>
    <xf numFmtId="1" fontId="39" fillId="0" borderId="6" xfId="0" applyNumberFormat="1" applyFont="1" applyBorder="1" applyAlignment="1">
      <alignment horizontal="center" vertical="center"/>
    </xf>
    <xf numFmtId="1" fontId="39" fillId="0" borderId="3" xfId="0" applyNumberFormat="1" applyFont="1" applyBorder="1" applyAlignment="1">
      <alignment horizontal="center" vertical="center"/>
    </xf>
    <xf numFmtId="0" fontId="41" fillId="6" borderId="0" xfId="0" applyFont="1" applyFill="1" applyBorder="1" applyAlignment="1" applyProtection="1">
      <alignment horizontal="center" vertical="center"/>
    </xf>
    <xf numFmtId="0" fontId="41" fillId="9" borderId="6" xfId="0" applyFont="1" applyFill="1" applyBorder="1"/>
    <xf numFmtId="165" fontId="39" fillId="9" borderId="6" xfId="0" applyNumberFormat="1" applyFont="1" applyFill="1" applyBorder="1" applyAlignment="1">
      <alignment horizontal="center" vertical="center"/>
    </xf>
    <xf numFmtId="0" fontId="41" fillId="6" borderId="35" xfId="0" applyFont="1" applyFill="1" applyBorder="1" applyAlignment="1" applyProtection="1">
      <alignment horizontal="center" vertical="center"/>
    </xf>
    <xf numFmtId="1" fontId="43" fillId="0" borderId="35" xfId="0" applyNumberFormat="1" applyFont="1" applyFill="1" applyBorder="1" applyAlignment="1" applyProtection="1">
      <alignment horizontal="center" vertical="center"/>
    </xf>
    <xf numFmtId="1" fontId="43" fillId="0" borderId="0" xfId="0" applyNumberFormat="1" applyFont="1" applyFill="1" applyBorder="1" applyAlignment="1" applyProtection="1">
      <alignment horizontal="center" vertical="center"/>
    </xf>
    <xf numFmtId="165" fontId="39" fillId="0" borderId="6" xfId="0" applyNumberFormat="1" applyFont="1" applyBorder="1" applyAlignment="1">
      <alignment horizontal="center" vertical="center"/>
    </xf>
    <xf numFmtId="0" fontId="40" fillId="0" borderId="13" xfId="0" applyFont="1" applyBorder="1" applyAlignment="1">
      <alignment horizontal="center" vertical="center"/>
    </xf>
    <xf numFmtId="0" fontId="39" fillId="6" borderId="18" xfId="0" applyFont="1" applyFill="1" applyBorder="1" applyAlignment="1">
      <alignment horizontal="center" vertical="center"/>
    </xf>
    <xf numFmtId="0" fontId="19" fillId="0" borderId="1" xfId="0" applyFont="1" applyFill="1" applyBorder="1" applyAlignment="1" applyProtection="1">
      <alignment horizontal="center" vertical="center"/>
      <protection locked="0"/>
    </xf>
    <xf numFmtId="0" fontId="19" fillId="0" borderId="1" xfId="0" applyFont="1" applyFill="1" applyBorder="1" applyAlignment="1" applyProtection="1">
      <alignment horizontal="center" vertical="center"/>
      <protection locked="0"/>
    </xf>
    <xf numFmtId="166" fontId="39" fillId="0" borderId="0" xfId="0" applyNumberFormat="1" applyFont="1" applyFill="1" applyAlignment="1">
      <alignment horizontal="center" vertical="center"/>
    </xf>
    <xf numFmtId="0" fontId="43" fillId="5" borderId="2" xfId="0" applyFont="1" applyFill="1" applyBorder="1" applyAlignment="1" applyProtection="1">
      <alignment vertical="center"/>
    </xf>
    <xf numFmtId="0" fontId="43" fillId="5" borderId="1" xfId="0" applyFont="1" applyFill="1" applyBorder="1" applyAlignment="1" applyProtection="1">
      <alignment vertical="center"/>
    </xf>
    <xf numFmtId="2" fontId="43" fillId="5" borderId="24" xfId="0" applyNumberFormat="1" applyFont="1" applyFill="1" applyBorder="1" applyAlignment="1" applyProtection="1">
      <alignment vertical="center"/>
    </xf>
    <xf numFmtId="167" fontId="43" fillId="5" borderId="1" xfId="0" applyNumberFormat="1" applyFont="1" applyFill="1" applyBorder="1" applyAlignment="1" applyProtection="1">
      <alignment horizontal="center" vertical="center"/>
      <protection locked="0"/>
    </xf>
    <xf numFmtId="2" fontId="43" fillId="5" borderId="24" xfId="0" applyNumberFormat="1" applyFont="1" applyFill="1" applyBorder="1" applyAlignment="1" applyProtection="1">
      <alignment horizontal="center" vertical="center"/>
    </xf>
    <xf numFmtId="0" fontId="43" fillId="5" borderId="2" xfId="0" applyFont="1" applyFill="1" applyBorder="1" applyAlignment="1" applyProtection="1">
      <alignment horizontal="left" vertical="center"/>
    </xf>
    <xf numFmtId="2" fontId="43" fillId="5" borderId="2" xfId="0" applyNumberFormat="1" applyFont="1" applyFill="1" applyBorder="1" applyAlignment="1" applyProtection="1">
      <alignment vertical="center"/>
    </xf>
    <xf numFmtId="2" fontId="43" fillId="5" borderId="1" xfId="0" applyNumberFormat="1" applyFont="1" applyFill="1" applyBorder="1" applyAlignment="1" applyProtection="1">
      <alignment horizontal="center" vertical="center"/>
      <protection locked="0"/>
    </xf>
    <xf numFmtId="2" fontId="43" fillId="5" borderId="1" xfId="0" applyNumberFormat="1" applyFont="1" applyFill="1" applyBorder="1" applyAlignment="1" applyProtection="1">
      <alignment vertical="center"/>
    </xf>
    <xf numFmtId="2" fontId="43" fillId="5" borderId="2" xfId="0" applyNumberFormat="1" applyFont="1" applyFill="1" applyBorder="1" applyAlignment="1" applyProtection="1">
      <alignment horizontal="left" vertical="center"/>
    </xf>
    <xf numFmtId="0" fontId="39" fillId="0" borderId="0" xfId="0" applyFont="1" applyFill="1" applyBorder="1" applyAlignment="1">
      <alignment vertical="center"/>
    </xf>
    <xf numFmtId="0" fontId="43" fillId="0" borderId="0" xfId="0" applyFont="1" applyFill="1" applyBorder="1"/>
    <xf numFmtId="11" fontId="43" fillId="0" borderId="0" xfId="0" applyNumberFormat="1" applyFont="1" applyFill="1" applyBorder="1" applyAlignment="1">
      <alignment horizontal="center"/>
    </xf>
    <xf numFmtId="0" fontId="43" fillId="0" borderId="0" xfId="0" applyFont="1" applyFill="1" applyBorder="1" applyAlignment="1">
      <alignment horizontal="center"/>
    </xf>
    <xf numFmtId="166" fontId="43" fillId="0" borderId="0" xfId="0" applyNumberFormat="1" applyFont="1" applyFill="1" applyBorder="1" applyAlignment="1">
      <alignment horizontal="center"/>
    </xf>
    <xf numFmtId="0" fontId="41" fillId="0" borderId="0" xfId="0" applyFont="1" applyFill="1" applyBorder="1"/>
    <xf numFmtId="0" fontId="41" fillId="0" borderId="0" xfId="0" applyFont="1" applyFill="1" applyBorder="1" applyAlignment="1">
      <alignment horizontal="center"/>
    </xf>
    <xf numFmtId="1" fontId="43" fillId="0" borderId="0" xfId="0" applyNumberFormat="1" applyFont="1" applyFill="1" applyBorder="1" applyAlignment="1">
      <alignment horizontal="center"/>
    </xf>
    <xf numFmtId="0" fontId="1" fillId="4" borderId="30" xfId="0" applyFont="1" applyFill="1" applyBorder="1" applyAlignment="1">
      <alignment horizontal="center"/>
    </xf>
    <xf numFmtId="0" fontId="0" fillId="4" borderId="30" xfId="0" applyFill="1" applyBorder="1" applyAlignment="1">
      <alignment horizontal="center"/>
    </xf>
    <xf numFmtId="0" fontId="0" fillId="4" borderId="28" xfId="0" applyFill="1" applyBorder="1" applyAlignment="1">
      <alignment horizontal="center"/>
    </xf>
    <xf numFmtId="0" fontId="1" fillId="4" borderId="1" xfId="0" applyFont="1" applyFill="1" applyBorder="1" applyAlignment="1">
      <alignment horizontal="center"/>
    </xf>
    <xf numFmtId="0" fontId="0" fillId="4" borderId="1" xfId="0" applyFill="1" applyBorder="1" applyAlignment="1">
      <alignment horizontal="center"/>
    </xf>
    <xf numFmtId="0" fontId="0" fillId="4" borderId="26" xfId="0" applyFill="1" applyBorder="1" applyAlignment="1">
      <alignment horizontal="center"/>
    </xf>
    <xf numFmtId="0" fontId="38" fillId="2" borderId="27" xfId="2" applyFont="1" applyFill="1" applyBorder="1" applyAlignment="1" applyProtection="1">
      <alignment horizontal="center" vertical="center"/>
    </xf>
    <xf numFmtId="0" fontId="38" fillId="2" borderId="29" xfId="2" applyFont="1" applyFill="1" applyBorder="1" applyAlignment="1" applyProtection="1">
      <alignment horizontal="center" vertical="center"/>
    </xf>
    <xf numFmtId="0" fontId="2" fillId="2" borderId="7" xfId="0" applyFont="1" applyFill="1" applyBorder="1" applyAlignment="1">
      <alignment horizontal="center"/>
    </xf>
    <xf numFmtId="0" fontId="2" fillId="2" borderId="14" xfId="0" applyFont="1" applyFill="1" applyBorder="1" applyAlignment="1">
      <alignment horizontal="center"/>
    </xf>
    <xf numFmtId="0" fontId="2" fillId="2" borderId="31" xfId="0" applyFont="1" applyFill="1" applyBorder="1" applyAlignment="1">
      <alignment horizontal="center"/>
    </xf>
    <xf numFmtId="0" fontId="1" fillId="4" borderId="32" xfId="0" applyFont="1" applyFill="1" applyBorder="1" applyAlignment="1">
      <alignment horizontal="center"/>
    </xf>
    <xf numFmtId="0" fontId="0" fillId="4" borderId="10" xfId="0" applyFill="1" applyBorder="1" applyAlignment="1">
      <alignment horizontal="center"/>
    </xf>
    <xf numFmtId="0" fontId="0" fillId="4" borderId="16" xfId="0" applyFill="1" applyBorder="1" applyAlignment="1">
      <alignment horizontal="center"/>
    </xf>
    <xf numFmtId="0" fontId="1" fillId="4" borderId="25" xfId="0" applyFont="1" applyFill="1" applyBorder="1" applyAlignment="1">
      <alignment horizontal="center"/>
    </xf>
    <xf numFmtId="0" fontId="0" fillId="4" borderId="24" xfId="0" applyFill="1" applyBorder="1" applyAlignment="1">
      <alignment horizontal="center"/>
    </xf>
    <xf numFmtId="0" fontId="0" fillId="4" borderId="25" xfId="0" applyFill="1" applyBorder="1" applyAlignment="1">
      <alignment horizontal="center"/>
    </xf>
    <xf numFmtId="0" fontId="1" fillId="4" borderId="27" xfId="0" applyFont="1" applyFill="1" applyBorder="1" applyAlignment="1">
      <alignment horizontal="center"/>
    </xf>
    <xf numFmtId="0" fontId="0" fillId="4" borderId="29" xfId="0" applyFill="1" applyBorder="1" applyAlignment="1">
      <alignment horizontal="center"/>
    </xf>
    <xf numFmtId="0" fontId="35" fillId="2" borderId="20" xfId="2" applyFont="1" applyFill="1" applyBorder="1" applyAlignment="1" applyProtection="1">
      <alignment horizontal="center" vertical="center"/>
    </xf>
    <xf numFmtId="0" fontId="35" fillId="2" borderId="18" xfId="2" applyFont="1" applyFill="1" applyBorder="1" applyAlignment="1" applyProtection="1">
      <alignment horizontal="center" vertical="center"/>
    </xf>
    <xf numFmtId="0" fontId="35" fillId="2" borderId="19" xfId="2" applyFont="1" applyFill="1" applyBorder="1" applyAlignment="1" applyProtection="1">
      <alignment horizontal="center" vertical="center"/>
    </xf>
    <xf numFmtId="0" fontId="37" fillId="2" borderId="7" xfId="2" applyFont="1" applyFill="1" applyBorder="1" applyAlignment="1" applyProtection="1">
      <alignment horizontal="center" vertical="center"/>
    </xf>
    <xf numFmtId="0" fontId="37" fillId="2" borderId="31" xfId="2" applyFont="1" applyFill="1" applyBorder="1" applyAlignment="1" applyProtection="1">
      <alignment horizontal="center" vertical="center"/>
    </xf>
    <xf numFmtId="0" fontId="38" fillId="2" borderId="25" xfId="2" applyFont="1" applyFill="1" applyBorder="1" applyAlignment="1" applyProtection="1">
      <alignment horizontal="center" vertical="center"/>
    </xf>
    <xf numFmtId="0" fontId="38" fillId="2" borderId="24" xfId="2" applyFont="1" applyFill="1" applyBorder="1" applyAlignment="1" applyProtection="1">
      <alignment horizontal="center" vertical="center"/>
    </xf>
    <xf numFmtId="0" fontId="38" fillId="2" borderId="25" xfId="2" applyFont="1" applyFill="1" applyBorder="1" applyAlignment="1" applyProtection="1">
      <alignment horizontal="center" vertical="center" wrapText="1"/>
    </xf>
    <xf numFmtId="0" fontId="38" fillId="2" borderId="24" xfId="2" applyFont="1" applyFill="1" applyBorder="1" applyAlignment="1" applyProtection="1">
      <alignment horizontal="center" vertical="center" wrapText="1"/>
    </xf>
    <xf numFmtId="0" fontId="2" fillId="2" borderId="15" xfId="0" applyFont="1" applyFill="1" applyBorder="1" applyAlignment="1">
      <alignment horizontal="center"/>
    </xf>
    <xf numFmtId="0" fontId="0" fillId="2" borderId="24" xfId="0" applyFill="1" applyBorder="1" applyAlignment="1">
      <alignment horizontal="left" vertical="center"/>
    </xf>
    <xf numFmtId="0" fontId="0" fillId="2" borderId="6" xfId="0" applyFill="1" applyBorder="1" applyAlignment="1">
      <alignment horizontal="left" vertical="center"/>
    </xf>
    <xf numFmtId="0" fontId="0" fillId="2" borderId="33" xfId="0" applyFill="1" applyBorder="1" applyAlignment="1">
      <alignment horizontal="left" vertical="center"/>
    </xf>
    <xf numFmtId="0" fontId="0" fillId="2" borderId="29" xfId="0" applyFill="1" applyBorder="1" applyAlignment="1">
      <alignment horizontal="left" vertical="center"/>
    </xf>
    <xf numFmtId="0" fontId="0" fillId="2" borderId="21" xfId="0" applyFill="1" applyBorder="1" applyAlignment="1">
      <alignment horizontal="left" vertical="center"/>
    </xf>
    <xf numFmtId="0" fontId="0" fillId="2" borderId="34" xfId="0" applyFill="1" applyBorder="1" applyAlignment="1">
      <alignment horizontal="left" vertical="center"/>
    </xf>
    <xf numFmtId="0" fontId="2" fillId="2" borderId="0" xfId="0" applyFont="1" applyFill="1" applyAlignment="1">
      <alignment horizontal="left"/>
    </xf>
    <xf numFmtId="0" fontId="0" fillId="2" borderId="0" xfId="0" applyFill="1" applyAlignment="1">
      <alignment horizontal="left"/>
    </xf>
    <xf numFmtId="0" fontId="1" fillId="2" borderId="24" xfId="0" applyFont="1" applyFill="1" applyBorder="1" applyAlignment="1">
      <alignment horizontal="left" vertical="center"/>
    </xf>
    <xf numFmtId="0" fontId="36" fillId="2" borderId="1" xfId="2" applyFont="1" applyFill="1" applyBorder="1" applyAlignment="1" applyProtection="1">
      <alignment horizontal="center"/>
    </xf>
    <xf numFmtId="0" fontId="36" fillId="2" borderId="26" xfId="2" applyFont="1" applyFill="1" applyBorder="1" applyAlignment="1" applyProtection="1">
      <alignment horizontal="center"/>
    </xf>
    <xf numFmtId="0" fontId="1" fillId="2" borderId="24" xfId="0" applyFont="1" applyFill="1" applyBorder="1" applyAlignment="1">
      <alignment horizontal="left" vertical="center" wrapText="1"/>
    </xf>
    <xf numFmtId="0" fontId="1" fillId="0" borderId="11" xfId="0" applyFont="1" applyFill="1" applyBorder="1" applyAlignment="1" applyProtection="1">
      <alignment horizontal="center" vertical="center"/>
      <protection locked="0"/>
    </xf>
    <xf numFmtId="0" fontId="0" fillId="0" borderId="13" xfId="0" applyFill="1" applyBorder="1" applyAlignment="1" applyProtection="1">
      <alignment horizontal="center" vertical="center"/>
      <protection locked="0"/>
    </xf>
    <xf numFmtId="0" fontId="2" fillId="2" borderId="11" xfId="0" applyFont="1" applyFill="1" applyBorder="1" applyAlignment="1" applyProtection="1">
      <alignment horizontal="center"/>
    </xf>
    <xf numFmtId="0" fontId="2" fillId="2" borderId="12" xfId="0" applyFont="1" applyFill="1" applyBorder="1" applyAlignment="1" applyProtection="1">
      <alignment horizontal="center"/>
    </xf>
    <xf numFmtId="0" fontId="2" fillId="2" borderId="13" xfId="0" applyFont="1" applyFill="1" applyBorder="1" applyAlignment="1" applyProtection="1">
      <alignment horizontal="center"/>
    </xf>
    <xf numFmtId="0" fontId="13" fillId="2" borderId="11" xfId="0" applyFont="1" applyFill="1" applyBorder="1" applyAlignment="1" applyProtection="1">
      <alignment horizontal="center"/>
    </xf>
    <xf numFmtId="0" fontId="13" fillId="2" borderId="12" xfId="0" applyFont="1" applyFill="1" applyBorder="1" applyAlignment="1" applyProtection="1">
      <alignment horizontal="center"/>
    </xf>
    <xf numFmtId="0" fontId="13" fillId="2" borderId="13" xfId="0" applyFont="1" applyFill="1" applyBorder="1" applyAlignment="1" applyProtection="1">
      <alignment horizontal="center"/>
    </xf>
    <xf numFmtId="0" fontId="2" fillId="3" borderId="11" xfId="0" applyFont="1" applyFill="1" applyBorder="1" applyAlignment="1" applyProtection="1">
      <alignment horizontal="center"/>
    </xf>
    <xf numFmtId="0" fontId="2" fillId="3" borderId="12" xfId="0" applyFont="1" applyFill="1" applyBorder="1" applyAlignment="1" applyProtection="1">
      <alignment horizontal="center"/>
    </xf>
    <xf numFmtId="0" fontId="2" fillId="3" borderId="13" xfId="0" applyFont="1" applyFill="1" applyBorder="1" applyAlignment="1" applyProtection="1">
      <alignment horizontal="center"/>
    </xf>
    <xf numFmtId="0" fontId="2" fillId="3" borderId="20" xfId="0" applyFont="1" applyFill="1" applyBorder="1" applyAlignment="1" applyProtection="1">
      <alignment horizontal="center"/>
    </xf>
    <xf numFmtId="0" fontId="2" fillId="3" borderId="18" xfId="0" applyFont="1" applyFill="1" applyBorder="1" applyAlignment="1" applyProtection="1">
      <alignment horizontal="center"/>
    </xf>
    <xf numFmtId="0" fontId="2" fillId="3" borderId="19" xfId="0" applyFont="1" applyFill="1" applyBorder="1" applyAlignment="1" applyProtection="1">
      <alignment horizontal="center"/>
    </xf>
    <xf numFmtId="0" fontId="1" fillId="0" borderId="0" xfId="0" applyFont="1" applyFill="1" applyAlignment="1" applyProtection="1">
      <alignment horizontal="center"/>
    </xf>
    <xf numFmtId="0" fontId="0" fillId="0" borderId="0" xfId="0" applyFill="1" applyAlignment="1" applyProtection="1">
      <alignment horizontal="center"/>
    </xf>
    <xf numFmtId="0" fontId="13" fillId="3" borderId="0" xfId="0" applyFont="1" applyFill="1" applyBorder="1" applyAlignment="1" applyProtection="1">
      <alignment horizontal="center"/>
    </xf>
    <xf numFmtId="0" fontId="2" fillId="3" borderId="1" xfId="0" applyFont="1" applyFill="1" applyBorder="1" applyAlignment="1" applyProtection="1">
      <alignment horizontal="center"/>
    </xf>
    <xf numFmtId="0" fontId="2" fillId="3" borderId="10" xfId="0" applyFont="1" applyFill="1" applyBorder="1" applyAlignment="1" applyProtection="1">
      <alignment horizontal="center"/>
    </xf>
    <xf numFmtId="0" fontId="0" fillId="0" borderId="11" xfId="0" applyFill="1" applyBorder="1" applyAlignment="1" applyProtection="1">
      <alignment horizontal="center" vertical="center"/>
      <protection locked="0"/>
    </xf>
    <xf numFmtId="0" fontId="2" fillId="2" borderId="0" xfId="0" applyFont="1" applyFill="1" applyBorder="1" applyAlignment="1">
      <alignment horizontal="center"/>
    </xf>
    <xf numFmtId="0" fontId="34" fillId="3" borderId="23" xfId="0" applyFont="1" applyFill="1" applyBorder="1" applyAlignment="1" applyProtection="1">
      <alignment horizontal="center" vertical="center" wrapText="1"/>
    </xf>
    <xf numFmtId="0" fontId="34" fillId="3" borderId="0" xfId="0" applyFont="1" applyFill="1" applyAlignment="1" applyProtection="1">
      <alignment horizontal="center" vertical="center" wrapText="1"/>
    </xf>
    <xf numFmtId="0" fontId="1" fillId="0" borderId="11" xfId="0" applyFont="1" applyFill="1" applyBorder="1" applyAlignment="1" applyProtection="1">
      <alignment horizontal="center"/>
      <protection locked="0"/>
    </xf>
    <xf numFmtId="0" fontId="0" fillId="0" borderId="13" xfId="0" applyFill="1" applyBorder="1" applyAlignment="1" applyProtection="1">
      <alignment horizontal="center"/>
      <protection locked="0"/>
    </xf>
    <xf numFmtId="0" fontId="0" fillId="0" borderId="11" xfId="0" applyFill="1" applyBorder="1" applyAlignment="1" applyProtection="1">
      <alignment horizontal="center"/>
      <protection locked="0"/>
    </xf>
    <xf numFmtId="0" fontId="2" fillId="3" borderId="0" xfId="0" applyFont="1" applyFill="1" applyBorder="1" applyAlignment="1" applyProtection="1">
      <alignment horizontal="center"/>
    </xf>
    <xf numFmtId="0" fontId="0" fillId="3" borderId="0" xfId="0" applyFill="1" applyBorder="1" applyAlignment="1">
      <alignment horizontal="center"/>
    </xf>
    <xf numFmtId="0" fontId="2" fillId="3" borderId="14" xfId="0" applyFont="1" applyFill="1" applyBorder="1" applyAlignment="1" applyProtection="1">
      <alignment horizontal="center"/>
    </xf>
    <xf numFmtId="0" fontId="2" fillId="3" borderId="0" xfId="0" applyFont="1" applyFill="1" applyBorder="1" applyAlignment="1" applyProtection="1">
      <alignment horizontal="left"/>
    </xf>
    <xf numFmtId="0" fontId="2" fillId="3" borderId="15" xfId="0" applyFont="1" applyFill="1" applyBorder="1" applyAlignment="1" applyProtection="1">
      <alignment horizontal="center"/>
    </xf>
    <xf numFmtId="2" fontId="3" fillId="3" borderId="0" xfId="0" applyNumberFormat="1" applyFont="1" applyFill="1" applyBorder="1" applyAlignment="1" applyProtection="1">
      <alignment horizontal="center"/>
    </xf>
    <xf numFmtId="0" fontId="3" fillId="3" borderId="1" xfId="0" applyFont="1" applyFill="1" applyBorder="1" applyAlignment="1" applyProtection="1">
      <alignment horizontal="center"/>
    </xf>
    <xf numFmtId="0" fontId="2" fillId="0" borderId="1" xfId="0" applyFont="1" applyFill="1" applyBorder="1" applyAlignment="1" applyProtection="1">
      <alignment horizontal="center"/>
      <protection locked="0"/>
    </xf>
    <xf numFmtId="168" fontId="3" fillId="3" borderId="0" xfId="0" applyNumberFormat="1" applyFont="1" applyFill="1" applyBorder="1" applyAlignment="1" applyProtection="1">
      <alignment horizontal="center"/>
    </xf>
    <xf numFmtId="0" fontId="2" fillId="0" borderId="1" xfId="0" applyFont="1" applyFill="1" applyBorder="1" applyAlignment="1" applyProtection="1">
      <alignment horizontal="center" vertical="center"/>
      <protection locked="0"/>
    </xf>
    <xf numFmtId="0" fontId="2" fillId="3" borderId="16" xfId="0" applyFont="1" applyFill="1" applyBorder="1" applyAlignment="1" applyProtection="1">
      <alignment horizontal="center"/>
    </xf>
    <xf numFmtId="0" fontId="2" fillId="3" borderId="3" xfId="0" applyFont="1" applyFill="1" applyBorder="1" applyAlignment="1" applyProtection="1">
      <alignment horizontal="center"/>
    </xf>
    <xf numFmtId="0" fontId="41" fillId="6" borderId="6" xfId="0" applyFont="1" applyFill="1" applyBorder="1" applyAlignment="1" applyProtection="1">
      <alignment horizontal="center" vertical="center"/>
    </xf>
    <xf numFmtId="2" fontId="40" fillId="0" borderId="6" xfId="0" applyNumberFormat="1" applyFont="1" applyBorder="1" applyAlignment="1">
      <alignment horizontal="center" vertical="center"/>
    </xf>
    <xf numFmtId="2" fontId="40" fillId="0" borderId="11" xfId="0" applyNumberFormat="1" applyFont="1" applyBorder="1" applyAlignment="1">
      <alignment horizontal="center" vertical="center"/>
    </xf>
    <xf numFmtId="2" fontId="40" fillId="0" borderId="12" xfId="0" applyNumberFormat="1" applyFont="1" applyBorder="1" applyAlignment="1">
      <alignment horizontal="center" vertical="center"/>
    </xf>
    <xf numFmtId="2" fontId="40" fillId="0" borderId="13" xfId="0" applyNumberFormat="1" applyFont="1" applyBorder="1" applyAlignment="1">
      <alignment horizontal="center" vertical="center"/>
    </xf>
    <xf numFmtId="0" fontId="40" fillId="0" borderId="11" xfId="0" applyFont="1" applyBorder="1" applyAlignment="1">
      <alignment horizontal="center" vertical="center"/>
    </xf>
    <xf numFmtId="0" fontId="40" fillId="0" borderId="12" xfId="0" applyFont="1" applyBorder="1" applyAlignment="1">
      <alignment horizontal="center" vertical="center"/>
    </xf>
    <xf numFmtId="0" fontId="40" fillId="0" borderId="13" xfId="0" applyFont="1" applyBorder="1" applyAlignment="1">
      <alignment horizontal="center" vertical="center"/>
    </xf>
    <xf numFmtId="0" fontId="41" fillId="6" borderId="35" xfId="0" applyFont="1" applyFill="1" applyBorder="1" applyAlignment="1" applyProtection="1">
      <alignment horizontal="center" vertical="center"/>
    </xf>
    <xf numFmtId="2" fontId="41" fillId="6" borderId="6" xfId="0" applyNumberFormat="1" applyFont="1" applyFill="1" applyBorder="1" applyAlignment="1" applyProtection="1">
      <alignment horizontal="center" vertical="center"/>
    </xf>
    <xf numFmtId="0" fontId="41" fillId="0" borderId="12" xfId="0" applyFont="1" applyBorder="1" applyAlignment="1" applyProtection="1">
      <alignment horizontal="center" vertical="center"/>
    </xf>
    <xf numFmtId="0" fontId="40" fillId="10" borderId="1" xfId="0" applyFont="1" applyFill="1" applyBorder="1" applyAlignment="1">
      <alignment horizontal="center" vertical="center"/>
    </xf>
    <xf numFmtId="0" fontId="39" fillId="6" borderId="3" xfId="0" applyFont="1" applyFill="1" applyBorder="1" applyAlignment="1">
      <alignment horizontal="center" vertical="center"/>
    </xf>
    <xf numFmtId="166" fontId="39" fillId="6" borderId="3" xfId="0" applyNumberFormat="1" applyFont="1" applyFill="1" applyBorder="1" applyAlignment="1">
      <alignment horizontal="center" vertical="center"/>
    </xf>
    <xf numFmtId="0" fontId="40" fillId="0" borderId="21" xfId="0" applyFont="1" applyBorder="1" applyAlignment="1">
      <alignment horizontal="center" vertical="center"/>
    </xf>
    <xf numFmtId="0" fontId="39" fillId="6" borderId="18" xfId="0" applyFont="1" applyFill="1" applyBorder="1" applyAlignment="1">
      <alignment horizontal="center" vertical="center"/>
    </xf>
    <xf numFmtId="0" fontId="39" fillId="0" borderId="0" xfId="0" applyFont="1" applyBorder="1" applyAlignment="1">
      <alignment horizontal="center" vertical="center"/>
    </xf>
    <xf numFmtId="0" fontId="39" fillId="6" borderId="0" xfId="0" applyFont="1" applyFill="1" applyBorder="1" applyAlignment="1">
      <alignment horizontal="center" vertical="center"/>
    </xf>
    <xf numFmtId="0" fontId="40" fillId="10" borderId="11" xfId="0" applyFont="1" applyFill="1" applyBorder="1" applyAlignment="1">
      <alignment horizontal="center" vertical="center"/>
    </xf>
    <xf numFmtId="0" fontId="40" fillId="10" borderId="12" xfId="0" applyFont="1" applyFill="1" applyBorder="1" applyAlignment="1">
      <alignment horizontal="center" vertical="center"/>
    </xf>
    <xf numFmtId="0" fontId="40" fillId="10" borderId="13" xfId="0" applyFont="1" applyFill="1" applyBorder="1" applyAlignment="1">
      <alignment horizontal="center" vertical="center"/>
    </xf>
    <xf numFmtId="0" fontId="41" fillId="10" borderId="11" xfId="0" applyFont="1" applyFill="1" applyBorder="1" applyAlignment="1">
      <alignment horizontal="center" vertical="center"/>
    </xf>
    <xf numFmtId="0" fontId="41" fillId="10" borderId="12" xfId="0" applyFont="1" applyFill="1" applyBorder="1" applyAlignment="1">
      <alignment horizontal="center" vertical="center"/>
    </xf>
    <xf numFmtId="0" fontId="41" fillId="10" borderId="13" xfId="0" applyFont="1" applyFill="1" applyBorder="1" applyAlignment="1">
      <alignment horizontal="center" vertical="center"/>
    </xf>
    <xf numFmtId="166" fontId="39" fillId="6" borderId="18" xfId="0" applyNumberFormat="1" applyFont="1" applyFill="1" applyBorder="1" applyAlignment="1">
      <alignment horizontal="center" vertical="center"/>
    </xf>
    <xf numFmtId="0" fontId="41" fillId="7" borderId="21" xfId="0" applyFont="1" applyFill="1" applyBorder="1" applyAlignment="1">
      <alignment horizontal="center"/>
    </xf>
    <xf numFmtId="0" fontId="41" fillId="6" borderId="6" xfId="0" applyFont="1" applyFill="1" applyBorder="1" applyAlignment="1">
      <alignment horizontal="center"/>
    </xf>
    <xf numFmtId="0" fontId="41" fillId="0" borderId="12" xfId="0" applyFont="1" applyBorder="1" applyAlignment="1">
      <alignment horizontal="center"/>
    </xf>
    <xf numFmtId="166" fontId="39" fillId="6" borderId="0" xfId="0" applyNumberFormat="1" applyFont="1" applyFill="1" applyBorder="1" applyAlignment="1">
      <alignment horizontal="center" vertical="center"/>
    </xf>
    <xf numFmtId="0" fontId="41" fillId="8" borderId="12" xfId="0" applyFont="1" applyFill="1" applyBorder="1" applyAlignment="1">
      <alignment horizontal="center"/>
    </xf>
    <xf numFmtId="165" fontId="39" fillId="0" borderId="0" xfId="0" applyNumberFormat="1" applyFont="1" applyBorder="1" applyAlignment="1">
      <alignment horizontal="center" vertical="center"/>
    </xf>
    <xf numFmtId="2" fontId="39" fillId="6" borderId="0" xfId="0" applyNumberFormat="1" applyFont="1" applyFill="1" applyBorder="1" applyAlignment="1">
      <alignment horizontal="center" vertical="center"/>
    </xf>
    <xf numFmtId="0" fontId="40" fillId="0" borderId="17" xfId="0" applyFont="1" applyBorder="1" applyAlignment="1">
      <alignment horizontal="center" vertical="center"/>
    </xf>
    <xf numFmtId="11" fontId="39" fillId="0" borderId="0" xfId="0" applyNumberFormat="1" applyFont="1" applyBorder="1" applyAlignment="1">
      <alignment horizontal="center" vertical="center"/>
    </xf>
    <xf numFmtId="166" fontId="39" fillId="0" borderId="0" xfId="0" applyNumberFormat="1" applyFont="1" applyBorder="1" applyAlignment="1">
      <alignment horizontal="center" vertical="center"/>
    </xf>
    <xf numFmtId="11" fontId="39" fillId="6" borderId="3" xfId="0" applyNumberFormat="1" applyFont="1" applyFill="1" applyBorder="1" applyAlignment="1">
      <alignment horizontal="center" vertical="center"/>
    </xf>
    <xf numFmtId="11" fontId="41" fillId="6" borderId="11" xfId="0" applyNumberFormat="1" applyFont="1" applyFill="1" applyBorder="1" applyAlignment="1">
      <alignment horizontal="center"/>
    </xf>
    <xf numFmtId="11" fontId="41" fillId="6" borderId="13" xfId="0" applyNumberFormat="1" applyFont="1" applyFill="1" applyBorder="1" applyAlignment="1">
      <alignment horizontal="center"/>
    </xf>
    <xf numFmtId="0" fontId="39" fillId="6" borderId="18" xfId="0" applyFont="1" applyFill="1" applyBorder="1" applyAlignment="1">
      <alignment horizontal="left" vertical="center"/>
    </xf>
    <xf numFmtId="0" fontId="41" fillId="0" borderId="0" xfId="0" applyFont="1" applyAlignment="1">
      <alignment horizontal="center" vertical="center" wrapText="1"/>
    </xf>
    <xf numFmtId="0" fontId="39" fillId="0" borderId="0" xfId="0" applyFont="1" applyBorder="1" applyAlignment="1">
      <alignment horizontal="left" vertical="center"/>
    </xf>
    <xf numFmtId="0" fontId="41" fillId="0" borderId="0" xfId="0" applyFont="1" applyFill="1" applyBorder="1" applyAlignment="1">
      <alignment horizontal="center"/>
    </xf>
    <xf numFmtId="0" fontId="41" fillId="6" borderId="11" xfId="0" applyFont="1" applyFill="1" applyBorder="1" applyAlignment="1" applyProtection="1">
      <alignment horizontal="center" vertical="center"/>
    </xf>
    <xf numFmtId="0" fontId="41" fillId="6" borderId="12" xfId="0" applyFont="1" applyFill="1" applyBorder="1" applyAlignment="1" applyProtection="1">
      <alignment horizontal="center" vertical="center"/>
    </xf>
    <xf numFmtId="0" fontId="41" fillId="6" borderId="13" xfId="0" applyFont="1" applyFill="1" applyBorder="1" applyAlignment="1" applyProtection="1">
      <alignment horizontal="center" vertical="center"/>
    </xf>
    <xf numFmtId="0" fontId="39" fillId="6" borderId="35" xfId="0" applyFont="1" applyFill="1" applyBorder="1" applyAlignment="1">
      <alignment horizontal="left" vertical="center"/>
    </xf>
    <xf numFmtId="0" fontId="39" fillId="0" borderId="3" xfId="0" applyFont="1" applyBorder="1" applyAlignment="1">
      <alignment horizontal="left" vertical="center"/>
    </xf>
    <xf numFmtId="0" fontId="41" fillId="6" borderId="36" xfId="0" applyFont="1" applyFill="1" applyBorder="1" applyAlignment="1">
      <alignment horizontal="center"/>
    </xf>
    <xf numFmtId="0" fontId="41" fillId="0" borderId="6" xfId="0" applyFont="1" applyBorder="1" applyAlignment="1">
      <alignment horizontal="center"/>
    </xf>
    <xf numFmtId="0" fontId="1" fillId="0" borderId="13" xfId="0" applyFont="1" applyFill="1" applyBorder="1" applyAlignment="1" applyProtection="1">
      <alignment horizontal="center"/>
      <protection locked="0"/>
    </xf>
    <xf numFmtId="0" fontId="0" fillId="0" borderId="18" xfId="0" applyFill="1" applyBorder="1" applyAlignment="1" applyProtection="1">
      <alignment horizontal="center" vertical="center" wrapText="1"/>
      <protection locked="0"/>
    </xf>
    <xf numFmtId="0" fontId="0" fillId="0" borderId="0" xfId="0" applyFill="1" applyAlignment="1" applyProtection="1">
      <alignment horizontal="center" vertical="center" wrapText="1"/>
      <protection locked="0"/>
    </xf>
  </cellXfs>
  <cellStyles count="5">
    <cellStyle name="Normal" xfId="0" builtinId="0"/>
    <cellStyle name="Normal 3" xfId="2"/>
    <cellStyle name="Normal_Planilhas de validação da DQO" xfId="3"/>
    <cellStyle name="Vírgula" xfId="1" builtinId="3"/>
    <cellStyle name="Vírgula 2" xfId="4"/>
  </cellStyles>
  <dxfs count="735">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rgb="FF9C0006"/>
      </font>
      <fill>
        <patternFill>
          <bgColor rgb="FFFFC7CE"/>
        </patternFill>
      </fill>
    </dxf>
    <dxf>
      <font>
        <color theme="3" tint="0.39994506668294322"/>
      </font>
    </dxf>
    <dxf>
      <font>
        <b/>
        <i val="0"/>
        <color theme="3"/>
      </font>
    </dxf>
    <dxf>
      <font>
        <color rgb="FF9C0006"/>
      </font>
      <fill>
        <patternFill>
          <bgColor rgb="FFFFC7CE"/>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6795556505021"/>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Arial"/>
                <a:ea typeface="Arial"/>
                <a:cs typeface="Arial"/>
              </a:defRPr>
            </a:pPr>
            <a:r>
              <a:rPr lang="pt-BR"/>
              <a:t>Curva de Calibração</a:t>
            </a:r>
          </a:p>
        </c:rich>
      </c:tx>
      <c:layout>
        <c:manualLayout>
          <c:xMode val="edge"/>
          <c:yMode val="edge"/>
          <c:x val="0.40100310188499338"/>
          <c:y val="1.7442014579191516E-2"/>
        </c:manualLayout>
      </c:layout>
      <c:overlay val="0"/>
      <c:spPr>
        <a:noFill/>
        <a:ln w="25400">
          <a:noFill/>
        </a:ln>
      </c:spPr>
    </c:title>
    <c:autoTitleDeleted val="0"/>
    <c:plotArea>
      <c:layout>
        <c:manualLayout>
          <c:layoutTarget val="inner"/>
          <c:xMode val="edge"/>
          <c:yMode val="edge"/>
          <c:x val="0.21351520028823684"/>
          <c:y val="0.16085301760276163"/>
          <c:w val="0.74638582202560155"/>
          <c:h val="0.64922603490271269"/>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12700">
                <a:solidFill>
                  <a:srgbClr val="FF0000"/>
                </a:solidFill>
                <a:prstDash val="solid"/>
              </a:ln>
            </c:spPr>
            <c:trendlineType val="linear"/>
            <c:dispRSqr val="0"/>
            <c:dispEq val="0"/>
          </c:trendline>
          <c:trendline>
            <c:trendlineType val="linear"/>
            <c:dispRSqr val="0"/>
            <c:dispEq val="0"/>
          </c:trendline>
          <c:xVal>
            <c:numRef>
              <c:f>Cálculos!$L$11:$L$50</c:f>
              <c:numCache>
                <c:formatCode>General</c:formatCode>
                <c:ptCount val="40"/>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7.6901959430766206E-3</c:v>
                </c:pt>
                <c:pt idx="8">
                  <c:v>7.6901959430766206E-3</c:v>
                </c:pt>
                <c:pt idx="9">
                  <c:v>7.6901959430766206E-3</c:v>
                </c:pt>
                <c:pt idx="10">
                  <c:v>7.6901959430766206E-3</c:v>
                </c:pt>
                <c:pt idx="11">
                  <c:v>7.6901959430766206E-3</c:v>
                </c:pt>
                <c:pt idx="12">
                  <c:v>7.6901959430766206E-3</c:v>
                </c:pt>
                <c:pt idx="13">
                  <c:v>7.6901959430766206E-3</c:v>
                </c:pt>
                <c:pt idx="14">
                  <c:v>9.4798151909143234E-3</c:v>
                </c:pt>
                <c:pt idx="15">
                  <c:v>9.4798151909143234E-3</c:v>
                </c:pt>
                <c:pt idx="16">
                  <c:v>9.4798151909143234E-3</c:v>
                </c:pt>
                <c:pt idx="17">
                  <c:v>9.4798151909143234E-3</c:v>
                </c:pt>
                <c:pt idx="18">
                  <c:v>9.4798151909143234E-3</c:v>
                </c:pt>
                <c:pt idx="19">
                  <c:v>9.4798151909143234E-3</c:v>
                </c:pt>
                <c:pt idx="20">
                  <c:v>9.4798151909143234E-3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numCache>
            </c:numRef>
          </c:xVal>
          <c:yVal>
            <c:numRef>
              <c:f>Cálculos!$N$11:$N$50</c:f>
              <c:numCache>
                <c:formatCode>General</c:formatCode>
                <c:ptCount val="40"/>
                <c:pt idx="0">
                  <c:v>73439.33142857143</c:v>
                </c:pt>
                <c:pt idx="1">
                  <c:v>74709.571428571435</c:v>
                </c:pt>
                <c:pt idx="2">
                  <c:v>75383.991428571433</c:v>
                </c:pt>
                <c:pt idx="3">
                  <c:v>76085.281428571427</c:v>
                </c:pt>
                <c:pt idx="4">
                  <c:v>76761.001428571428</c:v>
                </c:pt>
                <c:pt idx="5">
                  <c:v>76516.321428571435</c:v>
                </c:pt>
                <c:pt idx="6">
                  <c:v>76067.531428571427</c:v>
                </c:pt>
                <c:pt idx="7">
                  <c:v>114422.95142857142</c:v>
                </c:pt>
                <c:pt idx="8">
                  <c:v>114855.20142857142</c:v>
                </c:pt>
                <c:pt idx="9">
                  <c:v>116134.25142857143</c:v>
                </c:pt>
                <c:pt idx="10">
                  <c:v>117401.73142857144</c:v>
                </c:pt>
                <c:pt idx="11">
                  <c:v>117268.61142857143</c:v>
                </c:pt>
                <c:pt idx="12">
                  <c:v>117733.62142857144</c:v>
                </c:pt>
                <c:pt idx="13">
                  <c:v>115657.58142857143</c:v>
                </c:pt>
                <c:pt idx="14">
                  <c:v>137847.37142857144</c:v>
                </c:pt>
                <c:pt idx="15">
                  <c:v>136493.41142857145</c:v>
                </c:pt>
                <c:pt idx="16">
                  <c:v>135820.57142857142</c:v>
                </c:pt>
                <c:pt idx="17">
                  <c:v>136135.26142857142</c:v>
                </c:pt>
                <c:pt idx="18">
                  <c:v>137848.39142857143</c:v>
                </c:pt>
                <c:pt idx="19">
                  <c:v>138811.59142857144</c:v>
                </c:pt>
                <c:pt idx="20">
                  <c:v>138185.08142857143</c:v>
                </c:pt>
                <c:pt idx="21">
                  <c:v>168777.89142857143</c:v>
                </c:pt>
                <c:pt idx="22">
                  <c:v>172028.96142857143</c:v>
                </c:pt>
                <c:pt idx="23">
                  <c:v>172089.50142857144</c:v>
                </c:pt>
                <c:pt idx="24">
                  <c:v>173948.81142857144</c:v>
                </c:pt>
                <c:pt idx="25">
                  <c:v>175236.13142857142</c:v>
                </c:pt>
                <c:pt idx="26">
                  <c:v>175135.40142857144</c:v>
                </c:pt>
                <c:pt idx="27">
                  <c:v>175373.97142857144</c:v>
                </c:pt>
                <c:pt idx="28">
                  <c:v>219072.22142857144</c:v>
                </c:pt>
                <c:pt idx="29">
                  <c:v>222644.05142857143</c:v>
                </c:pt>
                <c:pt idx="30">
                  <c:v>222438.49142857143</c:v>
                </c:pt>
                <c:pt idx="31">
                  <c:v>223538.30142857143</c:v>
                </c:pt>
                <c:pt idx="32">
                  <c:v>220192.94142857144</c:v>
                </c:pt>
                <c:pt idx="33">
                  <c:v>220294.16142857145</c:v>
                </c:pt>
                <c:pt idx="34">
                  <c:v>220751.10142857142</c:v>
                </c:pt>
                <c:pt idx="35">
                  <c:v>281650.94142857142</c:v>
                </c:pt>
                <c:pt idx="36">
                  <c:v>276065.01142857142</c:v>
                </c:pt>
                <c:pt idx="37">
                  <c:v>277585.04142857145</c:v>
                </c:pt>
                <c:pt idx="38">
                  <c:v>278630.83142857143</c:v>
                </c:pt>
                <c:pt idx="39">
                  <c:v>281322.57142857142</c:v>
                </c:pt>
              </c:numCache>
            </c:numRef>
          </c:yVal>
          <c:smooth val="0"/>
        </c:ser>
        <c:dLbls>
          <c:showLegendKey val="0"/>
          <c:showVal val="0"/>
          <c:showCatName val="0"/>
          <c:showSerName val="0"/>
          <c:showPercent val="0"/>
          <c:showBubbleSize val="0"/>
        </c:dLbls>
        <c:axId val="-1730071600"/>
        <c:axId val="-1730077040"/>
      </c:scatterChart>
      <c:valAx>
        <c:axId val="-173007160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pt-BR" sz="1350" b="1" i="0" strike="noStrike">
                    <a:solidFill>
                      <a:srgbClr val="000000"/>
                    </a:solidFill>
                    <a:latin typeface="Arial"/>
                    <a:cs typeface="Arial"/>
                  </a:rPr>
                  <a:t>Fração Mássica(mg.kg</a:t>
                </a:r>
                <a:r>
                  <a:rPr lang="pt-BR" sz="1350" b="1" i="0" strike="noStrike" baseline="30000">
                    <a:solidFill>
                      <a:srgbClr val="000000"/>
                    </a:solidFill>
                    <a:latin typeface="Arial"/>
                    <a:cs typeface="Arial"/>
                  </a:rPr>
                  <a:t>-1</a:t>
                </a:r>
                <a:r>
                  <a:rPr lang="pt-BR" sz="1350" b="1" i="0" strike="noStrike">
                    <a:solidFill>
                      <a:srgbClr val="000000"/>
                    </a:solidFill>
                    <a:latin typeface="Arial"/>
                    <a:cs typeface="Arial"/>
                  </a:rPr>
                  <a:t>)</a:t>
                </a:r>
              </a:p>
            </c:rich>
          </c:tx>
          <c:layout>
            <c:manualLayout>
              <c:xMode val="edge"/>
              <c:yMode val="edge"/>
              <c:x val="0.42230637079456768"/>
              <c:y val="0.897288604332013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375" b="0" i="0" u="none" strike="noStrike" baseline="0">
                <a:solidFill>
                  <a:srgbClr val="000000"/>
                </a:solidFill>
                <a:latin typeface="Arial"/>
                <a:ea typeface="Arial"/>
                <a:cs typeface="Arial"/>
              </a:defRPr>
            </a:pPr>
            <a:endParaRPr lang="pt-BR"/>
          </a:p>
        </c:txPr>
        <c:crossAx val="-1730077040"/>
        <c:crosses val="autoZero"/>
        <c:crossBetween val="midCat"/>
      </c:valAx>
      <c:valAx>
        <c:axId val="-1730077040"/>
        <c:scaling>
          <c:orientation val="minMax"/>
        </c:scaling>
        <c:delete val="0"/>
        <c:axPos val="l"/>
        <c:title>
          <c:tx>
            <c:rich>
              <a:bodyPr/>
              <a:lstStyle/>
              <a:p>
                <a:pPr>
                  <a:defRPr sz="1350" b="1" i="0" u="none" strike="noStrike" baseline="0">
                    <a:solidFill>
                      <a:srgbClr val="000000"/>
                    </a:solidFill>
                    <a:latin typeface="Arial"/>
                    <a:ea typeface="Arial"/>
                    <a:cs typeface="Arial"/>
                  </a:defRPr>
                </a:pPr>
                <a:r>
                  <a:rPr lang="pt-BR"/>
                  <a:t>Intensidade</a:t>
                </a:r>
              </a:p>
            </c:rich>
          </c:tx>
          <c:layout>
            <c:manualLayout>
              <c:xMode val="edge"/>
              <c:yMode val="edge"/>
              <c:x val="3.0075280362681946E-2"/>
              <c:y val="0.3895355426496143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375" b="0" i="0" u="none" strike="noStrike" baseline="0">
                <a:solidFill>
                  <a:srgbClr val="000000"/>
                </a:solidFill>
                <a:latin typeface="Arial"/>
                <a:ea typeface="Arial"/>
                <a:cs typeface="Arial"/>
              </a:defRPr>
            </a:pPr>
            <a:endParaRPr lang="pt-BR"/>
          </a:p>
        </c:txPr>
        <c:crossAx val="-1730071600"/>
        <c:crossesAt val="0"/>
        <c:crossBetween val="midCat"/>
      </c:valAx>
      <c:spPr>
        <a:noFill/>
        <a:ln w="12700">
          <a:solidFill>
            <a:srgbClr val="000000"/>
          </a:solidFill>
          <a:prstDash val="solid"/>
        </a:ln>
      </c:spPr>
    </c:plotArea>
    <c:plotVisOnly val="0"/>
    <c:dispBlanksAs val="gap"/>
    <c:showDLblsOverMax val="0"/>
  </c:chart>
  <c:spPr>
    <a:solidFill>
      <a:srgbClr val="FFFFFF"/>
    </a:solidFill>
    <a:ln w="3175">
      <a:solidFill>
        <a:srgbClr val="000000"/>
      </a:solidFill>
      <a:prstDash val="solid"/>
    </a:ln>
  </c:spPr>
  <c:txPr>
    <a:bodyPr/>
    <a:lstStyle/>
    <a:p>
      <a:pPr>
        <a:defRPr sz="1625" b="0" i="0" u="none" strike="noStrike" baseline="0">
          <a:solidFill>
            <a:srgbClr val="000000"/>
          </a:solidFill>
          <a:latin typeface="Arial"/>
          <a:ea typeface="Arial"/>
          <a:cs typeface="Arial"/>
        </a:defRPr>
      </a:pPr>
      <a:endParaRPr lang="pt-BR"/>
    </a:p>
  </c:txPr>
  <c:printSettings>
    <c:headerFooter alignWithMargins="0"/>
    <c:pageMargins b="0.98425196899999956" l="0.78740157499999996" r="0.78740157499999996" t="0.98425196899999956" header="0.49212598500000626" footer="0.4921259850000062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r>
              <a:rPr lang="pt-BR"/>
              <a:t>Distribuição visual</a:t>
            </a:r>
            <a:r>
              <a:rPr lang="pt-BR" baseline="0"/>
              <a:t> dos resíduos</a:t>
            </a:r>
            <a:endParaRPr lang="pt-B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4502559055118111"/>
          <c:y val="0.18097222222222226"/>
          <c:w val="0.79085629921259848"/>
          <c:h val="0.6714577865266842"/>
        </c:manualLayout>
      </c:layout>
      <c:scatterChart>
        <c:scatterStyle val="lineMarker"/>
        <c:varyColors val="0"/>
        <c:ser>
          <c:idx val="0"/>
          <c:order val="0"/>
          <c:spPr>
            <a:ln w="28575" cap="rnd">
              <a:noFill/>
              <a:round/>
            </a:ln>
            <a:effectLst/>
          </c:spPr>
          <c:marker>
            <c:symbol val="diamond"/>
            <c:size val="5"/>
            <c:spPr>
              <a:solidFill>
                <a:schemeClr val="accent1"/>
              </a:solidFill>
              <a:ln w="9525">
                <a:solidFill>
                  <a:schemeClr val="accent1"/>
                </a:solidFill>
              </a:ln>
              <a:effectLst/>
            </c:spPr>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cálculos'!$Q$5:$Q$46</c:f>
              <c:numCache>
                <c:formatCode>0.0</c:formatCode>
                <c:ptCount val="42"/>
                <c:pt idx="0">
                  <c:v>-2360.4685768648633</c:v>
                </c:pt>
                <c:pt idx="1">
                  <c:v>-1090.228576864858</c:v>
                </c:pt>
                <c:pt idx="2">
                  <c:v>-415.80857686485979</c:v>
                </c:pt>
                <c:pt idx="3">
                  <c:v>285.48142313513381</c:v>
                </c:pt>
                <c:pt idx="4">
                  <c:v>961.20142313513497</c:v>
                </c:pt>
                <c:pt idx="5">
                  <c:v>716.52142313514196</c:v>
                </c:pt>
                <c:pt idx="6">
                  <c:v>267.73142313513381</c:v>
                </c:pt>
                <c:pt idx="7">
                  <c:v>-352.43665070476709</c:v>
                </c:pt>
                <c:pt idx="8">
                  <c:v>79.813349295232911</c:v>
                </c:pt>
                <c:pt idx="9">
                  <c:v>1358.8633492952358</c:v>
                </c:pt>
                <c:pt idx="10">
                  <c:v>2626.3433492952463</c:v>
                </c:pt>
                <c:pt idx="11">
                  <c:v>2493.2233492952364</c:v>
                </c:pt>
                <c:pt idx="12">
                  <c:v>2958.2333492952457</c:v>
                </c:pt>
                <c:pt idx="13">
                  <c:v>882.19334929523757</c:v>
                </c:pt>
                <c:pt idx="14">
                  <c:v>-3454.7696113821003</c:v>
                </c:pt>
                <c:pt idx="15">
                  <c:v>-4808.7296113820921</c:v>
                </c:pt>
                <c:pt idx="16">
                  <c:v>-5481.5696113821177</c:v>
                </c:pt>
                <c:pt idx="17">
                  <c:v>-5166.8796113821154</c:v>
                </c:pt>
                <c:pt idx="18">
                  <c:v>-3453.7496113821107</c:v>
                </c:pt>
                <c:pt idx="19">
                  <c:v>-2490.5496113820991</c:v>
                </c:pt>
                <c:pt idx="20">
                  <c:v>-3117.0596113821084</c:v>
                </c:pt>
                <c:pt idx="21">
                  <c:v>-4457.7961146095768</c:v>
                </c:pt>
                <c:pt idx="22">
                  <c:v>-1206.7261146095698</c:v>
                </c:pt>
                <c:pt idx="23">
                  <c:v>-1146.1861146095616</c:v>
                </c:pt>
                <c:pt idx="24">
                  <c:v>713.12388539043604</c:v>
                </c:pt>
                <c:pt idx="25">
                  <c:v>2000.4438853904139</c:v>
                </c:pt>
                <c:pt idx="26">
                  <c:v>1899.7138853904326</c:v>
                </c:pt>
                <c:pt idx="27">
                  <c:v>2138.2838853904395</c:v>
                </c:pt>
                <c:pt idx="28">
                  <c:v>3382.3577219299914</c:v>
                </c:pt>
                <c:pt idx="29">
                  <c:v>6954.1877219299786</c:v>
                </c:pt>
                <c:pt idx="30">
                  <c:v>6748.6277219299809</c:v>
                </c:pt>
                <c:pt idx="31">
                  <c:v>7848.4377219299786</c:v>
                </c:pt>
                <c:pt idx="32">
                  <c:v>4503.0777219299925</c:v>
                </c:pt>
                <c:pt idx="33">
                  <c:v>4604.2977219299937</c:v>
                </c:pt>
                <c:pt idx="34">
                  <c:v>5061.2377219299669</c:v>
                </c:pt>
                <c:pt idx="35">
                  <c:v>-688.9196255109855</c:v>
                </c:pt>
                <c:pt idx="36">
                  <c:v>-6274.8496255109785</c:v>
                </c:pt>
                <c:pt idx="37">
                  <c:v>-4754.8196255109506</c:v>
                </c:pt>
                <c:pt idx="38">
                  <c:v>-3709.0296255109715</c:v>
                </c:pt>
                <c:pt idx="39">
                  <c:v>-1017.2896255109808</c:v>
                </c:pt>
                <c:pt idx="40">
                  <c:v>-1986.8796255109482</c:v>
                </c:pt>
                <c:pt idx="41">
                  <c:v>-1048.6496255109669</c:v>
                </c:pt>
              </c:numCache>
            </c:numRef>
          </c:yVal>
          <c:smooth val="0"/>
        </c:ser>
        <c:ser>
          <c:idx val="1"/>
          <c:order val="1"/>
          <c:spPr>
            <a:ln w="28575" cap="rnd">
              <a:noFill/>
              <a:round/>
            </a:ln>
            <a:effectLst/>
          </c:spPr>
          <c:marker>
            <c:symbol val="none"/>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cálculos'!$W$5:$W$45</c:f>
              <c:numCache>
                <c:formatCode>0.00E+00</c:formatCode>
                <c:ptCount val="41"/>
                <c:pt idx="0">
                  <c:v>7177.3831366884051</c:v>
                </c:pt>
                <c:pt idx="1">
                  <c:v>7177.3831366884051</c:v>
                </c:pt>
                <c:pt idx="2">
                  <c:v>7177.3831366884051</c:v>
                </c:pt>
                <c:pt idx="3">
                  <c:v>7177.3831366884051</c:v>
                </c:pt>
                <c:pt idx="4">
                  <c:v>7177.3831366884051</c:v>
                </c:pt>
                <c:pt idx="5">
                  <c:v>7177.3831366884051</c:v>
                </c:pt>
                <c:pt idx="6">
                  <c:v>7177.3831366884051</c:v>
                </c:pt>
                <c:pt idx="7">
                  <c:v>7177.3831366884051</c:v>
                </c:pt>
                <c:pt idx="8">
                  <c:v>7177.3831366884051</c:v>
                </c:pt>
                <c:pt idx="9">
                  <c:v>7177.3831366884051</c:v>
                </c:pt>
                <c:pt idx="10">
                  <c:v>7177.3831366884051</c:v>
                </c:pt>
                <c:pt idx="11">
                  <c:v>7177.3831366884051</c:v>
                </c:pt>
                <c:pt idx="12">
                  <c:v>7177.3831366884051</c:v>
                </c:pt>
                <c:pt idx="13">
                  <c:v>7177.3831366884051</c:v>
                </c:pt>
                <c:pt idx="14">
                  <c:v>7177.3831366884051</c:v>
                </c:pt>
                <c:pt idx="15">
                  <c:v>7177.3831366884051</c:v>
                </c:pt>
                <c:pt idx="16">
                  <c:v>7177.3831366884051</c:v>
                </c:pt>
                <c:pt idx="17">
                  <c:v>7177.3831366884051</c:v>
                </c:pt>
                <c:pt idx="18">
                  <c:v>7177.3831366884051</c:v>
                </c:pt>
                <c:pt idx="19">
                  <c:v>7177.3831366884051</c:v>
                </c:pt>
                <c:pt idx="20">
                  <c:v>7177.3831366884051</c:v>
                </c:pt>
                <c:pt idx="21">
                  <c:v>7177.3831366884051</c:v>
                </c:pt>
                <c:pt idx="22">
                  <c:v>7177.3831366884051</c:v>
                </c:pt>
                <c:pt idx="23">
                  <c:v>7177.3831366884051</c:v>
                </c:pt>
                <c:pt idx="24">
                  <c:v>7177.3831366884051</c:v>
                </c:pt>
                <c:pt idx="25">
                  <c:v>7177.3831366884051</c:v>
                </c:pt>
                <c:pt idx="26">
                  <c:v>7177.3831366884051</c:v>
                </c:pt>
                <c:pt idx="27">
                  <c:v>7177.3831366884051</c:v>
                </c:pt>
                <c:pt idx="28">
                  <c:v>7177.3831366884051</c:v>
                </c:pt>
                <c:pt idx="29">
                  <c:v>7177.3831366884051</c:v>
                </c:pt>
                <c:pt idx="30">
                  <c:v>7177.3831366884051</c:v>
                </c:pt>
                <c:pt idx="31">
                  <c:v>7177.3831366884051</c:v>
                </c:pt>
                <c:pt idx="32">
                  <c:v>7177.3831366884051</c:v>
                </c:pt>
                <c:pt idx="33">
                  <c:v>7177.3831366884051</c:v>
                </c:pt>
                <c:pt idx="34">
                  <c:v>7177.3831366884051</c:v>
                </c:pt>
                <c:pt idx="35">
                  <c:v>7177.3831366884051</c:v>
                </c:pt>
                <c:pt idx="36">
                  <c:v>7177.3831366884051</c:v>
                </c:pt>
                <c:pt idx="37">
                  <c:v>7177.3831366884051</c:v>
                </c:pt>
                <c:pt idx="38">
                  <c:v>7177.3831366884051</c:v>
                </c:pt>
                <c:pt idx="39">
                  <c:v>7177.3831366884051</c:v>
                </c:pt>
                <c:pt idx="40">
                  <c:v>7177.3831366884051</c:v>
                </c:pt>
              </c:numCache>
            </c:numRef>
          </c:yVal>
          <c:smooth val="0"/>
        </c:ser>
        <c:ser>
          <c:idx val="2"/>
          <c:order val="2"/>
          <c:spPr>
            <a:ln w="50800" cap="rnd">
              <a:solidFill>
                <a:schemeClr val="accent4"/>
              </a:solidFill>
              <a:round/>
            </a:ln>
            <a:effectLst/>
          </c:spPr>
          <c:marker>
            <c:symbol val="circle"/>
            <c:size val="5"/>
            <c:spPr>
              <a:noFill/>
              <a:ln w="9525">
                <a:solidFill>
                  <a:schemeClr val="accent3"/>
                </a:solidFill>
              </a:ln>
              <a:effectLst/>
            </c:spPr>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cálculos'!$X$5:$X$45</c:f>
              <c:numCache>
                <c:formatCode>0.00E+00</c:formatCode>
                <c:ptCount val="41"/>
                <c:pt idx="0">
                  <c:v>-7177.3831366882141</c:v>
                </c:pt>
                <c:pt idx="1">
                  <c:v>-7177.3831366882141</c:v>
                </c:pt>
                <c:pt idx="2">
                  <c:v>-7177.3831366882141</c:v>
                </c:pt>
                <c:pt idx="3">
                  <c:v>-7177.3831366882141</c:v>
                </c:pt>
                <c:pt idx="4">
                  <c:v>-7177.3831366882141</c:v>
                </c:pt>
                <c:pt idx="5">
                  <c:v>-7177.3831366882141</c:v>
                </c:pt>
                <c:pt idx="6">
                  <c:v>-7177.3831366882141</c:v>
                </c:pt>
                <c:pt idx="7">
                  <c:v>-7177.3831366882141</c:v>
                </c:pt>
                <c:pt idx="8">
                  <c:v>-7177.3831366882141</c:v>
                </c:pt>
                <c:pt idx="9">
                  <c:v>-7177.3831366882141</c:v>
                </c:pt>
                <c:pt idx="10">
                  <c:v>-7177.3831366882141</c:v>
                </c:pt>
                <c:pt idx="11">
                  <c:v>-7177.3831366882141</c:v>
                </c:pt>
                <c:pt idx="12">
                  <c:v>-7177.3831366882141</c:v>
                </c:pt>
                <c:pt idx="13">
                  <c:v>-7177.3831366882141</c:v>
                </c:pt>
                <c:pt idx="14">
                  <c:v>-7177.3831366882141</c:v>
                </c:pt>
                <c:pt idx="15">
                  <c:v>-7177.3831366882141</c:v>
                </c:pt>
                <c:pt idx="16">
                  <c:v>-7177.3831366882141</c:v>
                </c:pt>
                <c:pt idx="17">
                  <c:v>-7177.3831366882141</c:v>
                </c:pt>
                <c:pt idx="18">
                  <c:v>-7177.3831366882141</c:v>
                </c:pt>
                <c:pt idx="19">
                  <c:v>-7177.3831366882141</c:v>
                </c:pt>
                <c:pt idx="20">
                  <c:v>-7177.3831366882141</c:v>
                </c:pt>
                <c:pt idx="21">
                  <c:v>-7177.3831366882141</c:v>
                </c:pt>
                <c:pt idx="22">
                  <c:v>-7177.3831366882141</c:v>
                </c:pt>
                <c:pt idx="23">
                  <c:v>-7177.3831366882141</c:v>
                </c:pt>
                <c:pt idx="24">
                  <c:v>-7177.3831366882141</c:v>
                </c:pt>
                <c:pt idx="25">
                  <c:v>-7177.3831366882141</c:v>
                </c:pt>
                <c:pt idx="26">
                  <c:v>-7177.3831366882141</c:v>
                </c:pt>
                <c:pt idx="27">
                  <c:v>-7177.3831366882141</c:v>
                </c:pt>
                <c:pt idx="28">
                  <c:v>-7177.3831366882141</c:v>
                </c:pt>
                <c:pt idx="29">
                  <c:v>-7177.3831366882141</c:v>
                </c:pt>
                <c:pt idx="30">
                  <c:v>-7177.3831366882141</c:v>
                </c:pt>
                <c:pt idx="31">
                  <c:v>-7177.3831366882141</c:v>
                </c:pt>
                <c:pt idx="32">
                  <c:v>-7177.3831366882141</c:v>
                </c:pt>
                <c:pt idx="33">
                  <c:v>-7177.3831366882141</c:v>
                </c:pt>
                <c:pt idx="34">
                  <c:v>-7177.3831366882141</c:v>
                </c:pt>
                <c:pt idx="35">
                  <c:v>-7177.3831366882141</c:v>
                </c:pt>
                <c:pt idx="36">
                  <c:v>-7177.3831366882141</c:v>
                </c:pt>
                <c:pt idx="37">
                  <c:v>-7177.3831366882141</c:v>
                </c:pt>
                <c:pt idx="38">
                  <c:v>-7177.3831366882141</c:v>
                </c:pt>
                <c:pt idx="39">
                  <c:v>-7177.3831366882141</c:v>
                </c:pt>
                <c:pt idx="40">
                  <c:v>-7177.3831366882141</c:v>
                </c:pt>
              </c:numCache>
            </c:numRef>
          </c:yVal>
          <c:smooth val="0"/>
        </c:ser>
        <c:ser>
          <c:idx val="3"/>
          <c:order val="3"/>
          <c:spPr>
            <a:ln w="50800" cap="rnd">
              <a:solidFill>
                <a:schemeClr val="accent4"/>
              </a:solidFill>
              <a:round/>
            </a:ln>
            <a:effectLst/>
          </c:spPr>
          <c:marker>
            <c:symbol val="none"/>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cálculos'!$W$5:$W$46</c:f>
              <c:numCache>
                <c:formatCode>0.00E+00</c:formatCode>
                <c:ptCount val="42"/>
                <c:pt idx="0">
                  <c:v>7177.3831366884051</c:v>
                </c:pt>
                <c:pt idx="1">
                  <c:v>7177.3831366884051</c:v>
                </c:pt>
                <c:pt idx="2">
                  <c:v>7177.3831366884051</c:v>
                </c:pt>
                <c:pt idx="3">
                  <c:v>7177.3831366884051</c:v>
                </c:pt>
                <c:pt idx="4">
                  <c:v>7177.3831366884051</c:v>
                </c:pt>
                <c:pt idx="5">
                  <c:v>7177.3831366884051</c:v>
                </c:pt>
                <c:pt idx="6">
                  <c:v>7177.3831366884051</c:v>
                </c:pt>
                <c:pt idx="7">
                  <c:v>7177.3831366884051</c:v>
                </c:pt>
                <c:pt idx="8">
                  <c:v>7177.3831366884051</c:v>
                </c:pt>
                <c:pt idx="9">
                  <c:v>7177.3831366884051</c:v>
                </c:pt>
                <c:pt idx="10">
                  <c:v>7177.3831366884051</c:v>
                </c:pt>
                <c:pt idx="11">
                  <c:v>7177.3831366884051</c:v>
                </c:pt>
                <c:pt idx="12">
                  <c:v>7177.3831366884051</c:v>
                </c:pt>
                <c:pt idx="13">
                  <c:v>7177.3831366884051</c:v>
                </c:pt>
                <c:pt idx="14">
                  <c:v>7177.3831366884051</c:v>
                </c:pt>
                <c:pt idx="15">
                  <c:v>7177.3831366884051</c:v>
                </c:pt>
                <c:pt idx="16">
                  <c:v>7177.3831366884051</c:v>
                </c:pt>
                <c:pt idx="17">
                  <c:v>7177.3831366884051</c:v>
                </c:pt>
                <c:pt idx="18">
                  <c:v>7177.3831366884051</c:v>
                </c:pt>
                <c:pt idx="19">
                  <c:v>7177.3831366884051</c:v>
                </c:pt>
                <c:pt idx="20">
                  <c:v>7177.3831366884051</c:v>
                </c:pt>
                <c:pt idx="21">
                  <c:v>7177.3831366884051</c:v>
                </c:pt>
                <c:pt idx="22">
                  <c:v>7177.3831366884051</c:v>
                </c:pt>
                <c:pt idx="23">
                  <c:v>7177.3831366884051</c:v>
                </c:pt>
                <c:pt idx="24">
                  <c:v>7177.3831366884051</c:v>
                </c:pt>
                <c:pt idx="25">
                  <c:v>7177.3831366884051</c:v>
                </c:pt>
                <c:pt idx="26">
                  <c:v>7177.3831366884051</c:v>
                </c:pt>
                <c:pt idx="27">
                  <c:v>7177.3831366884051</c:v>
                </c:pt>
                <c:pt idx="28">
                  <c:v>7177.3831366884051</c:v>
                </c:pt>
                <c:pt idx="29">
                  <c:v>7177.3831366884051</c:v>
                </c:pt>
                <c:pt idx="30">
                  <c:v>7177.3831366884051</c:v>
                </c:pt>
                <c:pt idx="31">
                  <c:v>7177.3831366884051</c:v>
                </c:pt>
                <c:pt idx="32">
                  <c:v>7177.3831366884051</c:v>
                </c:pt>
                <c:pt idx="33">
                  <c:v>7177.3831366884051</c:v>
                </c:pt>
                <c:pt idx="34">
                  <c:v>7177.3831366884051</c:v>
                </c:pt>
                <c:pt idx="35">
                  <c:v>7177.3831366884051</c:v>
                </c:pt>
                <c:pt idx="36">
                  <c:v>7177.3831366884051</c:v>
                </c:pt>
                <c:pt idx="37">
                  <c:v>7177.3831366884051</c:v>
                </c:pt>
                <c:pt idx="38">
                  <c:v>7177.3831366884051</c:v>
                </c:pt>
                <c:pt idx="39">
                  <c:v>7177.3831366884051</c:v>
                </c:pt>
                <c:pt idx="40">
                  <c:v>7177.3831366884051</c:v>
                </c:pt>
                <c:pt idx="41">
                  <c:v>7177.3831366884051</c:v>
                </c:pt>
              </c:numCache>
            </c:numRef>
          </c:yVal>
          <c:smooth val="0"/>
        </c:ser>
        <c:ser>
          <c:idx val="4"/>
          <c:order val="4"/>
          <c:spPr>
            <a:ln w="50800" cap="rnd">
              <a:solidFill>
                <a:schemeClr val="accent4"/>
              </a:solidFill>
              <a:round/>
            </a:ln>
            <a:effectLst/>
          </c:spPr>
          <c:marker>
            <c:symbol val="none"/>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cálculos'!$X$5:$X$46</c:f>
              <c:numCache>
                <c:formatCode>0.00E+00</c:formatCode>
                <c:ptCount val="42"/>
                <c:pt idx="0">
                  <c:v>-7177.3831366882141</c:v>
                </c:pt>
                <c:pt idx="1">
                  <c:v>-7177.3831366882141</c:v>
                </c:pt>
                <c:pt idx="2">
                  <c:v>-7177.3831366882141</c:v>
                </c:pt>
                <c:pt idx="3">
                  <c:v>-7177.3831366882141</c:v>
                </c:pt>
                <c:pt idx="4">
                  <c:v>-7177.3831366882141</c:v>
                </c:pt>
                <c:pt idx="5">
                  <c:v>-7177.3831366882141</c:v>
                </c:pt>
                <c:pt idx="6">
                  <c:v>-7177.3831366882141</c:v>
                </c:pt>
                <c:pt idx="7">
                  <c:v>-7177.3831366882141</c:v>
                </c:pt>
                <c:pt idx="8">
                  <c:v>-7177.3831366882141</c:v>
                </c:pt>
                <c:pt idx="9">
                  <c:v>-7177.3831366882141</c:v>
                </c:pt>
                <c:pt idx="10">
                  <c:v>-7177.3831366882141</c:v>
                </c:pt>
                <c:pt idx="11">
                  <c:v>-7177.3831366882141</c:v>
                </c:pt>
                <c:pt idx="12">
                  <c:v>-7177.3831366882141</c:v>
                </c:pt>
                <c:pt idx="13">
                  <c:v>-7177.3831366882141</c:v>
                </c:pt>
                <c:pt idx="14">
                  <c:v>-7177.3831366882141</c:v>
                </c:pt>
                <c:pt idx="15">
                  <c:v>-7177.3831366882141</c:v>
                </c:pt>
                <c:pt idx="16">
                  <c:v>-7177.3831366882141</c:v>
                </c:pt>
                <c:pt idx="17">
                  <c:v>-7177.3831366882141</c:v>
                </c:pt>
                <c:pt idx="18">
                  <c:v>-7177.3831366882141</c:v>
                </c:pt>
                <c:pt idx="19">
                  <c:v>-7177.3831366882141</c:v>
                </c:pt>
                <c:pt idx="20">
                  <c:v>-7177.3831366882141</c:v>
                </c:pt>
                <c:pt idx="21">
                  <c:v>-7177.3831366882141</c:v>
                </c:pt>
                <c:pt idx="22">
                  <c:v>-7177.3831366882141</c:v>
                </c:pt>
                <c:pt idx="23">
                  <c:v>-7177.3831366882141</c:v>
                </c:pt>
                <c:pt idx="24">
                  <c:v>-7177.3831366882141</c:v>
                </c:pt>
                <c:pt idx="25">
                  <c:v>-7177.3831366882141</c:v>
                </c:pt>
                <c:pt idx="26">
                  <c:v>-7177.3831366882141</c:v>
                </c:pt>
                <c:pt idx="27">
                  <c:v>-7177.3831366882141</c:v>
                </c:pt>
                <c:pt idx="28">
                  <c:v>-7177.3831366882141</c:v>
                </c:pt>
                <c:pt idx="29">
                  <c:v>-7177.3831366882141</c:v>
                </c:pt>
                <c:pt idx="30">
                  <c:v>-7177.3831366882141</c:v>
                </c:pt>
                <c:pt idx="31">
                  <c:v>-7177.3831366882141</c:v>
                </c:pt>
                <c:pt idx="32">
                  <c:v>-7177.3831366882141</c:v>
                </c:pt>
                <c:pt idx="33">
                  <c:v>-7177.3831366882141</c:v>
                </c:pt>
                <c:pt idx="34">
                  <c:v>-7177.3831366882141</c:v>
                </c:pt>
                <c:pt idx="35">
                  <c:v>-7177.3831366882141</c:v>
                </c:pt>
                <c:pt idx="36">
                  <c:v>-7177.3831366882141</c:v>
                </c:pt>
                <c:pt idx="37">
                  <c:v>-7177.3831366882141</c:v>
                </c:pt>
                <c:pt idx="38">
                  <c:v>-7177.3831366882141</c:v>
                </c:pt>
                <c:pt idx="39">
                  <c:v>-7177.3831366882141</c:v>
                </c:pt>
                <c:pt idx="40">
                  <c:v>-7177.3831366882141</c:v>
                </c:pt>
                <c:pt idx="41">
                  <c:v>-7177.3831366882141</c:v>
                </c:pt>
              </c:numCache>
            </c:numRef>
          </c:yVal>
          <c:smooth val="0"/>
        </c:ser>
        <c:dLbls>
          <c:showLegendKey val="0"/>
          <c:showVal val="0"/>
          <c:showCatName val="0"/>
          <c:showSerName val="0"/>
          <c:showPercent val="0"/>
          <c:showBubbleSize val="0"/>
        </c:dLbls>
        <c:axId val="-1730084656"/>
        <c:axId val="-1730076496"/>
      </c:scatterChart>
      <c:valAx>
        <c:axId val="-1730084656"/>
        <c:scaling>
          <c:orientation val="minMax"/>
        </c:scaling>
        <c:delete val="0"/>
        <c:axPos val="b"/>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crossAx val="-1730076496"/>
        <c:crosses val="autoZero"/>
        <c:crossBetween val="midCat"/>
        <c:majorUnit val="5.000000000000001E-3"/>
      </c:valAx>
      <c:valAx>
        <c:axId val="-1730076496"/>
        <c:scaling>
          <c:orientation val="minMax"/>
          <c:max val="10000"/>
          <c:min val="-10000"/>
        </c:scaling>
        <c:delete val="0"/>
        <c:axPos val="l"/>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crossAx val="-17300846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37033112497138265"/>
                  <c:y val="9.7312444414640126E-2"/>
                </c:manualLayout>
              </c:layout>
              <c:numFmt formatCode="General" sourceLinked="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trendlineLbl>
          </c:trendline>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cálculos'!$O$5:$O$46</c:f>
              <c:numCache>
                <c:formatCode>0.000</c:formatCode>
                <c:ptCount val="42"/>
                <c:pt idx="0">
                  <c:v>73439.33142857143</c:v>
                </c:pt>
                <c:pt idx="1">
                  <c:v>74709.571428571435</c:v>
                </c:pt>
                <c:pt idx="2">
                  <c:v>75383.991428571433</c:v>
                </c:pt>
                <c:pt idx="3">
                  <c:v>76085.281428571427</c:v>
                </c:pt>
                <c:pt idx="4">
                  <c:v>76761.001428571428</c:v>
                </c:pt>
                <c:pt idx="5">
                  <c:v>76516.321428571435</c:v>
                </c:pt>
                <c:pt idx="6">
                  <c:v>76067.531428571427</c:v>
                </c:pt>
                <c:pt idx="7">
                  <c:v>114422.95142857142</c:v>
                </c:pt>
                <c:pt idx="8">
                  <c:v>114855.20142857142</c:v>
                </c:pt>
                <c:pt idx="9">
                  <c:v>116134.25142857143</c:v>
                </c:pt>
                <c:pt idx="10">
                  <c:v>117401.73142857144</c:v>
                </c:pt>
                <c:pt idx="11">
                  <c:v>117268.61142857143</c:v>
                </c:pt>
                <c:pt idx="12">
                  <c:v>117733.62142857144</c:v>
                </c:pt>
                <c:pt idx="13">
                  <c:v>115657.58142857143</c:v>
                </c:pt>
                <c:pt idx="14">
                  <c:v>137847.37142857144</c:v>
                </c:pt>
                <c:pt idx="15">
                  <c:v>136493.41142857145</c:v>
                </c:pt>
                <c:pt idx="16">
                  <c:v>135820.57142857142</c:v>
                </c:pt>
                <c:pt idx="17">
                  <c:v>136135.26142857142</c:v>
                </c:pt>
                <c:pt idx="18">
                  <c:v>137848.39142857143</c:v>
                </c:pt>
                <c:pt idx="19">
                  <c:v>138811.59142857144</c:v>
                </c:pt>
                <c:pt idx="20">
                  <c:v>138185.08142857143</c:v>
                </c:pt>
                <c:pt idx="21">
                  <c:v>168777.89142857143</c:v>
                </c:pt>
                <c:pt idx="22">
                  <c:v>172028.96142857143</c:v>
                </c:pt>
                <c:pt idx="23">
                  <c:v>172089.50142857144</c:v>
                </c:pt>
                <c:pt idx="24">
                  <c:v>173948.81142857144</c:v>
                </c:pt>
                <c:pt idx="25">
                  <c:v>175236.13142857142</c:v>
                </c:pt>
                <c:pt idx="26">
                  <c:v>175135.40142857144</c:v>
                </c:pt>
                <c:pt idx="27">
                  <c:v>175373.97142857144</c:v>
                </c:pt>
                <c:pt idx="28">
                  <c:v>219072.22142857144</c:v>
                </c:pt>
                <c:pt idx="29">
                  <c:v>222644.05142857143</c:v>
                </c:pt>
                <c:pt idx="30">
                  <c:v>222438.49142857143</c:v>
                </c:pt>
                <c:pt idx="31">
                  <c:v>223538.30142857143</c:v>
                </c:pt>
                <c:pt idx="32">
                  <c:v>220192.94142857144</c:v>
                </c:pt>
                <c:pt idx="33">
                  <c:v>220294.16142857145</c:v>
                </c:pt>
                <c:pt idx="34">
                  <c:v>220751.10142857142</c:v>
                </c:pt>
                <c:pt idx="35">
                  <c:v>281650.94142857142</c:v>
                </c:pt>
                <c:pt idx="36">
                  <c:v>276065.01142857142</c:v>
                </c:pt>
                <c:pt idx="37">
                  <c:v>277585.04142857145</c:v>
                </c:pt>
                <c:pt idx="38">
                  <c:v>278630.83142857143</c:v>
                </c:pt>
                <c:pt idx="39">
                  <c:v>281322.57142857142</c:v>
                </c:pt>
                <c:pt idx="40">
                  <c:v>280352.98142857145</c:v>
                </c:pt>
                <c:pt idx="41">
                  <c:v>281291.21142857143</c:v>
                </c:pt>
              </c:numCache>
            </c:numRef>
          </c:yVal>
          <c:smooth val="0"/>
        </c:ser>
        <c:dLbls>
          <c:showLegendKey val="0"/>
          <c:showVal val="0"/>
          <c:showCatName val="0"/>
          <c:showSerName val="0"/>
          <c:showPercent val="0"/>
          <c:showBubbleSize val="0"/>
        </c:dLbls>
        <c:axId val="-1730079760"/>
        <c:axId val="-1730071056"/>
      </c:scatterChart>
      <c:valAx>
        <c:axId val="-1730079760"/>
        <c:scaling>
          <c:orientation val="minMax"/>
        </c:scaling>
        <c:delete val="0"/>
        <c:axPos val="b"/>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crossAx val="-1730071056"/>
        <c:crosses val="autoZero"/>
        <c:crossBetween val="midCat"/>
      </c:valAx>
      <c:valAx>
        <c:axId val="-1730071056"/>
        <c:scaling>
          <c:orientation val="minMax"/>
        </c:scaling>
        <c:delete val="0"/>
        <c:axPos val="l"/>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crossAx val="-17300797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082263566050665E-2"/>
          <c:y val="8.6977940910525187E-2"/>
          <c:w val="0.81151176622244414"/>
          <c:h val="0.80697248168473457"/>
        </c:manualLayout>
      </c:layout>
      <c:scatterChart>
        <c:scatterStyle val="lineMarker"/>
        <c:varyColors val="0"/>
        <c:dLbls>
          <c:showLegendKey val="0"/>
          <c:showVal val="0"/>
          <c:showCatName val="0"/>
          <c:showSerName val="0"/>
          <c:showPercent val="0"/>
          <c:showBubbleSize val="0"/>
        </c:dLbls>
        <c:axId val="-1730069968"/>
        <c:axId val="-1730074864"/>
      </c:scatterChart>
      <c:valAx>
        <c:axId val="-1730069968"/>
        <c:scaling>
          <c:orientation val="minMax"/>
          <c:max val="500"/>
          <c:min val="-500"/>
        </c:scaling>
        <c:delete val="0"/>
        <c:axPos val="b"/>
        <c:title>
          <c:tx>
            <c:rich>
              <a:bodyPr/>
              <a:lstStyle/>
              <a:p>
                <a:pPr>
                  <a:defRPr sz="1200"/>
                </a:pPr>
                <a:r>
                  <a:rPr lang="pt-BR" sz="1200"/>
                  <a:t>e</a:t>
                </a:r>
                <a:r>
                  <a:rPr lang="pt-BR" sz="1200" baseline="-25000"/>
                  <a:t>i-1</a:t>
                </a:r>
              </a:p>
            </c:rich>
          </c:tx>
          <c:layout>
            <c:manualLayout>
              <c:xMode val="edge"/>
              <c:yMode val="edge"/>
              <c:x val="0.46647784479721949"/>
              <c:y val="0.9463177907643936"/>
            </c:manualLayout>
          </c:layout>
          <c:overlay val="0"/>
        </c:title>
        <c:numFmt formatCode="General" sourceLinked="1"/>
        <c:majorTickMark val="out"/>
        <c:minorTickMark val="none"/>
        <c:tickLblPos val="nextTo"/>
        <c:crossAx val="-1730074864"/>
        <c:crosses val="autoZero"/>
        <c:crossBetween val="midCat"/>
      </c:valAx>
      <c:valAx>
        <c:axId val="-1730074864"/>
        <c:scaling>
          <c:orientation val="minMax"/>
        </c:scaling>
        <c:delete val="0"/>
        <c:axPos val="l"/>
        <c:title>
          <c:tx>
            <c:rich>
              <a:bodyPr/>
              <a:lstStyle/>
              <a:p>
                <a:pPr>
                  <a:defRPr sz="1200"/>
                </a:pPr>
                <a:r>
                  <a:rPr lang="pt-BR" sz="1200"/>
                  <a:t>e</a:t>
                </a:r>
                <a:r>
                  <a:rPr lang="pt-BR" sz="1200" baseline="-25000"/>
                  <a:t>i</a:t>
                </a:r>
              </a:p>
            </c:rich>
          </c:tx>
          <c:layout>
            <c:manualLayout>
              <c:xMode val="edge"/>
              <c:yMode val="edge"/>
              <c:x val="2.9127351824547301E-2"/>
              <c:y val="0.49243880372043164"/>
            </c:manualLayout>
          </c:layout>
          <c:overlay val="0"/>
        </c:title>
        <c:numFmt formatCode="General" sourceLinked="1"/>
        <c:majorTickMark val="out"/>
        <c:minorTickMark val="none"/>
        <c:tickLblPos val="nextTo"/>
        <c:crossAx val="-1730069968"/>
        <c:crosses val="autoZero"/>
        <c:crossBetween val="midCat"/>
        <c:majorUnit val="200"/>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37033112497138265"/>
                  <c:y val="9.731244441464012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cálculos'!$O$5:$O$46</c:f>
              <c:numCache>
                <c:formatCode>0.000</c:formatCode>
                <c:ptCount val="42"/>
                <c:pt idx="0">
                  <c:v>73439.33142857143</c:v>
                </c:pt>
                <c:pt idx="1">
                  <c:v>74709.571428571435</c:v>
                </c:pt>
                <c:pt idx="2">
                  <c:v>75383.991428571433</c:v>
                </c:pt>
                <c:pt idx="3">
                  <c:v>76085.281428571427</c:v>
                </c:pt>
                <c:pt idx="4">
                  <c:v>76761.001428571428</c:v>
                </c:pt>
                <c:pt idx="5">
                  <c:v>76516.321428571435</c:v>
                </c:pt>
                <c:pt idx="6">
                  <c:v>76067.531428571427</c:v>
                </c:pt>
                <c:pt idx="7">
                  <c:v>114422.95142857142</c:v>
                </c:pt>
                <c:pt idx="8">
                  <c:v>114855.20142857142</c:v>
                </c:pt>
                <c:pt idx="9">
                  <c:v>116134.25142857143</c:v>
                </c:pt>
                <c:pt idx="10">
                  <c:v>117401.73142857144</c:v>
                </c:pt>
                <c:pt idx="11">
                  <c:v>117268.61142857143</c:v>
                </c:pt>
                <c:pt idx="12">
                  <c:v>117733.62142857144</c:v>
                </c:pt>
                <c:pt idx="13">
                  <c:v>115657.58142857143</c:v>
                </c:pt>
                <c:pt idx="14">
                  <c:v>137847.37142857144</c:v>
                </c:pt>
                <c:pt idx="15">
                  <c:v>136493.41142857145</c:v>
                </c:pt>
                <c:pt idx="16">
                  <c:v>135820.57142857142</c:v>
                </c:pt>
                <c:pt idx="17">
                  <c:v>136135.26142857142</c:v>
                </c:pt>
                <c:pt idx="18">
                  <c:v>137848.39142857143</c:v>
                </c:pt>
                <c:pt idx="19">
                  <c:v>138811.59142857144</c:v>
                </c:pt>
                <c:pt idx="20">
                  <c:v>138185.08142857143</c:v>
                </c:pt>
                <c:pt idx="21">
                  <c:v>168777.89142857143</c:v>
                </c:pt>
                <c:pt idx="22">
                  <c:v>172028.96142857143</c:v>
                </c:pt>
                <c:pt idx="23">
                  <c:v>172089.50142857144</c:v>
                </c:pt>
                <c:pt idx="24">
                  <c:v>173948.81142857144</c:v>
                </c:pt>
                <c:pt idx="25">
                  <c:v>175236.13142857142</c:v>
                </c:pt>
                <c:pt idx="26">
                  <c:v>175135.40142857144</c:v>
                </c:pt>
                <c:pt idx="27">
                  <c:v>175373.97142857144</c:v>
                </c:pt>
                <c:pt idx="28">
                  <c:v>219072.22142857144</c:v>
                </c:pt>
                <c:pt idx="29">
                  <c:v>222644.05142857143</c:v>
                </c:pt>
                <c:pt idx="30">
                  <c:v>222438.49142857143</c:v>
                </c:pt>
                <c:pt idx="31">
                  <c:v>223538.30142857143</c:v>
                </c:pt>
                <c:pt idx="32">
                  <c:v>220192.94142857144</c:v>
                </c:pt>
                <c:pt idx="33">
                  <c:v>220294.16142857145</c:v>
                </c:pt>
                <c:pt idx="34">
                  <c:v>220751.10142857142</c:v>
                </c:pt>
                <c:pt idx="35">
                  <c:v>281650.94142857142</c:v>
                </c:pt>
                <c:pt idx="36">
                  <c:v>276065.01142857142</c:v>
                </c:pt>
                <c:pt idx="37">
                  <c:v>277585.04142857145</c:v>
                </c:pt>
                <c:pt idx="38">
                  <c:v>278630.83142857143</c:v>
                </c:pt>
                <c:pt idx="39">
                  <c:v>281322.57142857142</c:v>
                </c:pt>
                <c:pt idx="40">
                  <c:v>280352.98142857145</c:v>
                </c:pt>
                <c:pt idx="41">
                  <c:v>281291.21142857143</c:v>
                </c:pt>
              </c:numCache>
            </c:numRef>
          </c:yVal>
          <c:smooth val="0"/>
        </c:ser>
        <c:dLbls>
          <c:showLegendKey val="0"/>
          <c:showVal val="0"/>
          <c:showCatName val="0"/>
          <c:showSerName val="0"/>
          <c:showPercent val="0"/>
          <c:showBubbleSize val="0"/>
        </c:dLbls>
        <c:axId val="-1730075408"/>
        <c:axId val="-1730074320"/>
      </c:scatterChart>
      <c:valAx>
        <c:axId val="-1730075408"/>
        <c:scaling>
          <c:orientation val="minMax"/>
          <c:max val="2.0000000000000004E-2"/>
        </c:scaling>
        <c:delete val="0"/>
        <c:axPos val="b"/>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30074320"/>
        <c:crosses val="autoZero"/>
        <c:crossBetween val="midCat"/>
        <c:majorUnit val="5.000000000000001E-3"/>
      </c:valAx>
      <c:valAx>
        <c:axId val="-1730074320"/>
        <c:scaling>
          <c:orientation val="minMax"/>
        </c:scaling>
        <c:delete val="0"/>
        <c:axPos val="l"/>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300754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400"/>
              <a:t>Distribuição visual</a:t>
            </a:r>
            <a:r>
              <a:rPr lang="pt-BR" sz="1400" baseline="0"/>
              <a:t> dos resíduos</a:t>
            </a:r>
            <a:endParaRPr lang="pt-BR" sz="1400"/>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4502559055118111"/>
          <c:y val="0.18097222222222226"/>
          <c:w val="0.79085629921259848"/>
          <c:h val="0.6714577865266842"/>
        </c:manualLayout>
      </c:layout>
      <c:scatterChart>
        <c:scatterStyle val="lineMarker"/>
        <c:varyColors val="0"/>
        <c:ser>
          <c:idx val="0"/>
          <c:order val="0"/>
          <c:spPr>
            <a:ln w="28575" cap="rnd">
              <a:noFill/>
              <a:round/>
            </a:ln>
            <a:effectLst/>
          </c:spPr>
          <c:marker>
            <c:symbol val="diamond"/>
            <c:size val="5"/>
            <c:spPr>
              <a:solidFill>
                <a:schemeClr val="accent1"/>
              </a:solidFill>
              <a:ln w="9525">
                <a:solidFill>
                  <a:schemeClr val="accent1"/>
                </a:solidFill>
              </a:ln>
              <a:effectLst/>
            </c:spPr>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cálculos'!$Q$5:$Q$46</c:f>
              <c:numCache>
                <c:formatCode>0.0</c:formatCode>
                <c:ptCount val="42"/>
                <c:pt idx="0">
                  <c:v>-2360.4685768648633</c:v>
                </c:pt>
                <c:pt idx="1">
                  <c:v>-1090.228576864858</c:v>
                </c:pt>
                <c:pt idx="2">
                  <c:v>-415.80857686485979</c:v>
                </c:pt>
                <c:pt idx="3">
                  <c:v>285.48142313513381</c:v>
                </c:pt>
                <c:pt idx="4">
                  <c:v>961.20142313513497</c:v>
                </c:pt>
                <c:pt idx="5">
                  <c:v>716.52142313514196</c:v>
                </c:pt>
                <c:pt idx="6">
                  <c:v>267.73142313513381</c:v>
                </c:pt>
                <c:pt idx="7">
                  <c:v>-352.43665070476709</c:v>
                </c:pt>
                <c:pt idx="8">
                  <c:v>79.813349295232911</c:v>
                </c:pt>
                <c:pt idx="9">
                  <c:v>1358.8633492952358</c:v>
                </c:pt>
                <c:pt idx="10">
                  <c:v>2626.3433492952463</c:v>
                </c:pt>
                <c:pt idx="11">
                  <c:v>2493.2233492952364</c:v>
                </c:pt>
                <c:pt idx="12">
                  <c:v>2958.2333492952457</c:v>
                </c:pt>
                <c:pt idx="13">
                  <c:v>882.19334929523757</c:v>
                </c:pt>
                <c:pt idx="14">
                  <c:v>-3454.7696113821003</c:v>
                </c:pt>
                <c:pt idx="15">
                  <c:v>-4808.7296113820921</c:v>
                </c:pt>
                <c:pt idx="16">
                  <c:v>-5481.5696113821177</c:v>
                </c:pt>
                <c:pt idx="17">
                  <c:v>-5166.8796113821154</c:v>
                </c:pt>
                <c:pt idx="18">
                  <c:v>-3453.7496113821107</c:v>
                </c:pt>
                <c:pt idx="19">
                  <c:v>-2490.5496113820991</c:v>
                </c:pt>
                <c:pt idx="20">
                  <c:v>-3117.0596113821084</c:v>
                </c:pt>
                <c:pt idx="21">
                  <c:v>-4457.7961146095768</c:v>
                </c:pt>
                <c:pt idx="22">
                  <c:v>-1206.7261146095698</c:v>
                </c:pt>
                <c:pt idx="23">
                  <c:v>-1146.1861146095616</c:v>
                </c:pt>
                <c:pt idx="24">
                  <c:v>713.12388539043604</c:v>
                </c:pt>
                <c:pt idx="25">
                  <c:v>2000.4438853904139</c:v>
                </c:pt>
                <c:pt idx="26">
                  <c:v>1899.7138853904326</c:v>
                </c:pt>
                <c:pt idx="27">
                  <c:v>2138.2838853904395</c:v>
                </c:pt>
                <c:pt idx="28">
                  <c:v>3382.3577219299914</c:v>
                </c:pt>
                <c:pt idx="29">
                  <c:v>6954.1877219299786</c:v>
                </c:pt>
                <c:pt idx="30">
                  <c:v>6748.6277219299809</c:v>
                </c:pt>
                <c:pt idx="31">
                  <c:v>7848.4377219299786</c:v>
                </c:pt>
                <c:pt idx="32">
                  <c:v>4503.0777219299925</c:v>
                </c:pt>
                <c:pt idx="33">
                  <c:v>4604.2977219299937</c:v>
                </c:pt>
                <c:pt idx="34">
                  <c:v>5061.2377219299669</c:v>
                </c:pt>
                <c:pt idx="35">
                  <c:v>-688.9196255109855</c:v>
                </c:pt>
                <c:pt idx="36">
                  <c:v>-6274.8496255109785</c:v>
                </c:pt>
                <c:pt idx="37">
                  <c:v>-4754.8196255109506</c:v>
                </c:pt>
                <c:pt idx="38">
                  <c:v>-3709.0296255109715</c:v>
                </c:pt>
                <c:pt idx="39">
                  <c:v>-1017.2896255109808</c:v>
                </c:pt>
                <c:pt idx="40">
                  <c:v>-1986.8796255109482</c:v>
                </c:pt>
                <c:pt idx="41">
                  <c:v>-1048.6496255109669</c:v>
                </c:pt>
              </c:numCache>
            </c:numRef>
          </c:yVal>
          <c:smooth val="0"/>
        </c:ser>
        <c:ser>
          <c:idx val="1"/>
          <c:order val="1"/>
          <c:spPr>
            <a:ln w="28575" cap="rnd">
              <a:noFill/>
              <a:round/>
            </a:ln>
            <a:effectLst/>
          </c:spPr>
          <c:marker>
            <c:symbol val="none"/>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cálculos'!$W$5:$W$45</c:f>
              <c:numCache>
                <c:formatCode>0.00E+00</c:formatCode>
                <c:ptCount val="41"/>
                <c:pt idx="0">
                  <c:v>7177.3831366884051</c:v>
                </c:pt>
                <c:pt idx="1">
                  <c:v>7177.3831366884051</c:v>
                </c:pt>
                <c:pt idx="2">
                  <c:v>7177.3831366884051</c:v>
                </c:pt>
                <c:pt idx="3">
                  <c:v>7177.3831366884051</c:v>
                </c:pt>
                <c:pt idx="4">
                  <c:v>7177.3831366884051</c:v>
                </c:pt>
                <c:pt idx="5">
                  <c:v>7177.3831366884051</c:v>
                </c:pt>
                <c:pt idx="6">
                  <c:v>7177.3831366884051</c:v>
                </c:pt>
                <c:pt idx="7">
                  <c:v>7177.3831366884051</c:v>
                </c:pt>
                <c:pt idx="8">
                  <c:v>7177.3831366884051</c:v>
                </c:pt>
                <c:pt idx="9">
                  <c:v>7177.3831366884051</c:v>
                </c:pt>
                <c:pt idx="10">
                  <c:v>7177.3831366884051</c:v>
                </c:pt>
                <c:pt idx="11">
                  <c:v>7177.3831366884051</c:v>
                </c:pt>
                <c:pt idx="12">
                  <c:v>7177.3831366884051</c:v>
                </c:pt>
                <c:pt idx="13">
                  <c:v>7177.3831366884051</c:v>
                </c:pt>
                <c:pt idx="14">
                  <c:v>7177.3831366884051</c:v>
                </c:pt>
                <c:pt idx="15">
                  <c:v>7177.3831366884051</c:v>
                </c:pt>
                <c:pt idx="16">
                  <c:v>7177.3831366884051</c:v>
                </c:pt>
                <c:pt idx="17">
                  <c:v>7177.3831366884051</c:v>
                </c:pt>
                <c:pt idx="18">
                  <c:v>7177.3831366884051</c:v>
                </c:pt>
                <c:pt idx="19">
                  <c:v>7177.3831366884051</c:v>
                </c:pt>
                <c:pt idx="20">
                  <c:v>7177.3831366884051</c:v>
                </c:pt>
                <c:pt idx="21">
                  <c:v>7177.3831366884051</c:v>
                </c:pt>
                <c:pt idx="22">
                  <c:v>7177.3831366884051</c:v>
                </c:pt>
                <c:pt idx="23">
                  <c:v>7177.3831366884051</c:v>
                </c:pt>
                <c:pt idx="24">
                  <c:v>7177.3831366884051</c:v>
                </c:pt>
                <c:pt idx="25">
                  <c:v>7177.3831366884051</c:v>
                </c:pt>
                <c:pt idx="26">
                  <c:v>7177.3831366884051</c:v>
                </c:pt>
                <c:pt idx="27">
                  <c:v>7177.3831366884051</c:v>
                </c:pt>
                <c:pt idx="28">
                  <c:v>7177.3831366884051</c:v>
                </c:pt>
                <c:pt idx="29">
                  <c:v>7177.3831366884051</c:v>
                </c:pt>
                <c:pt idx="30">
                  <c:v>7177.3831366884051</c:v>
                </c:pt>
                <c:pt idx="31">
                  <c:v>7177.3831366884051</c:v>
                </c:pt>
                <c:pt idx="32">
                  <c:v>7177.3831366884051</c:v>
                </c:pt>
                <c:pt idx="33">
                  <c:v>7177.3831366884051</c:v>
                </c:pt>
                <c:pt idx="34">
                  <c:v>7177.3831366884051</c:v>
                </c:pt>
                <c:pt idx="35">
                  <c:v>7177.3831366884051</c:v>
                </c:pt>
                <c:pt idx="36">
                  <c:v>7177.3831366884051</c:v>
                </c:pt>
                <c:pt idx="37">
                  <c:v>7177.3831366884051</c:v>
                </c:pt>
                <c:pt idx="38">
                  <c:v>7177.3831366884051</c:v>
                </c:pt>
                <c:pt idx="39">
                  <c:v>7177.3831366884051</c:v>
                </c:pt>
                <c:pt idx="40">
                  <c:v>7177.3831366884051</c:v>
                </c:pt>
              </c:numCache>
            </c:numRef>
          </c:yVal>
          <c:smooth val="0"/>
        </c:ser>
        <c:ser>
          <c:idx val="2"/>
          <c:order val="2"/>
          <c:spPr>
            <a:ln w="50800" cap="rnd">
              <a:solidFill>
                <a:schemeClr val="accent4"/>
              </a:solidFill>
              <a:round/>
            </a:ln>
            <a:effectLst/>
          </c:spPr>
          <c:marker>
            <c:symbol val="circle"/>
            <c:size val="5"/>
            <c:spPr>
              <a:noFill/>
              <a:ln w="9525">
                <a:solidFill>
                  <a:schemeClr val="accent3"/>
                </a:solidFill>
              </a:ln>
              <a:effectLst/>
            </c:spPr>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cálculos'!$X$5:$X$45</c:f>
              <c:numCache>
                <c:formatCode>0.00E+00</c:formatCode>
                <c:ptCount val="41"/>
                <c:pt idx="0">
                  <c:v>-7177.3831366882141</c:v>
                </c:pt>
                <c:pt idx="1">
                  <c:v>-7177.3831366882141</c:v>
                </c:pt>
                <c:pt idx="2">
                  <c:v>-7177.3831366882141</c:v>
                </c:pt>
                <c:pt idx="3">
                  <c:v>-7177.3831366882141</c:v>
                </c:pt>
                <c:pt idx="4">
                  <c:v>-7177.3831366882141</c:v>
                </c:pt>
                <c:pt idx="5">
                  <c:v>-7177.3831366882141</c:v>
                </c:pt>
                <c:pt idx="6">
                  <c:v>-7177.3831366882141</c:v>
                </c:pt>
                <c:pt idx="7">
                  <c:v>-7177.3831366882141</c:v>
                </c:pt>
                <c:pt idx="8">
                  <c:v>-7177.3831366882141</c:v>
                </c:pt>
                <c:pt idx="9">
                  <c:v>-7177.3831366882141</c:v>
                </c:pt>
                <c:pt idx="10">
                  <c:v>-7177.3831366882141</c:v>
                </c:pt>
                <c:pt idx="11">
                  <c:v>-7177.3831366882141</c:v>
                </c:pt>
                <c:pt idx="12">
                  <c:v>-7177.3831366882141</c:v>
                </c:pt>
                <c:pt idx="13">
                  <c:v>-7177.3831366882141</c:v>
                </c:pt>
                <c:pt idx="14">
                  <c:v>-7177.3831366882141</c:v>
                </c:pt>
                <c:pt idx="15">
                  <c:v>-7177.3831366882141</c:v>
                </c:pt>
                <c:pt idx="16">
                  <c:v>-7177.3831366882141</c:v>
                </c:pt>
                <c:pt idx="17">
                  <c:v>-7177.3831366882141</c:v>
                </c:pt>
                <c:pt idx="18">
                  <c:v>-7177.3831366882141</c:v>
                </c:pt>
                <c:pt idx="19">
                  <c:v>-7177.3831366882141</c:v>
                </c:pt>
                <c:pt idx="20">
                  <c:v>-7177.3831366882141</c:v>
                </c:pt>
                <c:pt idx="21">
                  <c:v>-7177.3831366882141</c:v>
                </c:pt>
                <c:pt idx="22">
                  <c:v>-7177.3831366882141</c:v>
                </c:pt>
                <c:pt idx="23">
                  <c:v>-7177.3831366882141</c:v>
                </c:pt>
                <c:pt idx="24">
                  <c:v>-7177.3831366882141</c:v>
                </c:pt>
                <c:pt idx="25">
                  <c:v>-7177.3831366882141</c:v>
                </c:pt>
                <c:pt idx="26">
                  <c:v>-7177.3831366882141</c:v>
                </c:pt>
                <c:pt idx="27">
                  <c:v>-7177.3831366882141</c:v>
                </c:pt>
                <c:pt idx="28">
                  <c:v>-7177.3831366882141</c:v>
                </c:pt>
                <c:pt idx="29">
                  <c:v>-7177.3831366882141</c:v>
                </c:pt>
                <c:pt idx="30">
                  <c:v>-7177.3831366882141</c:v>
                </c:pt>
                <c:pt idx="31">
                  <c:v>-7177.3831366882141</c:v>
                </c:pt>
                <c:pt idx="32">
                  <c:v>-7177.3831366882141</c:v>
                </c:pt>
                <c:pt idx="33">
                  <c:v>-7177.3831366882141</c:v>
                </c:pt>
                <c:pt idx="34">
                  <c:v>-7177.3831366882141</c:v>
                </c:pt>
                <c:pt idx="35">
                  <c:v>-7177.3831366882141</c:v>
                </c:pt>
                <c:pt idx="36">
                  <c:v>-7177.3831366882141</c:v>
                </c:pt>
                <c:pt idx="37">
                  <c:v>-7177.3831366882141</c:v>
                </c:pt>
                <c:pt idx="38">
                  <c:v>-7177.3831366882141</c:v>
                </c:pt>
                <c:pt idx="39">
                  <c:v>-7177.3831366882141</c:v>
                </c:pt>
                <c:pt idx="40">
                  <c:v>-7177.3831366882141</c:v>
                </c:pt>
              </c:numCache>
            </c:numRef>
          </c:yVal>
          <c:smooth val="0"/>
        </c:ser>
        <c:ser>
          <c:idx val="3"/>
          <c:order val="3"/>
          <c:spPr>
            <a:ln w="50800" cap="rnd">
              <a:solidFill>
                <a:schemeClr val="accent4"/>
              </a:solidFill>
              <a:round/>
            </a:ln>
            <a:effectLst/>
          </c:spPr>
          <c:marker>
            <c:symbol val="none"/>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cálculos'!$W$5:$W$46</c:f>
              <c:numCache>
                <c:formatCode>0.00E+00</c:formatCode>
                <c:ptCount val="42"/>
                <c:pt idx="0">
                  <c:v>7177.3831366884051</c:v>
                </c:pt>
                <c:pt idx="1">
                  <c:v>7177.3831366884051</c:v>
                </c:pt>
                <c:pt idx="2">
                  <c:v>7177.3831366884051</c:v>
                </c:pt>
                <c:pt idx="3">
                  <c:v>7177.3831366884051</c:v>
                </c:pt>
                <c:pt idx="4">
                  <c:v>7177.3831366884051</c:v>
                </c:pt>
                <c:pt idx="5">
                  <c:v>7177.3831366884051</c:v>
                </c:pt>
                <c:pt idx="6">
                  <c:v>7177.3831366884051</c:v>
                </c:pt>
                <c:pt idx="7">
                  <c:v>7177.3831366884051</c:v>
                </c:pt>
                <c:pt idx="8">
                  <c:v>7177.3831366884051</c:v>
                </c:pt>
                <c:pt idx="9">
                  <c:v>7177.3831366884051</c:v>
                </c:pt>
                <c:pt idx="10">
                  <c:v>7177.3831366884051</c:v>
                </c:pt>
                <c:pt idx="11">
                  <c:v>7177.3831366884051</c:v>
                </c:pt>
                <c:pt idx="12">
                  <c:v>7177.3831366884051</c:v>
                </c:pt>
                <c:pt idx="13">
                  <c:v>7177.3831366884051</c:v>
                </c:pt>
                <c:pt idx="14">
                  <c:v>7177.3831366884051</c:v>
                </c:pt>
                <c:pt idx="15">
                  <c:v>7177.3831366884051</c:v>
                </c:pt>
                <c:pt idx="16">
                  <c:v>7177.3831366884051</c:v>
                </c:pt>
                <c:pt idx="17">
                  <c:v>7177.3831366884051</c:v>
                </c:pt>
                <c:pt idx="18">
                  <c:v>7177.3831366884051</c:v>
                </c:pt>
                <c:pt idx="19">
                  <c:v>7177.3831366884051</c:v>
                </c:pt>
                <c:pt idx="20">
                  <c:v>7177.3831366884051</c:v>
                </c:pt>
                <c:pt idx="21">
                  <c:v>7177.3831366884051</c:v>
                </c:pt>
                <c:pt idx="22">
                  <c:v>7177.3831366884051</c:v>
                </c:pt>
                <c:pt idx="23">
                  <c:v>7177.3831366884051</c:v>
                </c:pt>
                <c:pt idx="24">
                  <c:v>7177.3831366884051</c:v>
                </c:pt>
                <c:pt idx="25">
                  <c:v>7177.3831366884051</c:v>
                </c:pt>
                <c:pt idx="26">
                  <c:v>7177.3831366884051</c:v>
                </c:pt>
                <c:pt idx="27">
                  <c:v>7177.3831366884051</c:v>
                </c:pt>
                <c:pt idx="28">
                  <c:v>7177.3831366884051</c:v>
                </c:pt>
                <c:pt idx="29">
                  <c:v>7177.3831366884051</c:v>
                </c:pt>
                <c:pt idx="30">
                  <c:v>7177.3831366884051</c:v>
                </c:pt>
                <c:pt idx="31">
                  <c:v>7177.3831366884051</c:v>
                </c:pt>
                <c:pt idx="32">
                  <c:v>7177.3831366884051</c:v>
                </c:pt>
                <c:pt idx="33">
                  <c:v>7177.3831366884051</c:v>
                </c:pt>
                <c:pt idx="34">
                  <c:v>7177.3831366884051</c:v>
                </c:pt>
                <c:pt idx="35">
                  <c:v>7177.3831366884051</c:v>
                </c:pt>
                <c:pt idx="36">
                  <c:v>7177.3831366884051</c:v>
                </c:pt>
                <c:pt idx="37">
                  <c:v>7177.3831366884051</c:v>
                </c:pt>
                <c:pt idx="38">
                  <c:v>7177.3831366884051</c:v>
                </c:pt>
                <c:pt idx="39">
                  <c:v>7177.3831366884051</c:v>
                </c:pt>
                <c:pt idx="40">
                  <c:v>7177.3831366884051</c:v>
                </c:pt>
                <c:pt idx="41">
                  <c:v>7177.3831366884051</c:v>
                </c:pt>
              </c:numCache>
            </c:numRef>
          </c:yVal>
          <c:smooth val="0"/>
        </c:ser>
        <c:ser>
          <c:idx val="4"/>
          <c:order val="4"/>
          <c:spPr>
            <a:ln w="50800" cap="rnd">
              <a:solidFill>
                <a:schemeClr val="accent4"/>
              </a:solidFill>
              <a:round/>
            </a:ln>
            <a:effectLst/>
          </c:spPr>
          <c:marker>
            <c:symbol val="none"/>
          </c:marker>
          <c:xVal>
            <c:numRef>
              <c:f>'Dados e cálculos'!$N$5:$N$46</c:f>
              <c:numCache>
                <c:formatCode>0.000000</c:formatCode>
                <c:ptCount val="42"/>
                <c:pt idx="0">
                  <c:v>5.0607198546863226E-3</c:v>
                </c:pt>
                <c:pt idx="1">
                  <c:v>5.0607198546863226E-3</c:v>
                </c:pt>
                <c:pt idx="2">
                  <c:v>5.0607198546863226E-3</c:v>
                </c:pt>
                <c:pt idx="3">
                  <c:v>5.0607198546863226E-3</c:v>
                </c:pt>
                <c:pt idx="4">
                  <c:v>5.0607198546863226E-3</c:v>
                </c:pt>
                <c:pt idx="5">
                  <c:v>5.0607198546863226E-3</c:v>
                </c:pt>
                <c:pt idx="6">
                  <c:v>5.0607198546863226E-3</c:v>
                </c:pt>
                <c:pt idx="7">
                  <c:v>7.6901959430766198E-3</c:v>
                </c:pt>
                <c:pt idx="8">
                  <c:v>7.6901959430766198E-3</c:v>
                </c:pt>
                <c:pt idx="9">
                  <c:v>7.6901959430766198E-3</c:v>
                </c:pt>
                <c:pt idx="10">
                  <c:v>7.6901959430766198E-3</c:v>
                </c:pt>
                <c:pt idx="11">
                  <c:v>7.6901959430766198E-3</c:v>
                </c:pt>
                <c:pt idx="12">
                  <c:v>7.6901959430766198E-3</c:v>
                </c:pt>
                <c:pt idx="13">
                  <c:v>7.6901959430766198E-3</c:v>
                </c:pt>
                <c:pt idx="14">
                  <c:v>9.4798151909143251E-3</c:v>
                </c:pt>
                <c:pt idx="15">
                  <c:v>9.4798151909143251E-3</c:v>
                </c:pt>
                <c:pt idx="16">
                  <c:v>9.4798151909143251E-3</c:v>
                </c:pt>
                <c:pt idx="17">
                  <c:v>9.4798151909143251E-3</c:v>
                </c:pt>
                <c:pt idx="18">
                  <c:v>9.4798151909143251E-3</c:v>
                </c:pt>
                <c:pt idx="19">
                  <c:v>9.4798151909143251E-3</c:v>
                </c:pt>
                <c:pt idx="20">
                  <c:v>9.4798151909143251E-3</c:v>
                </c:pt>
                <c:pt idx="21">
                  <c:v>1.1634202105838006E-2</c:v>
                </c:pt>
                <c:pt idx="22">
                  <c:v>1.1634202105838006E-2</c:v>
                </c:pt>
                <c:pt idx="23">
                  <c:v>1.1634202105838006E-2</c:v>
                </c:pt>
                <c:pt idx="24">
                  <c:v>1.1634202105838006E-2</c:v>
                </c:pt>
                <c:pt idx="25">
                  <c:v>1.1634202105838006E-2</c:v>
                </c:pt>
                <c:pt idx="26">
                  <c:v>1.1634202105838006E-2</c:v>
                </c:pt>
                <c:pt idx="27">
                  <c:v>1.1634202105838006E-2</c:v>
                </c:pt>
                <c:pt idx="28">
                  <c:v>1.4498360072169121E-2</c:v>
                </c:pt>
                <c:pt idx="29">
                  <c:v>1.4498360072169121E-2</c:v>
                </c:pt>
                <c:pt idx="30">
                  <c:v>1.4498360072169121E-2</c:v>
                </c:pt>
                <c:pt idx="31">
                  <c:v>1.4498360072169121E-2</c:v>
                </c:pt>
                <c:pt idx="32">
                  <c:v>1.4498360072169121E-2</c:v>
                </c:pt>
                <c:pt idx="33">
                  <c:v>1.4498360072169121E-2</c:v>
                </c:pt>
                <c:pt idx="34">
                  <c:v>1.4498360072169121E-2</c:v>
                </c:pt>
                <c:pt idx="35">
                  <c:v>1.8994881689350367E-2</c:v>
                </c:pt>
                <c:pt idx="36">
                  <c:v>1.8994881689350367E-2</c:v>
                </c:pt>
                <c:pt idx="37">
                  <c:v>1.8994881689350367E-2</c:v>
                </c:pt>
                <c:pt idx="38">
                  <c:v>1.8994881689350367E-2</c:v>
                </c:pt>
                <c:pt idx="39">
                  <c:v>1.8994881689350367E-2</c:v>
                </c:pt>
                <c:pt idx="40">
                  <c:v>1.8994881689350367E-2</c:v>
                </c:pt>
                <c:pt idx="41">
                  <c:v>1.8994881689350367E-2</c:v>
                </c:pt>
              </c:numCache>
            </c:numRef>
          </c:xVal>
          <c:yVal>
            <c:numRef>
              <c:f>'Dados e cálculos'!$X$5:$X$46</c:f>
              <c:numCache>
                <c:formatCode>0.00E+00</c:formatCode>
                <c:ptCount val="42"/>
                <c:pt idx="0">
                  <c:v>-7177.3831366882141</c:v>
                </c:pt>
                <c:pt idx="1">
                  <c:v>-7177.3831366882141</c:v>
                </c:pt>
                <c:pt idx="2">
                  <c:v>-7177.3831366882141</c:v>
                </c:pt>
                <c:pt idx="3">
                  <c:v>-7177.3831366882141</c:v>
                </c:pt>
                <c:pt idx="4">
                  <c:v>-7177.3831366882141</c:v>
                </c:pt>
                <c:pt idx="5">
                  <c:v>-7177.3831366882141</c:v>
                </c:pt>
                <c:pt idx="6">
                  <c:v>-7177.3831366882141</c:v>
                </c:pt>
                <c:pt idx="7">
                  <c:v>-7177.3831366882141</c:v>
                </c:pt>
                <c:pt idx="8">
                  <c:v>-7177.3831366882141</c:v>
                </c:pt>
                <c:pt idx="9">
                  <c:v>-7177.3831366882141</c:v>
                </c:pt>
                <c:pt idx="10">
                  <c:v>-7177.3831366882141</c:v>
                </c:pt>
                <c:pt idx="11">
                  <c:v>-7177.3831366882141</c:v>
                </c:pt>
                <c:pt idx="12">
                  <c:v>-7177.3831366882141</c:v>
                </c:pt>
                <c:pt idx="13">
                  <c:v>-7177.3831366882141</c:v>
                </c:pt>
                <c:pt idx="14">
                  <c:v>-7177.3831366882141</c:v>
                </c:pt>
                <c:pt idx="15">
                  <c:v>-7177.3831366882141</c:v>
                </c:pt>
                <c:pt idx="16">
                  <c:v>-7177.3831366882141</c:v>
                </c:pt>
                <c:pt idx="17">
                  <c:v>-7177.3831366882141</c:v>
                </c:pt>
                <c:pt idx="18">
                  <c:v>-7177.3831366882141</c:v>
                </c:pt>
                <c:pt idx="19">
                  <c:v>-7177.3831366882141</c:v>
                </c:pt>
                <c:pt idx="20">
                  <c:v>-7177.3831366882141</c:v>
                </c:pt>
                <c:pt idx="21">
                  <c:v>-7177.3831366882141</c:v>
                </c:pt>
                <c:pt idx="22">
                  <c:v>-7177.3831366882141</c:v>
                </c:pt>
                <c:pt idx="23">
                  <c:v>-7177.3831366882141</c:v>
                </c:pt>
                <c:pt idx="24">
                  <c:v>-7177.3831366882141</c:v>
                </c:pt>
                <c:pt idx="25">
                  <c:v>-7177.3831366882141</c:v>
                </c:pt>
                <c:pt idx="26">
                  <c:v>-7177.3831366882141</c:v>
                </c:pt>
                <c:pt idx="27">
                  <c:v>-7177.3831366882141</c:v>
                </c:pt>
                <c:pt idx="28">
                  <c:v>-7177.3831366882141</c:v>
                </c:pt>
                <c:pt idx="29">
                  <c:v>-7177.3831366882141</c:v>
                </c:pt>
                <c:pt idx="30">
                  <c:v>-7177.3831366882141</c:v>
                </c:pt>
                <c:pt idx="31">
                  <c:v>-7177.3831366882141</c:v>
                </c:pt>
                <c:pt idx="32">
                  <c:v>-7177.3831366882141</c:v>
                </c:pt>
                <c:pt idx="33">
                  <c:v>-7177.3831366882141</c:v>
                </c:pt>
                <c:pt idx="34">
                  <c:v>-7177.3831366882141</c:v>
                </c:pt>
                <c:pt idx="35">
                  <c:v>-7177.3831366882141</c:v>
                </c:pt>
                <c:pt idx="36">
                  <c:v>-7177.3831366882141</c:v>
                </c:pt>
                <c:pt idx="37">
                  <c:v>-7177.3831366882141</c:v>
                </c:pt>
                <c:pt idx="38">
                  <c:v>-7177.3831366882141</c:v>
                </c:pt>
                <c:pt idx="39">
                  <c:v>-7177.3831366882141</c:v>
                </c:pt>
                <c:pt idx="40">
                  <c:v>-7177.3831366882141</c:v>
                </c:pt>
                <c:pt idx="41">
                  <c:v>-7177.3831366882141</c:v>
                </c:pt>
              </c:numCache>
            </c:numRef>
          </c:yVal>
          <c:smooth val="0"/>
        </c:ser>
        <c:dLbls>
          <c:showLegendKey val="0"/>
          <c:showVal val="0"/>
          <c:showCatName val="0"/>
          <c:showSerName val="0"/>
          <c:showPercent val="0"/>
          <c:showBubbleSize val="0"/>
        </c:dLbls>
        <c:axId val="-1730072688"/>
        <c:axId val="-1730075952"/>
      </c:scatterChart>
      <c:valAx>
        <c:axId val="-1730072688"/>
        <c:scaling>
          <c:orientation val="minMax"/>
        </c:scaling>
        <c:delete val="0"/>
        <c:axPos val="b"/>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30075952"/>
        <c:crosses val="autoZero"/>
        <c:crossBetween val="midCat"/>
        <c:majorUnit val="5.000000000000001E-3"/>
      </c:valAx>
      <c:valAx>
        <c:axId val="-1730075952"/>
        <c:scaling>
          <c:orientation val="minMax"/>
          <c:max val="10000"/>
          <c:min val="-10000"/>
        </c:scaling>
        <c:delete val="0"/>
        <c:axPos val="l"/>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pt-BR"/>
          </a:p>
        </c:txPr>
        <c:crossAx val="-17300726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21.emf"/><Relationship Id="rId1" Type="http://schemas.openxmlformats.org/officeDocument/2006/relationships/image" Target="../media/image20.wmf"/><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3.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8.wmf"/><Relationship Id="rId2" Type="http://schemas.openxmlformats.org/officeDocument/2006/relationships/image" Target="../media/image17.emf"/><Relationship Id="rId1" Type="http://schemas.openxmlformats.org/officeDocument/2006/relationships/image" Target="../media/image16.emf"/><Relationship Id="rId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495301</xdr:colOff>
      <xdr:row>0</xdr:row>
      <xdr:rowOff>9525</xdr:rowOff>
    </xdr:from>
    <xdr:to>
      <xdr:col>16</xdr:col>
      <xdr:colOff>0</xdr:colOff>
      <xdr:row>4</xdr:row>
      <xdr:rowOff>85725</xdr:rowOff>
    </xdr:to>
    <xdr:sp macro="" textlink="">
      <xdr:nvSpPr>
        <xdr:cNvPr id="2" name="CaixaDeTexto 1"/>
        <xdr:cNvSpPr txBox="1"/>
      </xdr:nvSpPr>
      <xdr:spPr>
        <a:xfrm>
          <a:off x="552451" y="9525"/>
          <a:ext cx="8724899"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2000" b="1">
              <a:latin typeface="Times New Roman" panose="02020603050405020304" pitchFamily="18" charset="0"/>
              <a:cs typeface="Times New Roman" panose="02020603050405020304" pitchFamily="18" charset="0"/>
            </a:rPr>
            <a:t>Planilha-Labin-001:</a:t>
          </a:r>
          <a:r>
            <a:rPr lang="pt-BR" sz="2000" b="1" baseline="0">
              <a:latin typeface="Times New Roman" panose="02020603050405020304" pitchFamily="18" charset="0"/>
              <a:cs typeface="Times New Roman" panose="02020603050405020304" pitchFamily="18" charset="0"/>
            </a:rPr>
            <a:t> Calibração Externa</a:t>
          </a:r>
          <a:endParaRPr lang="pt-BR" sz="2000" b="1">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0</xdr:row>
      <xdr:rowOff>9525</xdr:rowOff>
    </xdr:from>
    <xdr:to>
      <xdr:col>1</xdr:col>
      <xdr:colOff>504824</xdr:colOff>
      <xdr:row>4</xdr:row>
      <xdr:rowOff>85725</xdr:rowOff>
    </xdr:to>
    <xdr:sp macro="" textlink="">
      <xdr:nvSpPr>
        <xdr:cNvPr id="4" name="CaixaDeTexto 3"/>
        <xdr:cNvSpPr txBox="1"/>
      </xdr:nvSpPr>
      <xdr:spPr>
        <a:xfrm>
          <a:off x="0" y="9525"/>
          <a:ext cx="561974"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editAs="oneCell">
    <xdr:from>
      <xdr:col>0</xdr:col>
      <xdr:colOff>0</xdr:colOff>
      <xdr:row>1</xdr:row>
      <xdr:rowOff>0</xdr:rowOff>
    </xdr:from>
    <xdr:to>
      <xdr:col>1</xdr:col>
      <xdr:colOff>514350</xdr:colOff>
      <xdr:row>4</xdr:row>
      <xdr:rowOff>42252</xdr:rowOff>
    </xdr:to>
    <xdr:pic macro="[0]!proteger">
      <xdr:nvPicPr>
        <xdr:cNvPr id="5" name="Imagem 4">
          <a:extLst>
            <a:ext uri="{FF2B5EF4-FFF2-40B4-BE49-F238E27FC236}">
              <a16:creationId xmlns:a16="http://schemas.microsoft.com/office/drawing/2014/main" xmlns="" id="{C9B4E4D5-3C51-4CB1-B8F7-8A038A5B90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7150"/>
          <a:ext cx="571500" cy="528027"/>
        </a:xfrm>
        <a:prstGeom prst="rect">
          <a:avLst/>
        </a:prstGeom>
      </xdr:spPr>
    </xdr:pic>
    <xdr:clientData/>
  </xdr:twoCellAnchor>
  <xdr:twoCellAnchor>
    <xdr:from>
      <xdr:col>0</xdr:col>
      <xdr:colOff>0</xdr:colOff>
      <xdr:row>6</xdr:row>
      <xdr:rowOff>47625</xdr:rowOff>
    </xdr:from>
    <xdr:to>
      <xdr:col>16</xdr:col>
      <xdr:colOff>9525</xdr:colOff>
      <xdr:row>26</xdr:row>
      <xdr:rowOff>66675</xdr:rowOff>
    </xdr:to>
    <xdr:sp macro="" textlink="">
      <xdr:nvSpPr>
        <xdr:cNvPr id="6" name="CaixaDeTexto 5"/>
        <xdr:cNvSpPr txBox="1"/>
      </xdr:nvSpPr>
      <xdr:spPr>
        <a:xfrm>
          <a:off x="0" y="914400"/>
          <a:ext cx="9286875"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r>
            <a:rPr lang="pt-BR" sz="1100" b="1">
              <a:latin typeface="Times New Roman" panose="02020603050405020304" pitchFamily="18" charset="0"/>
              <a:cs typeface="Times New Roman" panose="02020603050405020304" pitchFamily="18" charset="0"/>
            </a:rPr>
            <a:t>Prezado usuário,</a:t>
          </a:r>
        </a:p>
        <a:p>
          <a:r>
            <a:rPr lang="pt-BR" sz="1100" b="1">
              <a:latin typeface="Times New Roman" panose="02020603050405020304" pitchFamily="18" charset="0"/>
              <a:cs typeface="Times New Roman" panose="02020603050405020304" pitchFamily="18" charset="0"/>
            </a:rPr>
            <a:t>Par</a:t>
          </a:r>
          <a:r>
            <a:rPr lang="pt-BR" sz="1100" b="1" baseline="0">
              <a:latin typeface="Times New Roman" panose="02020603050405020304" pitchFamily="18" charset="0"/>
              <a:cs typeface="Times New Roman" panose="02020603050405020304" pitchFamily="18" charset="0"/>
            </a:rPr>
            <a:t>a proteção final da planilha, clique no logo do Inmetro.</a:t>
          </a:r>
          <a:endParaRPr lang="pt-BR" sz="1100" b="1">
            <a:latin typeface="Times New Roman" panose="02020603050405020304" pitchFamily="18" charset="0"/>
            <a:cs typeface="Times New Roman" panose="02020603050405020304" pitchFamily="18" charset="0"/>
          </a:endParaRPr>
        </a:p>
        <a:p>
          <a:r>
            <a:rPr lang="pt-BR" sz="1100">
              <a:latin typeface="Times New Roman" panose="02020603050405020304" pitchFamily="18" charset="0"/>
              <a:cs typeface="Times New Roman" panose="02020603050405020304" pitchFamily="18" charset="0"/>
            </a:rPr>
            <a:t>A planilha que segue é destinada a medições realizadas com calibração externa. Apenas as células em branco devem ser preenchidos. Outras células são bloqueadas. Ela é composta de nove abas que são descritas a seguir.</a:t>
          </a:r>
        </a:p>
        <a:p>
          <a:r>
            <a:rPr lang="pt-BR" sz="1100" b="1">
              <a:latin typeface="Times New Roman" panose="02020603050405020304" pitchFamily="18" charset="0"/>
              <a:cs typeface="Times New Roman" panose="02020603050405020304" pitchFamily="18" charset="0"/>
            </a:rPr>
            <a:t>Instruções de uso</a:t>
          </a:r>
          <a:r>
            <a:rPr lang="pt-BR" sz="1100">
              <a:latin typeface="Times New Roman" panose="02020603050405020304" pitchFamily="18" charset="0"/>
              <a:cs typeface="Times New Roman" panose="02020603050405020304" pitchFamily="18" charset="0"/>
            </a:rPr>
            <a:t> – Breve texto explicando o uso da planilha.</a:t>
          </a:r>
        </a:p>
        <a:p>
          <a:r>
            <a:rPr lang="pt-BR" sz="1100" b="1">
              <a:latin typeface="Times New Roman" panose="02020603050405020304" pitchFamily="18" charset="0"/>
              <a:cs typeface="Times New Roman" panose="02020603050405020304" pitchFamily="18" charset="0"/>
            </a:rPr>
            <a:t>Entrada das massas</a:t>
          </a:r>
          <a:r>
            <a:rPr lang="pt-BR" sz="1100">
              <a:latin typeface="Times New Roman" panose="02020603050405020304" pitchFamily="18" charset="0"/>
              <a:cs typeface="Times New Roman" panose="02020603050405020304" pitchFamily="18" charset="0"/>
            </a:rPr>
            <a:t> – Destinado a digitação dos valores de massa lidos diretamente na balança utilizada para preparo dos padrões e amostras. Existem campos para até 3 soluções intermediárias, 6 pontos para curva de calibração e 30 campos para amostras com até 3 diluições. A curva de calibração deve ter 6 pontos mais o branco. Os pontos e as amostras devem ser lidos com 7 replicatas.  É recomendável que o analista digitaliza o formulário de diluição e arquive no mesmo diretório da planilha de cálculos.</a:t>
          </a:r>
        </a:p>
        <a:p>
          <a:r>
            <a:rPr lang="pt-BR" sz="1100" b="1">
              <a:latin typeface="Times New Roman" panose="02020603050405020304" pitchFamily="18" charset="0"/>
              <a:cs typeface="Times New Roman" panose="02020603050405020304" pitchFamily="18" charset="0"/>
            </a:rPr>
            <a:t>Massas Corrigidas </a:t>
          </a:r>
          <a:r>
            <a:rPr lang="pt-BR" sz="1100">
              <a:latin typeface="Times New Roman" panose="02020603050405020304" pitchFamily="18" charset="0"/>
              <a:cs typeface="Times New Roman" panose="02020603050405020304" pitchFamily="18" charset="0"/>
            </a:rPr>
            <a:t>– O analista deve identificar a balança utilizada através do número do certificado relativo a ela. Essa identificação ativará os dados para correção do erro de indicação e cálculo da incerteza atribuída a calibração.</a:t>
          </a:r>
        </a:p>
        <a:p>
          <a:r>
            <a:rPr lang="pt-BR" sz="1100" b="1">
              <a:latin typeface="Times New Roman" panose="02020603050405020304" pitchFamily="18" charset="0"/>
              <a:cs typeface="Times New Roman" panose="02020603050405020304" pitchFamily="18" charset="0"/>
            </a:rPr>
            <a:t>Entrada das intensidades </a:t>
          </a:r>
          <a:r>
            <a:rPr lang="pt-BR" sz="1100">
              <a:latin typeface="Times New Roman" panose="02020603050405020304" pitchFamily="18" charset="0"/>
              <a:cs typeface="Times New Roman" panose="02020603050405020304" pitchFamily="18" charset="0"/>
            </a:rPr>
            <a:t>– Entrar com os dados de intensidade ou absorbância da curva de calibração e amostras. Atenção: existe campo para o branco do padrão e da amostra. Caso o branco seja descontado no software do equipamento entrar com zero nesse campo.</a:t>
          </a:r>
        </a:p>
        <a:p>
          <a:r>
            <a:rPr lang="pt-BR" sz="1100" b="1">
              <a:latin typeface="Times New Roman" panose="02020603050405020304" pitchFamily="18" charset="0"/>
              <a:cs typeface="Times New Roman" panose="02020603050405020304" pitchFamily="18" charset="0"/>
            </a:rPr>
            <a:t>Cálculos </a:t>
          </a:r>
          <a:r>
            <a:rPr lang="pt-BR" sz="1100">
              <a:latin typeface="Times New Roman" panose="02020603050405020304" pitchFamily="18" charset="0"/>
              <a:cs typeface="Times New Roman" panose="02020603050405020304" pitchFamily="18" charset="0"/>
            </a:rPr>
            <a:t>– Essa aba não é editável</a:t>
          </a:r>
        </a:p>
        <a:p>
          <a:r>
            <a:rPr lang="pt-BR" sz="1100" b="1">
              <a:latin typeface="Times New Roman" panose="02020603050405020304" pitchFamily="18" charset="0"/>
              <a:cs typeface="Times New Roman" panose="02020603050405020304" pitchFamily="18" charset="0"/>
            </a:rPr>
            <a:t>Principal</a:t>
          </a:r>
          <a:r>
            <a:rPr lang="pt-BR" sz="1100">
              <a:latin typeface="Times New Roman" panose="02020603050405020304" pitchFamily="18" charset="0"/>
              <a:cs typeface="Times New Roman" panose="02020603050405020304" pitchFamily="18" charset="0"/>
            </a:rPr>
            <a:t> – Entrar com o nome do analista, data da análise, código e lote do MRC</a:t>
          </a:r>
        </a:p>
        <a:p>
          <a:r>
            <a:rPr lang="pt-BR" sz="1100" b="1">
              <a:latin typeface="Times New Roman" panose="02020603050405020304" pitchFamily="18" charset="0"/>
              <a:cs typeface="Times New Roman" panose="02020603050405020304" pitchFamily="18" charset="0"/>
            </a:rPr>
            <a:t>Teste de consistência </a:t>
          </a:r>
          <a:r>
            <a:rPr lang="pt-BR" sz="1100">
              <a:latin typeface="Times New Roman" panose="02020603050405020304" pitchFamily="18" charset="0"/>
              <a:cs typeface="Times New Roman" panose="02020603050405020304" pitchFamily="18" charset="0"/>
            </a:rPr>
            <a:t>– Essa aba realiza teste de consistência entre as replicatas verdadeiras da amostra. Se houver inconsistência a incerteza é ampliada para compreender todas as amostras. Alternativamente, os outliers são retirados e a média e incerteza são recalculadas. </a:t>
          </a:r>
        </a:p>
        <a:p>
          <a:r>
            <a:rPr lang="pt-BR" sz="1100" b="1">
              <a:latin typeface="Times New Roman" panose="02020603050405020304" pitchFamily="18" charset="0"/>
              <a:cs typeface="Times New Roman" panose="02020603050405020304" pitchFamily="18" charset="0"/>
            </a:rPr>
            <a:t>Dados externos </a:t>
          </a:r>
          <a:r>
            <a:rPr lang="pt-BR" sz="1100">
              <a:latin typeface="Times New Roman" panose="02020603050405020304" pitchFamily="18" charset="0"/>
              <a:cs typeface="Times New Roman" panose="02020603050405020304" pitchFamily="18" charset="0"/>
            </a:rPr>
            <a:t>– Essa aba totalmente desbloqueada se destina a colocar links dos dados externos (certificado do MRC que provê rastreabilidade, arquivo com as intensidades ou absorções usadas, planilhas de diluição, certificado de balança...).</a:t>
          </a:r>
        </a:p>
        <a:p>
          <a:r>
            <a:rPr lang="pt-BR" sz="1100" b="1">
              <a:latin typeface="Times New Roman" panose="02020603050405020304" pitchFamily="18" charset="0"/>
              <a:cs typeface="Times New Roman" panose="02020603050405020304" pitchFamily="18" charset="0"/>
            </a:rPr>
            <a:t>Cálculos Extras </a:t>
          </a:r>
          <a:r>
            <a:rPr lang="pt-BR" sz="1100">
              <a:latin typeface="Times New Roman" panose="02020603050405020304" pitchFamily="18" charset="0"/>
              <a:cs typeface="Times New Roman" panose="02020603050405020304" pitchFamily="18" charset="0"/>
            </a:rPr>
            <a:t>– Essa aba totalmente desbloqueada se destina aos cálculos que não são realizados pela planilha.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333375</xdr:colOff>
      <xdr:row>18</xdr:row>
      <xdr:rowOff>76200</xdr:rowOff>
    </xdr:from>
    <xdr:to>
      <xdr:col>15</xdr:col>
      <xdr:colOff>47625</xdr:colOff>
      <xdr:row>45</xdr:row>
      <xdr:rowOff>171450</xdr:rowOff>
    </xdr:to>
    <xdr:graphicFrame macro="">
      <xdr:nvGraphicFramePr>
        <xdr:cNvPr id="71303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602674</xdr:colOff>
      <xdr:row>63</xdr:row>
      <xdr:rowOff>97270</xdr:rowOff>
    </xdr:from>
    <xdr:to>
      <xdr:col>11</xdr:col>
      <xdr:colOff>333376</xdr:colOff>
      <xdr:row>66</xdr:row>
      <xdr:rowOff>71208</xdr:rowOff>
    </xdr:to>
    <xdr:sp macro="" textlink="">
      <xdr:nvSpPr>
        <xdr:cNvPr id="1054" name="Text Box 30"/>
        <xdr:cNvSpPr txBox="1">
          <a:spLocks noChangeArrowheads="1"/>
        </xdr:cNvSpPr>
      </xdr:nvSpPr>
      <xdr:spPr bwMode="auto">
        <a:xfrm>
          <a:off x="12537499" y="10755745"/>
          <a:ext cx="3426402" cy="459713"/>
        </a:xfrm>
        <a:prstGeom prst="rect">
          <a:avLst/>
        </a:prstGeom>
        <a:solidFill>
          <a:srgbClr val="FFFFFF"/>
        </a:solidFill>
        <a:ln w="9525">
          <a:solidFill>
            <a:srgbClr val="000000"/>
          </a:solidFill>
          <a:miter lim="800000"/>
          <a:headEnd/>
          <a:tailEnd/>
        </a:ln>
        <a:effectLst/>
      </xdr:spPr>
      <xdr:txBody>
        <a:bodyPr vertOverflow="clip" wrap="square" lIns="36576" tIns="22860" rIns="0" bIns="0" anchor="t" upright="1"/>
        <a:lstStyle/>
        <a:p>
          <a:pPr algn="l" rtl="0">
            <a:defRPr sz="1000"/>
          </a:pPr>
          <a:r>
            <a:rPr lang="pt-BR" sz="1200" b="0" i="0" strike="noStrike">
              <a:solidFill>
                <a:srgbClr val="000000"/>
              </a:solidFill>
              <a:latin typeface="Arial"/>
              <a:cs typeface="Arial"/>
            </a:rPr>
            <a:t>u</a:t>
          </a:r>
          <a:r>
            <a:rPr lang="pt-BR" sz="1200" b="0" i="0" strike="noStrike" baseline="-25000">
              <a:solidFill>
                <a:srgbClr val="000000"/>
              </a:solidFill>
              <a:latin typeface="Arial"/>
              <a:cs typeface="Arial"/>
            </a:rPr>
            <a:t>(dil)</a:t>
          </a:r>
          <a:r>
            <a:rPr lang="pt-BR" sz="1200" b="0" i="0" strike="noStrike">
              <a:solidFill>
                <a:srgbClr val="000000"/>
              </a:solidFill>
              <a:latin typeface="Arial"/>
              <a:cs typeface="Arial"/>
            </a:rPr>
            <a:t> é a incerteza associada a diluição do padrão</a:t>
          </a:r>
        </a:p>
      </xdr:txBody>
    </xdr:sp>
    <xdr:clientData/>
  </xdr:twoCellAnchor>
  <xdr:twoCellAnchor>
    <xdr:from>
      <xdr:col>0</xdr:col>
      <xdr:colOff>960345</xdr:colOff>
      <xdr:row>63</xdr:row>
      <xdr:rowOff>44636</xdr:rowOff>
    </xdr:from>
    <xdr:to>
      <xdr:col>1</xdr:col>
      <xdr:colOff>942416</xdr:colOff>
      <xdr:row>66</xdr:row>
      <xdr:rowOff>25586</xdr:rowOff>
    </xdr:to>
    <xdr:sp macro="" textlink="">
      <xdr:nvSpPr>
        <xdr:cNvPr id="1070" name="Text Box 46"/>
        <xdr:cNvSpPr txBox="1">
          <a:spLocks noChangeArrowheads="1"/>
        </xdr:cNvSpPr>
      </xdr:nvSpPr>
      <xdr:spPr bwMode="auto">
        <a:xfrm>
          <a:off x="960345" y="9748930"/>
          <a:ext cx="3108512" cy="496421"/>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pt-BR" sz="1200" b="0" i="0" strike="noStrike">
              <a:solidFill>
                <a:srgbClr val="000000"/>
              </a:solidFill>
              <a:latin typeface="Arial"/>
              <a:cs typeface="Arial"/>
            </a:rPr>
            <a:t> f</a:t>
          </a:r>
          <a:r>
            <a:rPr lang="pt-BR" sz="1200" b="0" i="0" strike="noStrike" baseline="-25000">
              <a:solidFill>
                <a:srgbClr val="000000"/>
              </a:solidFill>
              <a:latin typeface="Arial"/>
              <a:cs typeface="Arial"/>
            </a:rPr>
            <a:t>d</a:t>
          </a:r>
          <a:r>
            <a:rPr lang="pt-BR" sz="1200" b="0" i="0" strike="noStrike">
              <a:solidFill>
                <a:srgbClr val="000000"/>
              </a:solidFill>
              <a:latin typeface="Arial"/>
              <a:cs typeface="Arial"/>
            </a:rPr>
            <a:t> é o fator de diluição, m</a:t>
          </a:r>
          <a:r>
            <a:rPr lang="pt-BR" sz="1200" b="0" i="0" strike="noStrike" baseline="-25000">
              <a:solidFill>
                <a:srgbClr val="000000"/>
              </a:solidFill>
              <a:latin typeface="Arial"/>
              <a:cs typeface="Arial"/>
            </a:rPr>
            <a:t>t</a:t>
          </a:r>
          <a:r>
            <a:rPr lang="pt-BR" sz="1200" b="0" i="0" strike="noStrike">
              <a:solidFill>
                <a:srgbClr val="000000"/>
              </a:solidFill>
              <a:latin typeface="Arial"/>
              <a:cs typeface="Arial"/>
            </a:rPr>
            <a:t> massa total e m</a:t>
          </a:r>
          <a:r>
            <a:rPr lang="pt-BR" sz="1200" b="0" i="0" strike="noStrike" baseline="-25000">
              <a:solidFill>
                <a:srgbClr val="000000"/>
              </a:solidFill>
              <a:latin typeface="Arial"/>
              <a:cs typeface="Arial"/>
            </a:rPr>
            <a:t>a</a:t>
          </a:r>
          <a:r>
            <a:rPr lang="pt-BR" sz="1200" b="0" i="0" strike="noStrike">
              <a:solidFill>
                <a:srgbClr val="000000"/>
              </a:solidFill>
              <a:latin typeface="Arial"/>
              <a:cs typeface="Arial"/>
            </a:rPr>
            <a:t> massa da amostra.</a:t>
          </a:r>
        </a:p>
      </xdr:txBody>
    </xdr:sp>
    <xdr:clientData/>
  </xdr:twoCellAnchor>
  <xdr:twoCellAnchor>
    <xdr:from>
      <xdr:col>0</xdr:col>
      <xdr:colOff>2666439</xdr:colOff>
      <xdr:row>66</xdr:row>
      <xdr:rowOff>68729</xdr:rowOff>
    </xdr:from>
    <xdr:to>
      <xdr:col>4</xdr:col>
      <xdr:colOff>349623</xdr:colOff>
      <xdr:row>71</xdr:row>
      <xdr:rowOff>38811</xdr:rowOff>
    </xdr:to>
    <xdr:sp macro="" textlink="">
      <xdr:nvSpPr>
        <xdr:cNvPr id="1071" name="Text Box 47"/>
        <xdr:cNvSpPr txBox="1">
          <a:spLocks noChangeArrowheads="1"/>
        </xdr:cNvSpPr>
      </xdr:nvSpPr>
      <xdr:spPr bwMode="auto">
        <a:xfrm>
          <a:off x="2666439" y="10288494"/>
          <a:ext cx="4272243" cy="754493"/>
        </a:xfrm>
        <a:prstGeom prst="rect">
          <a:avLst/>
        </a:prstGeom>
        <a:solidFill>
          <a:srgbClr val="FFFFFF"/>
        </a:solidFill>
        <a:ln w="9525">
          <a:solidFill>
            <a:srgbClr val="000000"/>
          </a:solidFill>
          <a:miter lim="800000"/>
          <a:headEnd/>
          <a:tailEnd/>
        </a:ln>
        <a:effectLst/>
      </xdr:spPr>
      <xdr:txBody>
        <a:bodyPr vertOverflow="clip" wrap="square" lIns="36576" tIns="22860" rIns="0" bIns="0" anchor="t" upright="1"/>
        <a:lstStyle/>
        <a:p>
          <a:pPr algn="l" rtl="0">
            <a:defRPr sz="1000"/>
          </a:pPr>
          <a:r>
            <a:rPr lang="pt-BR" sz="1200" b="0" i="0" strike="noStrike">
              <a:solidFill>
                <a:srgbClr val="000000"/>
              </a:solidFill>
              <a:latin typeface="Arial"/>
              <a:cs typeface="Arial"/>
            </a:rPr>
            <a:t>u</a:t>
          </a:r>
          <a:r>
            <a:rPr lang="pt-BR" sz="1200" b="0" i="0" strike="noStrike" baseline="-25000">
              <a:solidFill>
                <a:srgbClr val="000000"/>
              </a:solidFill>
              <a:latin typeface="Arial"/>
              <a:cs typeface="Arial"/>
            </a:rPr>
            <a:t>(fd)</a:t>
          </a:r>
          <a:r>
            <a:rPr lang="pt-BR" sz="1200" b="0" i="0" strike="noStrike">
              <a:solidFill>
                <a:srgbClr val="000000"/>
              </a:solidFill>
              <a:latin typeface="Arial"/>
              <a:cs typeface="Arial"/>
            </a:rPr>
            <a:t> é a incerteza associadas a diluição da amostra,  u</a:t>
          </a:r>
          <a:r>
            <a:rPr lang="pt-BR" sz="1200" b="0" i="0" strike="noStrike" baseline="-25000">
              <a:solidFill>
                <a:srgbClr val="000000"/>
              </a:solidFill>
              <a:latin typeface="Arial"/>
              <a:cs typeface="Arial"/>
            </a:rPr>
            <a:t>(mt)</a:t>
          </a:r>
          <a:r>
            <a:rPr lang="pt-BR" sz="1200" b="0" i="0" strike="noStrike">
              <a:solidFill>
                <a:srgbClr val="000000"/>
              </a:solidFill>
              <a:latin typeface="Arial"/>
              <a:cs typeface="Arial"/>
            </a:rPr>
            <a:t> é a incerteza da massa total e u</a:t>
          </a:r>
          <a:r>
            <a:rPr lang="pt-BR" sz="1200" b="0" i="0" strike="noStrike" baseline="-25000">
              <a:solidFill>
                <a:srgbClr val="000000"/>
              </a:solidFill>
              <a:latin typeface="Arial"/>
              <a:cs typeface="Arial"/>
            </a:rPr>
            <a:t>(ma)</a:t>
          </a:r>
          <a:r>
            <a:rPr lang="pt-BR" sz="1200" b="0" i="0" strike="noStrike">
              <a:solidFill>
                <a:srgbClr val="000000"/>
              </a:solidFill>
              <a:latin typeface="Arial"/>
              <a:cs typeface="Arial"/>
            </a:rPr>
            <a:t> é a incerteza da massa da amostra.</a:t>
          </a:r>
        </a:p>
      </xdr:txBody>
    </xdr:sp>
    <xdr:clientData/>
  </xdr:twoCellAnchor>
  <xdr:twoCellAnchor>
    <xdr:from>
      <xdr:col>0</xdr:col>
      <xdr:colOff>1412501</xdr:colOff>
      <xdr:row>74</xdr:row>
      <xdr:rowOff>47997</xdr:rowOff>
    </xdr:from>
    <xdr:to>
      <xdr:col>3</xdr:col>
      <xdr:colOff>1031501</xdr:colOff>
      <xdr:row>76</xdr:row>
      <xdr:rowOff>108323</xdr:rowOff>
    </xdr:to>
    <xdr:sp macro="" textlink="">
      <xdr:nvSpPr>
        <xdr:cNvPr id="1074" name="Text Box 50"/>
        <xdr:cNvSpPr txBox="1">
          <a:spLocks noChangeArrowheads="1"/>
        </xdr:cNvSpPr>
      </xdr:nvSpPr>
      <xdr:spPr bwMode="auto">
        <a:xfrm>
          <a:off x="1412501" y="11522821"/>
          <a:ext cx="4695265" cy="374090"/>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pt-BR" sz="1200" b="0" i="1" strike="noStrike">
              <a:solidFill>
                <a:srgbClr val="000000"/>
              </a:solidFill>
              <a:latin typeface="Arial"/>
              <a:cs typeface="Arial"/>
            </a:rPr>
            <a:t>w</a:t>
          </a:r>
          <a:r>
            <a:rPr lang="pt-BR" sz="1200" b="0" i="0" strike="noStrike" baseline="-25000">
              <a:solidFill>
                <a:srgbClr val="000000"/>
              </a:solidFill>
              <a:latin typeface="Arial"/>
              <a:cs typeface="Arial"/>
            </a:rPr>
            <a:t>s</a:t>
          </a:r>
          <a:r>
            <a:rPr lang="pt-BR" sz="1200" b="0" i="0" strike="noStrike">
              <a:solidFill>
                <a:srgbClr val="000000"/>
              </a:solidFill>
              <a:latin typeface="Arial"/>
              <a:cs typeface="Arial"/>
            </a:rPr>
            <a:t> fração mássica da solução, </a:t>
          </a:r>
          <a:r>
            <a:rPr lang="pt-BR" sz="1200" b="0" i="1" strike="noStrike">
              <a:solidFill>
                <a:srgbClr val="000000"/>
              </a:solidFill>
              <a:latin typeface="Arial"/>
              <a:cs typeface="Arial"/>
            </a:rPr>
            <a:t>w</a:t>
          </a:r>
          <a:r>
            <a:rPr lang="pt-BR" sz="1200" b="0" i="0" strike="noStrike" baseline="-25000">
              <a:solidFill>
                <a:srgbClr val="000000"/>
              </a:solidFill>
              <a:latin typeface="Arial"/>
              <a:cs typeface="Arial"/>
            </a:rPr>
            <a:t>e</a:t>
          </a:r>
          <a:r>
            <a:rPr lang="pt-BR" sz="1200" b="0" i="0" strike="noStrike">
              <a:solidFill>
                <a:srgbClr val="000000"/>
              </a:solidFill>
              <a:latin typeface="Arial"/>
              <a:cs typeface="Arial"/>
            </a:rPr>
            <a:t> fração mássica do estoque, m</a:t>
          </a:r>
          <a:r>
            <a:rPr lang="pt-BR" sz="1200" b="0" i="0" strike="noStrike" baseline="-25000">
              <a:solidFill>
                <a:srgbClr val="000000"/>
              </a:solidFill>
              <a:latin typeface="Arial"/>
              <a:cs typeface="Arial"/>
            </a:rPr>
            <a:t>s</a:t>
          </a:r>
          <a:r>
            <a:rPr lang="pt-BR" sz="1200" b="0" i="0" strike="noStrike">
              <a:solidFill>
                <a:srgbClr val="000000"/>
              </a:solidFill>
              <a:latin typeface="Arial"/>
              <a:cs typeface="Arial"/>
            </a:rPr>
            <a:t> massa da solução e m</a:t>
          </a:r>
          <a:r>
            <a:rPr lang="pt-BR" sz="1200" b="0" i="0" strike="noStrike" baseline="-25000">
              <a:solidFill>
                <a:srgbClr val="000000"/>
              </a:solidFill>
              <a:latin typeface="Arial"/>
              <a:cs typeface="Arial"/>
            </a:rPr>
            <a:t>e</a:t>
          </a:r>
          <a:r>
            <a:rPr lang="pt-BR" sz="1200" b="0" i="0" strike="noStrike">
              <a:solidFill>
                <a:srgbClr val="000000"/>
              </a:solidFill>
              <a:latin typeface="Arial"/>
              <a:cs typeface="Arial"/>
            </a:rPr>
            <a:t> alíquota do estoque.</a:t>
          </a:r>
        </a:p>
      </xdr:txBody>
    </xdr:sp>
    <xdr:clientData/>
  </xdr:twoCellAnchor>
  <xdr:twoCellAnchor>
    <xdr:from>
      <xdr:col>0</xdr:col>
      <xdr:colOff>1391770</xdr:colOff>
      <xdr:row>77</xdr:row>
      <xdr:rowOff>135964</xdr:rowOff>
    </xdr:from>
    <xdr:to>
      <xdr:col>2</xdr:col>
      <xdr:colOff>673473</xdr:colOff>
      <xdr:row>82</xdr:row>
      <xdr:rowOff>71010</xdr:rowOff>
    </xdr:to>
    <xdr:sp macro="" textlink="">
      <xdr:nvSpPr>
        <xdr:cNvPr id="1075" name="Text Box 51"/>
        <xdr:cNvSpPr txBox="1">
          <a:spLocks noChangeArrowheads="1"/>
        </xdr:cNvSpPr>
      </xdr:nvSpPr>
      <xdr:spPr bwMode="auto">
        <a:xfrm>
          <a:off x="1391770" y="12081435"/>
          <a:ext cx="3495115" cy="741869"/>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pt-BR" sz="1200" b="0" i="0" strike="noStrike">
              <a:solidFill>
                <a:srgbClr val="000000"/>
              </a:solidFill>
              <a:latin typeface="Arial"/>
              <a:cs typeface="Arial"/>
            </a:rPr>
            <a:t>u</a:t>
          </a:r>
          <a:r>
            <a:rPr lang="pt-BR" sz="1200" b="0" i="0" strike="noStrike" baseline="-25000">
              <a:solidFill>
                <a:srgbClr val="000000"/>
              </a:solidFill>
              <a:latin typeface="Arial"/>
              <a:cs typeface="Arial"/>
            </a:rPr>
            <a:t>(</a:t>
          </a:r>
          <a:r>
            <a:rPr lang="pt-BR" sz="1200" b="0" i="1" strike="noStrike" baseline="-25000">
              <a:solidFill>
                <a:srgbClr val="000000"/>
              </a:solidFill>
              <a:latin typeface="Arial"/>
              <a:cs typeface="Arial"/>
            </a:rPr>
            <a:t>w</a:t>
          </a:r>
          <a:r>
            <a:rPr lang="pt-BR" sz="1200" b="0" i="0" strike="noStrike" baseline="-25000">
              <a:solidFill>
                <a:srgbClr val="000000"/>
              </a:solidFill>
              <a:latin typeface="Arial"/>
              <a:cs typeface="Arial"/>
            </a:rPr>
            <a:t>e)</a:t>
          </a:r>
          <a:r>
            <a:rPr lang="pt-BR" sz="1200" b="0" i="0" strike="noStrike">
              <a:solidFill>
                <a:srgbClr val="000000"/>
              </a:solidFill>
              <a:latin typeface="Arial"/>
              <a:cs typeface="Arial"/>
            </a:rPr>
            <a:t> Incerteza associada ao estoque, U</a:t>
          </a:r>
          <a:r>
            <a:rPr lang="pt-BR" sz="1200" b="0" i="1" strike="noStrike" baseline="-25000">
              <a:solidFill>
                <a:srgbClr val="000000"/>
              </a:solidFill>
              <a:latin typeface="Arial"/>
              <a:cs typeface="Arial"/>
            </a:rPr>
            <a:t>w</a:t>
          </a:r>
          <a:r>
            <a:rPr lang="pt-BR" sz="1200" b="0" i="0" strike="noStrike" baseline="-25000">
              <a:solidFill>
                <a:srgbClr val="000000"/>
              </a:solidFill>
              <a:latin typeface="Arial"/>
              <a:cs typeface="Arial"/>
            </a:rPr>
            <a:t>e)</a:t>
          </a:r>
          <a:r>
            <a:rPr lang="pt-BR" sz="1200" b="0" i="0" strike="noStrike">
              <a:solidFill>
                <a:srgbClr val="000000"/>
              </a:solidFill>
              <a:latin typeface="Arial"/>
              <a:cs typeface="Arial"/>
            </a:rPr>
            <a:t> incerteza certificada do estoque e k é fator de abrangência.</a:t>
          </a:r>
        </a:p>
      </xdr:txBody>
    </xdr:sp>
    <xdr:clientData/>
  </xdr:twoCellAnchor>
  <xdr:twoCellAnchor>
    <xdr:from>
      <xdr:col>1</xdr:col>
      <xdr:colOff>883024</xdr:colOff>
      <xdr:row>83</xdr:row>
      <xdr:rowOff>7844</xdr:rowOff>
    </xdr:from>
    <xdr:to>
      <xdr:col>4</xdr:col>
      <xdr:colOff>281828</xdr:colOff>
      <xdr:row>86</xdr:row>
      <xdr:rowOff>55468</xdr:rowOff>
    </xdr:to>
    <xdr:sp macro="" textlink="">
      <xdr:nvSpPr>
        <xdr:cNvPr id="1076" name="Text Box 52"/>
        <xdr:cNvSpPr txBox="1">
          <a:spLocks noChangeArrowheads="1"/>
        </xdr:cNvSpPr>
      </xdr:nvSpPr>
      <xdr:spPr bwMode="auto">
        <a:xfrm>
          <a:off x="4009465" y="12917020"/>
          <a:ext cx="2861422" cy="518272"/>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pt-BR" sz="1200" b="0" i="0" strike="noStrike">
              <a:solidFill>
                <a:srgbClr val="000000"/>
              </a:solidFill>
              <a:latin typeface="Arial"/>
              <a:cs typeface="Arial"/>
            </a:rPr>
            <a:t>u</a:t>
          </a:r>
          <a:r>
            <a:rPr lang="pt-BR" sz="1200" b="0" i="0" strike="noStrike" baseline="-25000">
              <a:solidFill>
                <a:srgbClr val="000000"/>
              </a:solidFill>
              <a:latin typeface="Arial"/>
              <a:cs typeface="Arial"/>
            </a:rPr>
            <a:t>(</a:t>
          </a:r>
          <a:r>
            <a:rPr lang="pt-BR" sz="1200" b="0" i="1" strike="noStrike" baseline="-25000">
              <a:solidFill>
                <a:srgbClr val="000000"/>
              </a:solidFill>
              <a:latin typeface="Arial"/>
              <a:cs typeface="Arial"/>
            </a:rPr>
            <a:t>w</a:t>
          </a:r>
          <a:r>
            <a:rPr lang="pt-BR" sz="1200" b="0" i="0" strike="noStrike" baseline="-25000">
              <a:solidFill>
                <a:srgbClr val="000000"/>
              </a:solidFill>
              <a:latin typeface="Arial"/>
              <a:cs typeface="Arial"/>
            </a:rPr>
            <a:t>s)</a:t>
          </a:r>
          <a:r>
            <a:rPr lang="pt-BR" sz="1200" b="0" i="0" strike="noStrike">
              <a:solidFill>
                <a:srgbClr val="000000"/>
              </a:solidFill>
              <a:latin typeface="Arial"/>
              <a:cs typeface="Arial"/>
            </a:rPr>
            <a:t> Incerteza associada a solução intermediária. </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twoCellAnchor>
  <xdr:twoCellAnchor>
    <xdr:from>
      <xdr:col>0</xdr:col>
      <xdr:colOff>67796</xdr:colOff>
      <xdr:row>71</xdr:row>
      <xdr:rowOff>75829</xdr:rowOff>
    </xdr:from>
    <xdr:to>
      <xdr:col>4</xdr:col>
      <xdr:colOff>848846</xdr:colOff>
      <xdr:row>73</xdr:row>
      <xdr:rowOff>150161</xdr:rowOff>
    </xdr:to>
    <xdr:sp macro="" textlink="">
      <xdr:nvSpPr>
        <xdr:cNvPr id="1077" name="Text Box 53"/>
        <xdr:cNvSpPr txBox="1">
          <a:spLocks noChangeArrowheads="1"/>
        </xdr:cNvSpPr>
      </xdr:nvSpPr>
      <xdr:spPr bwMode="auto">
        <a:xfrm>
          <a:off x="67796" y="11080005"/>
          <a:ext cx="7370109" cy="388097"/>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pt-BR" sz="1200" b="0" i="0" strike="noStrike">
              <a:solidFill>
                <a:srgbClr val="000000"/>
              </a:solidFill>
              <a:latin typeface="Arial"/>
              <a:cs typeface="Arial"/>
            </a:rPr>
            <a:t>O cálculo das frações mássicas</a:t>
          </a:r>
          <a:r>
            <a:rPr lang="pt-BR" sz="1200" b="0" i="0" strike="noStrike" baseline="0">
              <a:solidFill>
                <a:srgbClr val="000000"/>
              </a:solidFill>
              <a:latin typeface="Arial"/>
              <a:cs typeface="Arial"/>
            </a:rPr>
            <a:t> </a:t>
          </a:r>
          <a:r>
            <a:rPr lang="pt-BR" sz="1200" b="0" i="0" strike="noStrike">
              <a:solidFill>
                <a:srgbClr val="000000"/>
              </a:solidFill>
              <a:latin typeface="Arial"/>
              <a:cs typeface="Arial"/>
            </a:rPr>
            <a:t>dos padrões de trabalho (</a:t>
          </a:r>
          <a:r>
            <a:rPr lang="pt-BR" sz="1200" b="0" i="1" strike="noStrike">
              <a:solidFill>
                <a:srgbClr val="000000"/>
              </a:solidFill>
              <a:latin typeface="Arial"/>
              <a:cs typeface="Arial"/>
            </a:rPr>
            <a:t>w</a:t>
          </a:r>
          <a:r>
            <a:rPr lang="pt-BR" sz="1200" b="0" i="0" strike="noStrike" baseline="-25000">
              <a:solidFill>
                <a:srgbClr val="000000"/>
              </a:solidFill>
              <a:latin typeface="Arial"/>
              <a:cs typeface="Arial"/>
            </a:rPr>
            <a:t>s</a:t>
          </a:r>
          <a:r>
            <a:rPr lang="pt-BR" sz="1200" b="0" i="0" strike="noStrike">
              <a:solidFill>
                <a:srgbClr val="000000"/>
              </a:solidFill>
              <a:latin typeface="Arial"/>
              <a:cs typeface="Arial"/>
            </a:rPr>
            <a:t>) e sua</a:t>
          </a:r>
          <a:r>
            <a:rPr lang="pt-BR" sz="1200" b="0" i="0" strike="noStrike" baseline="0">
              <a:solidFill>
                <a:srgbClr val="000000"/>
              </a:solidFill>
              <a:latin typeface="Arial"/>
              <a:cs typeface="Arial"/>
            </a:rPr>
            <a:t> incerteza</a:t>
          </a:r>
          <a:r>
            <a:rPr lang="pt-BR" sz="1200" b="0" i="0" strike="noStrike">
              <a:solidFill>
                <a:srgbClr val="000000"/>
              </a:solidFill>
              <a:latin typeface="Arial"/>
              <a:cs typeface="Arial"/>
            </a:rPr>
            <a:t> (u</a:t>
          </a:r>
          <a:r>
            <a:rPr lang="pt-BR" sz="1200" b="0" i="0" strike="noStrike" baseline="-25000">
              <a:solidFill>
                <a:srgbClr val="000000"/>
              </a:solidFill>
              <a:latin typeface="Arial"/>
              <a:cs typeface="Arial"/>
            </a:rPr>
            <a:t>(Cs)</a:t>
          </a:r>
          <a:r>
            <a:rPr lang="pt-BR" sz="1200" b="0" i="0" strike="noStrike">
              <a:solidFill>
                <a:srgbClr val="000000"/>
              </a:solidFill>
              <a:latin typeface="Arial"/>
              <a:cs typeface="Arial"/>
            </a:rPr>
            <a:t>) são</a:t>
          </a:r>
          <a:r>
            <a:rPr lang="pt-BR" sz="1200" b="0" i="0" strike="noStrike" baseline="0">
              <a:solidFill>
                <a:srgbClr val="000000"/>
              </a:solidFill>
              <a:latin typeface="Arial"/>
              <a:cs typeface="Arial"/>
            </a:rPr>
            <a:t> feitos da mesma forma que é feita para a solução intermediária.</a:t>
          </a:r>
          <a:endParaRPr lang="pt-BR" sz="1200" b="0" i="0" strike="noStrike">
            <a:solidFill>
              <a:srgbClr val="000000"/>
            </a:solidFill>
            <a:latin typeface="Arial"/>
            <a:cs typeface="Arial"/>
          </a:endParaRPr>
        </a:p>
      </xdr:txBody>
    </xdr:sp>
    <xdr:clientData/>
  </xdr:twoCellAnchor>
  <xdr:twoCellAnchor>
    <xdr:from>
      <xdr:col>7</xdr:col>
      <xdr:colOff>1366558</xdr:colOff>
      <xdr:row>46</xdr:row>
      <xdr:rowOff>84605</xdr:rowOff>
    </xdr:from>
    <xdr:to>
      <xdr:col>10</xdr:col>
      <xdr:colOff>895350</xdr:colOff>
      <xdr:row>48</xdr:row>
      <xdr:rowOff>170330</xdr:rowOff>
    </xdr:to>
    <xdr:sp macro="" textlink="">
      <xdr:nvSpPr>
        <xdr:cNvPr id="1079" name="Text Box 55"/>
        <xdr:cNvSpPr txBox="1">
          <a:spLocks noChangeArrowheads="1"/>
        </xdr:cNvSpPr>
      </xdr:nvSpPr>
      <xdr:spPr bwMode="auto">
        <a:xfrm>
          <a:off x="11301133" y="7685555"/>
          <a:ext cx="3881717" cy="447675"/>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pt-BR" sz="1200" b="0" i="0" strike="noStrike">
              <a:solidFill>
                <a:srgbClr val="000000"/>
              </a:solidFill>
              <a:latin typeface="Arial"/>
              <a:cs typeface="Arial"/>
            </a:rPr>
            <a:t>I</a:t>
          </a:r>
          <a:r>
            <a:rPr lang="pt-BR" sz="1200" b="0" i="0" strike="noStrike" baseline="-25000">
              <a:solidFill>
                <a:srgbClr val="000000"/>
              </a:solidFill>
              <a:latin typeface="Arial"/>
              <a:cs typeface="Arial"/>
            </a:rPr>
            <a:t>Esp</a:t>
          </a:r>
          <a:r>
            <a:rPr lang="pt-BR" sz="1200" b="0" i="0" strike="noStrike">
              <a:solidFill>
                <a:srgbClr val="000000"/>
              </a:solidFill>
              <a:latin typeface="Arial"/>
              <a:cs typeface="Arial"/>
            </a:rPr>
            <a:t> é a intensidade prevista, B</a:t>
          </a:r>
          <a:r>
            <a:rPr lang="pt-BR" sz="1200" b="0" i="0" strike="noStrike" baseline="-25000">
              <a:solidFill>
                <a:srgbClr val="000000"/>
              </a:solidFill>
              <a:latin typeface="Arial"/>
              <a:cs typeface="Arial"/>
            </a:rPr>
            <a:t>0</a:t>
          </a:r>
          <a:r>
            <a:rPr lang="pt-BR" sz="1200" b="0" i="0" strike="noStrike">
              <a:solidFill>
                <a:srgbClr val="000000"/>
              </a:solidFill>
              <a:latin typeface="Arial"/>
              <a:cs typeface="Arial"/>
            </a:rPr>
            <a:t> interceção</a:t>
          </a:r>
          <a:r>
            <a:rPr lang="pt-BR" sz="1200" b="0" i="0" strike="noStrike" baseline="0">
              <a:solidFill>
                <a:srgbClr val="000000"/>
              </a:solidFill>
              <a:latin typeface="Arial"/>
              <a:cs typeface="Arial"/>
            </a:rPr>
            <a:t> com eixo</a:t>
          </a:r>
          <a:r>
            <a:rPr lang="pt-BR" sz="1200" b="0" i="0" strike="noStrike">
              <a:solidFill>
                <a:srgbClr val="000000"/>
              </a:solidFill>
              <a:latin typeface="Arial"/>
              <a:cs typeface="Arial"/>
            </a:rPr>
            <a:t> , B</a:t>
          </a:r>
          <a:r>
            <a:rPr lang="pt-BR" sz="1200" b="0" i="0" strike="noStrike" baseline="-25000">
              <a:solidFill>
                <a:srgbClr val="000000"/>
              </a:solidFill>
              <a:latin typeface="Arial"/>
              <a:cs typeface="Arial"/>
            </a:rPr>
            <a:t>1</a:t>
          </a:r>
          <a:r>
            <a:rPr lang="pt-BR" sz="1200" b="0" i="0" strike="noStrike">
              <a:solidFill>
                <a:srgbClr val="000000"/>
              </a:solidFill>
              <a:latin typeface="Arial"/>
              <a:cs typeface="Arial"/>
            </a:rPr>
            <a:t> a inclinação e </a:t>
          </a:r>
          <a:r>
            <a:rPr lang="pt-BR" sz="1200" b="0" i="1" strike="noStrike">
              <a:solidFill>
                <a:srgbClr val="000000"/>
              </a:solidFill>
              <a:latin typeface="Arial"/>
              <a:cs typeface="Arial"/>
            </a:rPr>
            <a:t>w</a:t>
          </a:r>
          <a:r>
            <a:rPr lang="pt-BR" sz="1200" b="0" i="0" strike="noStrike" baseline="-25000">
              <a:solidFill>
                <a:srgbClr val="000000"/>
              </a:solidFill>
              <a:latin typeface="Arial"/>
              <a:cs typeface="Arial"/>
            </a:rPr>
            <a:t>j</a:t>
          </a:r>
          <a:r>
            <a:rPr lang="pt-BR" sz="1200" b="0" i="0" strike="noStrike">
              <a:solidFill>
                <a:srgbClr val="000000"/>
              </a:solidFill>
              <a:latin typeface="Arial"/>
              <a:cs typeface="Arial"/>
            </a:rPr>
            <a:t> fração mássica do padrão.</a:t>
          </a:r>
        </a:p>
      </xdr:txBody>
    </xdr:sp>
    <xdr:clientData/>
  </xdr:twoCellAnchor>
  <xdr:twoCellAnchor>
    <xdr:from>
      <xdr:col>7</xdr:col>
      <xdr:colOff>40902</xdr:colOff>
      <xdr:row>56</xdr:row>
      <xdr:rowOff>10085</xdr:rowOff>
    </xdr:from>
    <xdr:to>
      <xdr:col>9</xdr:col>
      <xdr:colOff>247650</xdr:colOff>
      <xdr:row>59</xdr:row>
      <xdr:rowOff>23346</xdr:rowOff>
    </xdr:to>
    <xdr:sp macro="" textlink="">
      <xdr:nvSpPr>
        <xdr:cNvPr id="1080" name="Text Box 56"/>
        <xdr:cNvSpPr txBox="1">
          <a:spLocks noChangeArrowheads="1"/>
        </xdr:cNvSpPr>
      </xdr:nvSpPr>
      <xdr:spPr bwMode="auto">
        <a:xfrm>
          <a:off x="9975477" y="9458885"/>
          <a:ext cx="3283323" cy="5752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strike="noStrike">
              <a:solidFill>
                <a:srgbClr val="000000"/>
              </a:solidFill>
              <a:latin typeface="Arial"/>
              <a:cs typeface="Arial"/>
            </a:rPr>
            <a:t> </a:t>
          </a:r>
          <a:r>
            <a:rPr lang="pt-BR" sz="1200" b="0" i="0" strike="noStrike">
              <a:solidFill>
                <a:srgbClr val="000000"/>
              </a:solidFill>
              <a:latin typeface="Arial"/>
              <a:cs typeface="Arial"/>
            </a:rPr>
            <a:t>C é a média da concentração dos padrões</a:t>
          </a:r>
          <a:r>
            <a:rPr lang="pt-BR" sz="1200" b="0" i="0" strike="noStrike" baseline="0">
              <a:solidFill>
                <a:srgbClr val="000000"/>
              </a:solidFill>
              <a:latin typeface="Arial"/>
              <a:cs typeface="Arial"/>
            </a:rPr>
            <a:t> e Cj é a concentração de cada padrão</a:t>
          </a:r>
          <a:r>
            <a:rPr lang="pt-BR" sz="1200" b="0" i="0" strike="noStrike">
              <a:solidFill>
                <a:srgbClr val="000000"/>
              </a:solidFill>
              <a:latin typeface="Arial"/>
              <a:cs typeface="Arial"/>
            </a:rPr>
            <a:t>.</a:t>
          </a:r>
        </a:p>
      </xdr:txBody>
    </xdr:sp>
    <xdr:clientData/>
  </xdr:twoCellAnchor>
  <xdr:twoCellAnchor>
    <xdr:from>
      <xdr:col>7</xdr:col>
      <xdr:colOff>633693</xdr:colOff>
      <xdr:row>49</xdr:row>
      <xdr:rowOff>122143</xdr:rowOff>
    </xdr:from>
    <xdr:to>
      <xdr:col>9</xdr:col>
      <xdr:colOff>1257300</xdr:colOff>
      <xdr:row>55</xdr:row>
      <xdr:rowOff>76200</xdr:rowOff>
    </xdr:to>
    <xdr:sp macro="" textlink="">
      <xdr:nvSpPr>
        <xdr:cNvPr id="1081" name="Text Box 57"/>
        <xdr:cNvSpPr txBox="1">
          <a:spLocks noChangeArrowheads="1"/>
        </xdr:cNvSpPr>
      </xdr:nvSpPr>
      <xdr:spPr bwMode="auto">
        <a:xfrm>
          <a:off x="10568268" y="8285068"/>
          <a:ext cx="3700182" cy="1078007"/>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pt-BR" sz="1200" b="0" i="0" strike="noStrike">
              <a:solidFill>
                <a:srgbClr val="000000"/>
              </a:solidFill>
              <a:latin typeface="Arial"/>
              <a:cs typeface="Arial"/>
            </a:rPr>
            <a:t>S é o desvio padrão residual, I</a:t>
          </a:r>
          <a:r>
            <a:rPr lang="pt-BR" sz="1200" b="0" i="0" strike="noStrike" baseline="-25000">
              <a:solidFill>
                <a:srgbClr val="000000"/>
              </a:solidFill>
              <a:latin typeface="Arial"/>
              <a:cs typeface="Arial"/>
            </a:rPr>
            <a:t>j </a:t>
          </a:r>
          <a:r>
            <a:rPr lang="pt-BR" sz="1200" b="0" i="0" strike="noStrike">
              <a:solidFill>
                <a:srgbClr val="000000"/>
              </a:solidFill>
              <a:latin typeface="Arial"/>
              <a:cs typeface="Arial"/>
            </a:rPr>
            <a:t>medida da intensidade  experimental,I</a:t>
          </a:r>
          <a:r>
            <a:rPr lang="pt-BR" sz="1000" b="0" i="0">
              <a:latin typeface="+mn-lt"/>
              <a:ea typeface="+mn-ea"/>
              <a:cs typeface="+mn-cs"/>
            </a:rPr>
            <a:t>Esp</a:t>
          </a:r>
          <a:r>
            <a:rPr lang="pt-BR" sz="1200" b="0" i="0" strike="noStrike" baseline="0">
              <a:solidFill>
                <a:srgbClr val="000000"/>
              </a:solidFill>
              <a:latin typeface="Arial"/>
              <a:cs typeface="Arial"/>
            </a:rPr>
            <a:t> medida da intensidade esperada </a:t>
          </a:r>
          <a:r>
            <a:rPr lang="pt-BR" sz="1200" b="0" i="0" strike="noStrike">
              <a:solidFill>
                <a:srgbClr val="000000"/>
              </a:solidFill>
              <a:latin typeface="Arial"/>
              <a:cs typeface="Arial"/>
            </a:rPr>
            <a:t>e n é o número de medidas para contrução</a:t>
          </a:r>
          <a:r>
            <a:rPr lang="pt-BR" sz="1200" b="0" i="0" strike="noStrike" baseline="0">
              <a:solidFill>
                <a:srgbClr val="000000"/>
              </a:solidFill>
              <a:latin typeface="Arial"/>
              <a:cs typeface="Arial"/>
            </a:rPr>
            <a:t> da curva de calibração.</a:t>
          </a:r>
          <a:endParaRPr lang="pt-BR" sz="1000" b="0" i="0" strike="noStrike">
            <a:solidFill>
              <a:srgbClr val="000000"/>
            </a:solidFill>
            <a:latin typeface="Arial"/>
            <a:cs typeface="Arial"/>
          </a:endParaRPr>
        </a:p>
      </xdr:txBody>
    </xdr:sp>
    <xdr:clientData/>
  </xdr:twoCellAnchor>
  <xdr:twoCellAnchor>
    <xdr:from>
      <xdr:col>7</xdr:col>
      <xdr:colOff>772679</xdr:colOff>
      <xdr:row>69</xdr:row>
      <xdr:rowOff>19051</xdr:rowOff>
    </xdr:from>
    <xdr:to>
      <xdr:col>9</xdr:col>
      <xdr:colOff>533400</xdr:colOff>
      <xdr:row>74</xdr:row>
      <xdr:rowOff>38100</xdr:rowOff>
    </xdr:to>
    <xdr:sp macro="" textlink="">
      <xdr:nvSpPr>
        <xdr:cNvPr id="1082" name="Text Box 58"/>
        <xdr:cNvSpPr txBox="1">
          <a:spLocks noChangeArrowheads="1"/>
        </xdr:cNvSpPr>
      </xdr:nvSpPr>
      <xdr:spPr bwMode="auto">
        <a:xfrm>
          <a:off x="10707254" y="11649076"/>
          <a:ext cx="2837296" cy="847724"/>
        </a:xfrm>
        <a:prstGeom prst="rect">
          <a:avLst/>
        </a:prstGeom>
        <a:solidFill>
          <a:srgbClr val="FFFFFF"/>
        </a:solidFill>
        <a:ln w="9525">
          <a:solidFill>
            <a:srgbClr val="000000"/>
          </a:solidFill>
          <a:miter lim="800000"/>
          <a:headEnd/>
          <a:tailEnd/>
        </a:ln>
        <a:effectLst/>
      </xdr:spPr>
      <xdr:txBody>
        <a:bodyPr vertOverflow="clip" wrap="square" lIns="36576" tIns="22860" rIns="0" bIns="0" anchor="t" upright="1"/>
        <a:lstStyle/>
        <a:p>
          <a:pPr algn="l" rtl="0">
            <a:defRPr sz="1000"/>
          </a:pPr>
          <a:r>
            <a:rPr lang="pt-BR" sz="1200" b="0" i="0" strike="noStrike">
              <a:solidFill>
                <a:srgbClr val="000000"/>
              </a:solidFill>
              <a:latin typeface="Arial"/>
              <a:cs typeface="Arial"/>
            </a:rPr>
            <a:t> u</a:t>
          </a:r>
          <a:r>
            <a:rPr lang="pt-BR" sz="1200" b="0" i="0" strike="noStrike" baseline="-25000">
              <a:solidFill>
                <a:srgbClr val="000000"/>
              </a:solidFill>
              <a:latin typeface="Arial"/>
              <a:cs typeface="Arial"/>
            </a:rPr>
            <a:t>(</a:t>
          </a:r>
          <a:r>
            <a:rPr lang="pt-BR" sz="1200" b="0" i="1" strike="noStrike" baseline="-25000">
              <a:solidFill>
                <a:srgbClr val="000000"/>
              </a:solidFill>
              <a:latin typeface="Arial"/>
              <a:cs typeface="Arial"/>
            </a:rPr>
            <a:t>w</a:t>
          </a:r>
          <a:r>
            <a:rPr lang="pt-BR" sz="1200" b="0" i="0" strike="noStrike" baseline="-25000">
              <a:solidFill>
                <a:srgbClr val="000000"/>
              </a:solidFill>
              <a:latin typeface="Arial"/>
              <a:cs typeface="Arial"/>
            </a:rPr>
            <a:t>o)</a:t>
          </a:r>
          <a:r>
            <a:rPr lang="pt-BR" sz="1200" b="0" i="0" strike="noStrike">
              <a:solidFill>
                <a:srgbClr val="000000"/>
              </a:solidFill>
              <a:latin typeface="Arial"/>
              <a:cs typeface="Arial"/>
            </a:rPr>
            <a:t> é a incerteza associada a curva de calibração, </a:t>
          </a:r>
          <a:r>
            <a:rPr lang="pt-BR" sz="1200" b="0" i="1" strike="noStrike">
              <a:solidFill>
                <a:srgbClr val="000000"/>
              </a:solidFill>
              <a:latin typeface="Arial"/>
              <a:cs typeface="Arial"/>
            </a:rPr>
            <a:t>w</a:t>
          </a:r>
          <a:r>
            <a:rPr lang="pt-BR" sz="1200" b="0" i="0" strike="noStrike" baseline="-25000">
              <a:solidFill>
                <a:srgbClr val="000000"/>
              </a:solidFill>
              <a:latin typeface="Arial"/>
              <a:cs typeface="Arial"/>
            </a:rPr>
            <a:t>0</a:t>
          </a:r>
          <a:r>
            <a:rPr lang="pt-BR" sz="1200" b="0" i="0" strike="noStrike">
              <a:solidFill>
                <a:srgbClr val="000000"/>
              </a:solidFill>
              <a:latin typeface="Arial"/>
              <a:cs typeface="Arial"/>
            </a:rPr>
            <a:t> é a concentração medida, p o número de medidas para determinar </a:t>
          </a:r>
          <a:r>
            <a:rPr lang="pt-BR" sz="1200" b="0" i="1" strike="noStrike">
              <a:solidFill>
                <a:srgbClr val="000000"/>
              </a:solidFill>
              <a:latin typeface="Arial"/>
              <a:cs typeface="Arial"/>
            </a:rPr>
            <a:t>w</a:t>
          </a:r>
          <a:r>
            <a:rPr lang="pt-BR" sz="1200" b="0" i="0" strike="noStrike" baseline="-25000">
              <a:solidFill>
                <a:srgbClr val="000000"/>
              </a:solidFill>
              <a:latin typeface="Arial"/>
              <a:cs typeface="Arial"/>
            </a:rPr>
            <a:t>0.</a:t>
          </a:r>
        </a:p>
      </xdr:txBody>
    </xdr:sp>
    <xdr:clientData/>
  </xdr:twoCellAnchor>
  <xdr:twoCellAnchor>
    <xdr:from>
      <xdr:col>7</xdr:col>
      <xdr:colOff>615444</xdr:colOff>
      <xdr:row>75</xdr:row>
      <xdr:rowOff>33483</xdr:rowOff>
    </xdr:from>
    <xdr:to>
      <xdr:col>12</xdr:col>
      <xdr:colOff>157162</xdr:colOff>
      <xdr:row>78</xdr:row>
      <xdr:rowOff>133350</xdr:rowOff>
    </xdr:to>
    <xdr:sp macro="" textlink="">
      <xdr:nvSpPr>
        <xdr:cNvPr id="1083" name="Text Box 59"/>
        <xdr:cNvSpPr txBox="1">
          <a:spLocks noChangeArrowheads="1"/>
        </xdr:cNvSpPr>
      </xdr:nvSpPr>
      <xdr:spPr bwMode="auto">
        <a:xfrm>
          <a:off x="10676225" y="12951764"/>
          <a:ext cx="5744875" cy="599930"/>
        </a:xfrm>
        <a:prstGeom prst="rect">
          <a:avLst/>
        </a:prstGeom>
        <a:solidFill>
          <a:srgbClr val="FFFFFF"/>
        </a:solidFill>
        <a:ln w="9525">
          <a:solidFill>
            <a:srgbClr val="000000"/>
          </a:solidFill>
          <a:miter lim="800000"/>
          <a:headEnd/>
          <a:tailEnd/>
        </a:ln>
        <a:effectLst/>
      </xdr:spPr>
      <xdr:txBody>
        <a:bodyPr vertOverflow="clip" wrap="square" lIns="27432" tIns="27432" rIns="0" bIns="0" anchor="t" upright="1"/>
        <a:lstStyle/>
        <a:p>
          <a:pPr algn="l" rtl="0">
            <a:defRPr sz="1000"/>
          </a:pPr>
          <a:r>
            <a:rPr lang="pt-BR" sz="1200" b="0" i="0" strike="noStrike">
              <a:solidFill>
                <a:srgbClr val="000000"/>
              </a:solidFill>
              <a:latin typeface="Symbol"/>
            </a:rPr>
            <a:t> </a:t>
          </a:r>
          <a:r>
            <a:rPr lang="pt-BR" sz="1200" b="0" i="0" strike="noStrike">
              <a:solidFill>
                <a:srgbClr val="000000"/>
              </a:solidFill>
              <a:latin typeface="Arial"/>
              <a:cs typeface="Arial"/>
            </a:rPr>
            <a:t>u</a:t>
          </a:r>
          <a:r>
            <a:rPr lang="pt-BR" sz="1200" b="0" i="0" strike="noStrike" baseline="-25000">
              <a:solidFill>
                <a:srgbClr val="000000"/>
              </a:solidFill>
              <a:latin typeface="Arial"/>
              <a:cs typeface="Arial"/>
            </a:rPr>
            <a:t>(Rep)</a:t>
          </a:r>
          <a:r>
            <a:rPr lang="pt-BR" sz="1200" b="0" i="0" strike="noStrike">
              <a:solidFill>
                <a:srgbClr val="000000"/>
              </a:solidFill>
              <a:latin typeface="Arial"/>
              <a:cs typeface="Arial"/>
            </a:rPr>
            <a:t> é a incerteza associada  para repetitividade do equipamento, S</a:t>
          </a:r>
          <a:r>
            <a:rPr lang="pt-BR" sz="1200" b="0" i="0" strike="noStrike" baseline="-25000">
              <a:solidFill>
                <a:srgbClr val="000000"/>
              </a:solidFill>
              <a:latin typeface="Arial"/>
              <a:cs typeface="Arial"/>
            </a:rPr>
            <a:t>w</a:t>
          </a:r>
          <a:r>
            <a:rPr lang="pt-BR" sz="1200" b="0" i="0" strike="noStrike" baseline="0">
              <a:solidFill>
                <a:srgbClr val="000000"/>
              </a:solidFill>
              <a:latin typeface="Arial"/>
              <a:cs typeface="Arial"/>
            </a:rPr>
            <a:t> </a:t>
          </a:r>
          <a:r>
            <a:rPr lang="pt-BR" sz="1200" b="0" i="0" strike="noStrike">
              <a:solidFill>
                <a:srgbClr val="000000"/>
              </a:solidFill>
              <a:latin typeface="Arial"/>
              <a:cs typeface="Arial"/>
            </a:rPr>
            <a:t>o desvio padrão das</a:t>
          </a:r>
          <a:r>
            <a:rPr lang="pt-BR" sz="1200" b="0" i="0" strike="noStrike" baseline="0">
              <a:solidFill>
                <a:srgbClr val="000000"/>
              </a:solidFill>
              <a:latin typeface="Arial"/>
              <a:cs typeface="Arial"/>
            </a:rPr>
            <a:t> frações mássicas</a:t>
          </a:r>
          <a:r>
            <a:rPr lang="pt-BR" sz="1200" b="0" i="0" strike="noStrike">
              <a:solidFill>
                <a:srgbClr val="000000"/>
              </a:solidFill>
              <a:latin typeface="Arial"/>
              <a:cs typeface="Arial"/>
            </a:rPr>
            <a:t>. wé a fração mássica.</a:t>
          </a:r>
        </a:p>
      </xdr:txBody>
    </xdr:sp>
    <xdr:clientData/>
  </xdr:twoCellAnchor>
  <xdr:twoCellAnchor>
    <xdr:from>
      <xdr:col>12</xdr:col>
      <xdr:colOff>130968</xdr:colOff>
      <xdr:row>86</xdr:row>
      <xdr:rowOff>47624</xdr:rowOff>
    </xdr:from>
    <xdr:to>
      <xdr:col>17</xdr:col>
      <xdr:colOff>1565321</xdr:colOff>
      <xdr:row>92</xdr:row>
      <xdr:rowOff>163483</xdr:rowOff>
    </xdr:to>
    <xdr:sp macro="" textlink="">
      <xdr:nvSpPr>
        <xdr:cNvPr id="15" name="Text Box 58"/>
        <xdr:cNvSpPr txBox="1">
          <a:spLocks noChangeArrowheads="1"/>
        </xdr:cNvSpPr>
      </xdr:nvSpPr>
      <xdr:spPr bwMode="auto">
        <a:xfrm>
          <a:off x="16394906" y="14799468"/>
          <a:ext cx="6006353" cy="1115984"/>
        </a:xfrm>
        <a:prstGeom prst="rect">
          <a:avLst/>
        </a:prstGeom>
        <a:solidFill>
          <a:srgbClr val="FFFFFF"/>
        </a:solidFill>
        <a:ln w="9525">
          <a:solidFill>
            <a:srgbClr val="000000"/>
          </a:solidFill>
          <a:miter lim="800000"/>
          <a:headEnd/>
          <a:tailEnd/>
        </a:ln>
        <a:effectLst/>
      </xdr:spPr>
      <xdr:txBody>
        <a:bodyPr vertOverflow="clip" wrap="square" lIns="36576" tIns="22860" rIns="0" bIns="0" anchor="ctr" upright="1"/>
        <a:lstStyle/>
        <a:p>
          <a:pPr algn="l" rtl="0">
            <a:defRPr sz="1000"/>
          </a:pPr>
          <a:r>
            <a:rPr lang="pt-BR" sz="1200" baseline="0">
              <a:latin typeface="Symbol" pitchFamily="18" charset="2"/>
              <a:cs typeface="Arial" pitchFamily="34" charset="0"/>
            </a:rPr>
            <a:t>u</a:t>
          </a:r>
          <a:r>
            <a:rPr lang="pt-BR" sz="1200" b="0" i="0" strike="noStrike" baseline="-25000">
              <a:solidFill>
                <a:srgbClr val="000000"/>
              </a:solidFill>
              <a:latin typeface="Arial" pitchFamily="34" charset="0"/>
              <a:cs typeface="Arial" pitchFamily="34" charset="0"/>
            </a:rPr>
            <a:t>eff</a:t>
          </a:r>
          <a:r>
            <a:rPr lang="pt-BR" sz="1200" b="0" i="0" strike="noStrike" baseline="0">
              <a:solidFill>
                <a:srgbClr val="000000"/>
              </a:solidFill>
              <a:latin typeface="Arial" pitchFamily="34" charset="0"/>
              <a:cs typeface="Arial" pitchFamily="34" charset="0"/>
            </a:rPr>
            <a:t> é o número de graus de liberdade efetivos; u</a:t>
          </a:r>
          <a:r>
            <a:rPr lang="pt-BR" sz="1200" b="0" i="0" strike="noStrike" baseline="-25000">
              <a:solidFill>
                <a:srgbClr val="000000"/>
              </a:solidFill>
              <a:latin typeface="Arial" pitchFamily="34" charset="0"/>
              <a:cs typeface="Arial" pitchFamily="34" charset="0"/>
            </a:rPr>
            <a:t>comb</a:t>
          </a:r>
          <a:r>
            <a:rPr lang="pt-BR" sz="1200" b="0" i="0" strike="noStrike" baseline="30000">
              <a:solidFill>
                <a:srgbClr val="000000"/>
              </a:solidFill>
              <a:latin typeface="Arial" pitchFamily="34" charset="0"/>
              <a:cs typeface="Arial" pitchFamily="34" charset="0"/>
            </a:rPr>
            <a:t> </a:t>
          </a:r>
          <a:r>
            <a:rPr lang="pt-BR" sz="1200" b="0" i="0" strike="noStrike" baseline="0">
              <a:solidFill>
                <a:srgbClr val="000000"/>
              </a:solidFill>
              <a:latin typeface="Arial" pitchFamily="34" charset="0"/>
              <a:cs typeface="Arial" pitchFamily="34" charset="0"/>
            </a:rPr>
            <a:t>é a incerteza combinada; u</a:t>
          </a:r>
          <a:r>
            <a:rPr lang="pt-BR" sz="1200" b="0" i="0" strike="noStrike" baseline="-25000">
              <a:solidFill>
                <a:srgbClr val="000000"/>
              </a:solidFill>
              <a:latin typeface="Arial" pitchFamily="34" charset="0"/>
              <a:cs typeface="Arial" pitchFamily="34" charset="0"/>
            </a:rPr>
            <a:t>i</a:t>
          </a:r>
          <a:r>
            <a:rPr lang="pt-BR" sz="1200" b="0" i="0" strike="noStrike" baseline="0">
              <a:solidFill>
                <a:srgbClr val="000000"/>
              </a:solidFill>
              <a:latin typeface="Arial" pitchFamily="34" charset="0"/>
              <a:cs typeface="Arial" pitchFamily="34" charset="0"/>
            </a:rPr>
            <a:t> são as incertezas do tipo A; n</a:t>
          </a:r>
          <a:r>
            <a:rPr lang="pt-BR" sz="1200" b="0" i="0" strike="noStrike" baseline="-25000">
              <a:solidFill>
                <a:srgbClr val="000000"/>
              </a:solidFill>
              <a:latin typeface="Arial" pitchFamily="34" charset="0"/>
              <a:cs typeface="Arial" pitchFamily="34" charset="0"/>
            </a:rPr>
            <a:t>i</a:t>
          </a:r>
          <a:r>
            <a:rPr lang="pt-BR" sz="1200" b="0" i="0" strike="noStrike" baseline="0">
              <a:solidFill>
                <a:srgbClr val="000000"/>
              </a:solidFill>
              <a:latin typeface="Arial" pitchFamily="34" charset="0"/>
              <a:cs typeface="Arial" pitchFamily="34" charset="0"/>
            </a:rPr>
            <a:t> é o número de medições das respectivas incertezas do tipo A.</a:t>
          </a:r>
          <a:endParaRPr lang="pt-BR" sz="12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304800</xdr:colOff>
          <xdr:row>46</xdr:row>
          <xdr:rowOff>104775</xdr:rowOff>
        </xdr:from>
        <xdr:to>
          <xdr:col>7</xdr:col>
          <xdr:colOff>1343025</xdr:colOff>
          <xdr:row>49</xdr:row>
          <xdr:rowOff>66675</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55</xdr:row>
          <xdr:rowOff>142875</xdr:rowOff>
        </xdr:from>
        <xdr:to>
          <xdr:col>7</xdr:col>
          <xdr:colOff>9525</xdr:colOff>
          <xdr:row>59</xdr:row>
          <xdr:rowOff>57150</xdr:rowOff>
        </xdr:to>
        <xdr:sp macro="" textlink="">
          <xdr:nvSpPr>
            <xdr:cNvPr id="1028" name="Object 4"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49</xdr:row>
          <xdr:rowOff>123825</xdr:rowOff>
        </xdr:from>
        <xdr:to>
          <xdr:col>7</xdr:col>
          <xdr:colOff>628650</xdr:colOff>
          <xdr:row>55</xdr:row>
          <xdr:rowOff>66675</xdr:rowOff>
        </xdr:to>
        <xdr:sp macro="" textlink="">
          <xdr:nvSpPr>
            <xdr:cNvPr id="1030" name="Object 6"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66</xdr:row>
          <xdr:rowOff>85725</xdr:rowOff>
        </xdr:from>
        <xdr:to>
          <xdr:col>0</xdr:col>
          <xdr:colOff>2600325</xdr:colOff>
          <xdr:row>70</xdr:row>
          <xdr:rowOff>123825</xdr:rowOff>
        </xdr:to>
        <xdr:sp macro="" textlink="">
          <xdr:nvSpPr>
            <xdr:cNvPr id="1040" name="Object 16" hidden="1">
              <a:extLst>
                <a:ext uri="{63B3BB69-23CF-44E3-9099-C40C66FF867C}">
                  <a14:compatExt spid="_x0000_s104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63</xdr:row>
          <xdr:rowOff>47625</xdr:rowOff>
        </xdr:from>
        <xdr:to>
          <xdr:col>0</xdr:col>
          <xdr:colOff>885825</xdr:colOff>
          <xdr:row>66</xdr:row>
          <xdr:rowOff>66675</xdr:rowOff>
        </xdr:to>
        <xdr:sp macro="" textlink="">
          <xdr:nvSpPr>
            <xdr:cNvPr id="1042" name="Object 18" hidden="1">
              <a:extLst>
                <a:ext uri="{63B3BB69-23CF-44E3-9099-C40C66FF867C}">
                  <a14:compatExt spid="_x0000_s104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69</xdr:row>
          <xdr:rowOff>19050</xdr:rowOff>
        </xdr:from>
        <xdr:to>
          <xdr:col>7</xdr:col>
          <xdr:colOff>752475</xdr:colOff>
          <xdr:row>74</xdr:row>
          <xdr:rowOff>28575</xdr:rowOff>
        </xdr:to>
        <xdr:sp macro="" textlink="">
          <xdr:nvSpPr>
            <xdr:cNvPr id="1046" name="Object 22" hidden="1">
              <a:extLst>
                <a:ext uri="{63B3BB69-23CF-44E3-9099-C40C66FF867C}">
                  <a14:compatExt spid="_x0000_s104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361950</xdr:colOff>
          <xdr:row>79</xdr:row>
          <xdr:rowOff>142875</xdr:rowOff>
        </xdr:from>
        <xdr:to>
          <xdr:col>8</xdr:col>
          <xdr:colOff>942975</xdr:colOff>
          <xdr:row>86</xdr:row>
          <xdr:rowOff>133350</xdr:rowOff>
        </xdr:to>
        <xdr:sp macro="" textlink="">
          <xdr:nvSpPr>
            <xdr:cNvPr id="1048" name="Object 24" hidden="1">
              <a:extLst>
                <a:ext uri="{63B3BB69-23CF-44E3-9099-C40C66FF867C}">
                  <a14:compatExt spid="_x0000_s104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80</xdr:row>
          <xdr:rowOff>19050</xdr:rowOff>
        </xdr:from>
        <xdr:to>
          <xdr:col>12</xdr:col>
          <xdr:colOff>276225</xdr:colOff>
          <xdr:row>83</xdr:row>
          <xdr:rowOff>28575</xdr:rowOff>
        </xdr:to>
        <xdr:sp macro="" textlink="">
          <xdr:nvSpPr>
            <xdr:cNvPr id="1049" name="Object 25" hidden="1">
              <a:extLst>
                <a:ext uri="{63B3BB69-23CF-44E3-9099-C40C66FF867C}">
                  <a14:compatExt spid="_x0000_s104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61</xdr:row>
          <xdr:rowOff>38100</xdr:rowOff>
        </xdr:from>
        <xdr:to>
          <xdr:col>8</xdr:col>
          <xdr:colOff>581025</xdr:colOff>
          <xdr:row>67</xdr:row>
          <xdr:rowOff>57150</xdr:rowOff>
        </xdr:to>
        <xdr:sp macro="" textlink="">
          <xdr:nvSpPr>
            <xdr:cNvPr id="1053" name="Object 29" hidden="1">
              <a:extLst>
                <a:ext uri="{63B3BB69-23CF-44E3-9099-C40C66FF867C}">
                  <a14:compatExt spid="_x0000_s105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74</xdr:row>
          <xdr:rowOff>57150</xdr:rowOff>
        </xdr:from>
        <xdr:to>
          <xdr:col>0</xdr:col>
          <xdr:colOff>1362075</xdr:colOff>
          <xdr:row>78</xdr:row>
          <xdr:rowOff>28575</xdr:rowOff>
        </xdr:to>
        <xdr:sp macro="" textlink="">
          <xdr:nvSpPr>
            <xdr:cNvPr id="1072" name="Object 48" hidden="1">
              <a:extLst>
                <a:ext uri="{63B3BB69-23CF-44E3-9099-C40C66FF867C}">
                  <a14:compatExt spid="_x0000_s107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83</xdr:row>
          <xdr:rowOff>19050</xdr:rowOff>
        </xdr:from>
        <xdr:to>
          <xdr:col>1</xdr:col>
          <xdr:colOff>600075</xdr:colOff>
          <xdr:row>87</xdr:row>
          <xdr:rowOff>66675</xdr:rowOff>
        </xdr:to>
        <xdr:sp macro="" textlink="">
          <xdr:nvSpPr>
            <xdr:cNvPr id="1073" name="Object 49" hidden="1">
              <a:extLst>
                <a:ext uri="{63B3BB69-23CF-44E3-9099-C40C66FF867C}">
                  <a14:compatExt spid="_x0000_s107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78</xdr:row>
          <xdr:rowOff>76200</xdr:rowOff>
        </xdr:from>
        <xdr:to>
          <xdr:col>0</xdr:col>
          <xdr:colOff>1190625</xdr:colOff>
          <xdr:row>82</xdr:row>
          <xdr:rowOff>0</xdr:rowOff>
        </xdr:to>
        <xdr:sp macro="" textlink="">
          <xdr:nvSpPr>
            <xdr:cNvPr id="1078" name="Object 54" hidden="1">
              <a:extLst>
                <a:ext uri="{63B3BB69-23CF-44E3-9099-C40C66FF867C}">
                  <a14:compatExt spid="_x0000_s107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86</xdr:row>
          <xdr:rowOff>38100</xdr:rowOff>
        </xdr:from>
        <xdr:to>
          <xdr:col>12</xdr:col>
          <xdr:colOff>95250</xdr:colOff>
          <xdr:row>93</xdr:row>
          <xdr:rowOff>57150</xdr:rowOff>
        </xdr:to>
        <xdr:sp macro="" textlink="">
          <xdr:nvSpPr>
            <xdr:cNvPr id="354211" name="Object 1955" hidden="1">
              <a:extLst>
                <a:ext uri="{63B3BB69-23CF-44E3-9099-C40C66FF867C}">
                  <a14:compatExt spid="_x0000_s35421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74</xdr:row>
          <xdr:rowOff>123825</xdr:rowOff>
        </xdr:from>
        <xdr:to>
          <xdr:col>7</xdr:col>
          <xdr:colOff>38100</xdr:colOff>
          <xdr:row>78</xdr:row>
          <xdr:rowOff>9525</xdr:rowOff>
        </xdr:to>
        <xdr:sp macro="" textlink="">
          <xdr:nvSpPr>
            <xdr:cNvPr id="354212" name="Object 1956" hidden="1">
              <a:extLst>
                <a:ext uri="{63B3BB69-23CF-44E3-9099-C40C66FF867C}">
                  <a14:compatExt spid="_x0000_s35421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7</xdr:col>
      <xdr:colOff>131619</xdr:colOff>
      <xdr:row>48</xdr:row>
      <xdr:rowOff>125557</xdr:rowOff>
    </xdr:from>
    <xdr:ext cx="1357745" cy="636521"/>
    <mc:AlternateContent xmlns:mc="http://schemas.openxmlformats.org/markup-compatibility/2006" xmlns:a14="http://schemas.microsoft.com/office/drawing/2010/main">
      <mc:Choice Requires="a14">
        <xdr:sp macro="" textlink="">
          <xdr:nvSpPr>
            <xdr:cNvPr id="5" name="CaixaDeTexto 4"/>
            <xdr:cNvSpPr txBox="1"/>
          </xdr:nvSpPr>
          <xdr:spPr>
            <a:xfrm>
              <a:off x="8951769" y="11555557"/>
              <a:ext cx="1357745" cy="6365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pt-BR" sz="1400" i="1">
                            <a:latin typeface="Cambria Math" panose="02040503050406030204" pitchFamily="18" charset="0"/>
                          </a:rPr>
                        </m:ctrlPr>
                      </m:sSubPr>
                      <m:e>
                        <m:r>
                          <a:rPr lang="pt-BR" sz="1400" b="0" i="1">
                            <a:latin typeface="Cambria Math" panose="02040503050406030204" pitchFamily="18" charset="0"/>
                          </a:rPr>
                          <m:t>𝑆</m:t>
                        </m:r>
                      </m:e>
                      <m:sub>
                        <m:r>
                          <a:rPr lang="pt-BR" sz="1400" b="0" i="1">
                            <a:latin typeface="Cambria Math" panose="02040503050406030204" pitchFamily="18" charset="0"/>
                          </a:rPr>
                          <m:t>𝑟𝑒𝑠𝑖𝑑𝑢𝑜𝑠</m:t>
                        </m:r>
                        <m:r>
                          <a:rPr lang="pt-BR" sz="1400" b="0" i="1" baseline="0">
                            <a:latin typeface="Cambria Math" panose="02040503050406030204" pitchFamily="18" charset="0"/>
                          </a:rPr>
                          <m:t>=</m:t>
                        </m:r>
                      </m:sub>
                    </m:sSub>
                    <m:rad>
                      <m:radPr>
                        <m:degHide m:val="on"/>
                        <m:ctrlPr>
                          <a:rPr lang="pt-BR" sz="1400" i="1">
                            <a:latin typeface="Cambria Math" panose="02040503050406030204" pitchFamily="18" charset="0"/>
                          </a:rPr>
                        </m:ctrlPr>
                      </m:radPr>
                      <m:deg/>
                      <m:e>
                        <m:f>
                          <m:fPr>
                            <m:ctrlPr>
                              <a:rPr lang="pt-BR" sz="1400" i="1">
                                <a:latin typeface="Cambria Math" panose="02040503050406030204" pitchFamily="18" charset="0"/>
                              </a:rPr>
                            </m:ctrlPr>
                          </m:fPr>
                          <m:num>
                            <m:nary>
                              <m:naryPr>
                                <m:chr m:val="∑"/>
                                <m:subHide m:val="on"/>
                                <m:supHide m:val="on"/>
                                <m:ctrlPr>
                                  <a:rPr lang="pt-BR" sz="1400" i="1">
                                    <a:latin typeface="Cambria Math" panose="02040503050406030204" pitchFamily="18" charset="0"/>
                                  </a:rPr>
                                </m:ctrlPr>
                              </m:naryPr>
                              <m:sub/>
                              <m:sup/>
                              <m:e>
                                <m:sSubSup>
                                  <m:sSubSupPr>
                                    <m:ctrlPr>
                                      <a:rPr lang="pt-BR" sz="1400" i="1">
                                        <a:latin typeface="Cambria Math" panose="02040503050406030204" pitchFamily="18" charset="0"/>
                                      </a:rPr>
                                    </m:ctrlPr>
                                  </m:sSubSupPr>
                                  <m:e>
                                    <m:r>
                                      <a:rPr lang="pt-BR" sz="1400" b="0" i="1">
                                        <a:latin typeface="Cambria Math" panose="02040503050406030204" pitchFamily="18" charset="0"/>
                                      </a:rPr>
                                      <m:t>𝑒</m:t>
                                    </m:r>
                                  </m:e>
                                  <m:sub>
                                    <m:r>
                                      <a:rPr lang="pt-BR" sz="1400" b="0" i="1">
                                        <a:latin typeface="Cambria Math" panose="02040503050406030204" pitchFamily="18" charset="0"/>
                                      </a:rPr>
                                      <m:t>𝑖</m:t>
                                    </m:r>
                                  </m:sub>
                                  <m:sup>
                                    <m:r>
                                      <a:rPr lang="pt-BR" sz="1400" b="0" i="1">
                                        <a:latin typeface="Cambria Math" panose="02040503050406030204" pitchFamily="18" charset="0"/>
                                      </a:rPr>
                                      <m:t>2</m:t>
                                    </m:r>
                                  </m:sup>
                                </m:sSubSup>
                              </m:e>
                            </m:nary>
                          </m:num>
                          <m:den>
                            <m:r>
                              <a:rPr lang="pt-BR" sz="1400" b="0" i="1">
                                <a:latin typeface="Cambria Math" panose="02040503050406030204" pitchFamily="18" charset="0"/>
                              </a:rPr>
                              <m:t>𝑛</m:t>
                            </m:r>
                            <m:r>
                              <a:rPr lang="pt-BR" sz="1400" b="0" i="1">
                                <a:latin typeface="Cambria Math" panose="02040503050406030204" pitchFamily="18" charset="0"/>
                              </a:rPr>
                              <m:t>−2</m:t>
                            </m:r>
                          </m:den>
                        </m:f>
                      </m:e>
                    </m:rad>
                  </m:oMath>
                </m:oMathPara>
              </a14:m>
              <a:endParaRPr lang="pt-BR" sz="1400"/>
            </a:p>
          </xdr:txBody>
        </xdr:sp>
      </mc:Choice>
      <mc:Fallback xmlns="">
        <xdr:sp macro="" textlink="">
          <xdr:nvSpPr>
            <xdr:cNvPr id="5" name="CaixaDeTexto 4"/>
            <xdr:cNvSpPr txBox="1"/>
          </xdr:nvSpPr>
          <xdr:spPr>
            <a:xfrm>
              <a:off x="8951769" y="11555557"/>
              <a:ext cx="1357745" cy="6365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pt-BR" sz="1400" b="0" i="0">
                  <a:latin typeface="Cambria Math" panose="02040503050406030204" pitchFamily="18" charset="0"/>
                </a:rPr>
                <a:t>𝑆_(𝑟𝑒𝑠𝑖𝑑𝑢𝑜𝑠</a:t>
              </a:r>
              <a:r>
                <a:rPr lang="pt-BR" sz="1400" b="0" i="0" baseline="0">
                  <a:latin typeface="Cambria Math" panose="02040503050406030204" pitchFamily="18" charset="0"/>
                </a:rPr>
                <a:t>=) </a:t>
              </a:r>
              <a:r>
                <a:rPr lang="pt-BR" sz="1400" i="0">
                  <a:latin typeface="Cambria Math" panose="02040503050406030204" pitchFamily="18" charset="0"/>
                </a:rPr>
                <a:t>√((∑</a:t>
              </a:r>
              <a:r>
                <a:rPr lang="pt-BR" sz="1400" b="0" i="0">
                  <a:latin typeface="Cambria Math" panose="02040503050406030204" pitchFamily="18" charset="0"/>
                </a:rPr>
                <a:t>▒𝑒_𝑖^2 )/(𝑛−2))</a:t>
              </a:r>
              <a:endParaRPr lang="pt-BR" sz="1400"/>
            </a:p>
          </xdr:txBody>
        </xdr:sp>
      </mc:Fallback>
    </mc:AlternateContent>
    <xdr:clientData/>
  </xdr:oneCellAnchor>
  <xdr:twoCellAnchor>
    <xdr:from>
      <xdr:col>5</xdr:col>
      <xdr:colOff>15650</xdr:colOff>
      <xdr:row>28</xdr:row>
      <xdr:rowOff>47625</xdr:rowOff>
    </xdr:from>
    <xdr:to>
      <xdr:col>12</xdr:col>
      <xdr:colOff>1376363</xdr:colOff>
      <xdr:row>41</xdr:row>
      <xdr:rowOff>76200</xdr:rowOff>
    </xdr:to>
    <xdr:graphicFrame macro="">
      <xdr:nvGraphicFramePr>
        <xdr:cNvPr id="7" name="Gráfico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449036</xdr:colOff>
      <xdr:row>15</xdr:row>
      <xdr:rowOff>122464</xdr:rowOff>
    </xdr:from>
    <xdr:to>
      <xdr:col>12</xdr:col>
      <xdr:colOff>1347107</xdr:colOff>
      <xdr:row>28</xdr:row>
      <xdr:rowOff>163286</xdr:rowOff>
    </xdr:to>
    <xdr:graphicFrame macro="">
      <xdr:nvGraphicFramePr>
        <xdr:cNvPr id="8" name="Gráfico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20</xdr:row>
          <xdr:rowOff>161925</xdr:rowOff>
        </xdr:from>
        <xdr:to>
          <xdr:col>10</xdr:col>
          <xdr:colOff>0</xdr:colOff>
          <xdr:row>25</xdr:row>
          <xdr:rowOff>19050</xdr:rowOff>
        </xdr:to>
        <xdr:sp macro="" textlink="">
          <xdr:nvSpPr>
            <xdr:cNvPr id="729113" name="Object 25" hidden="1">
              <a:extLst>
                <a:ext uri="{63B3BB69-23CF-44E3-9099-C40C66FF867C}">
                  <a14:compatExt spid="_x0000_s72911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29</xdr:col>
      <xdr:colOff>228600</xdr:colOff>
      <xdr:row>16</xdr:row>
      <xdr:rowOff>180975</xdr:rowOff>
    </xdr:from>
    <xdr:to>
      <xdr:col>29</xdr:col>
      <xdr:colOff>1181100</xdr:colOff>
      <xdr:row>20</xdr:row>
      <xdr:rowOff>28575</xdr:rowOff>
    </xdr:to>
    <xdr:pic>
      <xdr:nvPicPr>
        <xdr:cNvPr id="52" name="Object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184475" y="3876675"/>
          <a:ext cx="9525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29</xdr:col>
          <xdr:colOff>247650</xdr:colOff>
          <xdr:row>20</xdr:row>
          <xdr:rowOff>142875</xdr:rowOff>
        </xdr:from>
        <xdr:to>
          <xdr:col>29</xdr:col>
          <xdr:colOff>1123950</xdr:colOff>
          <xdr:row>23</xdr:row>
          <xdr:rowOff>152400</xdr:rowOff>
        </xdr:to>
        <xdr:sp macro="" textlink="">
          <xdr:nvSpPr>
            <xdr:cNvPr id="729115" name="Object 27" hidden="1">
              <a:extLst>
                <a:ext uri="{63B3BB69-23CF-44E3-9099-C40C66FF867C}">
                  <a14:compatExt spid="_x0000_s7291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25</xdr:col>
      <xdr:colOff>495300</xdr:colOff>
      <xdr:row>26</xdr:row>
      <xdr:rowOff>95250</xdr:rowOff>
    </xdr:from>
    <xdr:to>
      <xdr:col>29</xdr:col>
      <xdr:colOff>431737</xdr:colOff>
      <xdr:row>42</xdr:row>
      <xdr:rowOff>204548</xdr:rowOff>
    </xdr:to>
    <xdr:pic>
      <xdr:nvPicPr>
        <xdr:cNvPr id="54" name="Picture 10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183975" y="5810250"/>
          <a:ext cx="4384613" cy="35478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36</xdr:col>
      <xdr:colOff>513228</xdr:colOff>
      <xdr:row>15</xdr:row>
      <xdr:rowOff>175650</xdr:rowOff>
    </xdr:from>
    <xdr:to>
      <xdr:col>43</xdr:col>
      <xdr:colOff>0</xdr:colOff>
      <xdr:row>40</xdr:row>
      <xdr:rowOff>233641</xdr:rowOff>
    </xdr:to>
    <xdr:graphicFrame macro="">
      <xdr:nvGraphicFramePr>
        <xdr:cNvPr id="55" name="Gráfico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14</xdr:col>
          <xdr:colOff>723900</xdr:colOff>
          <xdr:row>17</xdr:row>
          <xdr:rowOff>171450</xdr:rowOff>
        </xdr:from>
        <xdr:to>
          <xdr:col>17</xdr:col>
          <xdr:colOff>485775</xdr:colOff>
          <xdr:row>23</xdr:row>
          <xdr:rowOff>38100</xdr:rowOff>
        </xdr:to>
        <xdr:sp macro="" textlink="">
          <xdr:nvSpPr>
            <xdr:cNvPr id="729117" name="Object 29" hidden="1">
              <a:extLst>
                <a:ext uri="{63B3BB69-23CF-44E3-9099-C40C66FF867C}">
                  <a14:compatExt spid="_x0000_s7291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504825</xdr:colOff>
          <xdr:row>2</xdr:row>
          <xdr:rowOff>133350</xdr:rowOff>
        </xdr:from>
        <xdr:to>
          <xdr:col>35</xdr:col>
          <xdr:colOff>952500</xdr:colOff>
          <xdr:row>7</xdr:row>
          <xdr:rowOff>133350</xdr:rowOff>
        </xdr:to>
        <xdr:sp macro="" textlink="">
          <xdr:nvSpPr>
            <xdr:cNvPr id="729118" name="Object 30" hidden="1">
              <a:extLst>
                <a:ext uri="{63B3BB69-23CF-44E3-9099-C40C66FF867C}">
                  <a14:compatExt spid="_x0000_s72911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xdr:col>
      <xdr:colOff>0</xdr:colOff>
      <xdr:row>3</xdr:row>
      <xdr:rowOff>0</xdr:rowOff>
    </xdr:from>
    <xdr:to>
      <xdr:col>9</xdr:col>
      <xdr:colOff>72117</xdr:colOff>
      <xdr:row>14</xdr:row>
      <xdr:rowOff>61911</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609599</xdr:colOff>
      <xdr:row>15</xdr:row>
      <xdr:rowOff>28574</xdr:rowOff>
    </xdr:from>
    <xdr:to>
      <xdr:col>8</xdr:col>
      <xdr:colOff>600074</xdr:colOff>
      <xdr:row>28</xdr:row>
      <xdr:rowOff>190500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600075</xdr:colOff>
      <xdr:row>19</xdr:row>
      <xdr:rowOff>133350</xdr:rowOff>
    </xdr:from>
    <xdr:to>
      <xdr:col>4</xdr:col>
      <xdr:colOff>1504348</xdr:colOff>
      <xdr:row>21</xdr:row>
      <xdr:rowOff>54063</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581400" y="2886075"/>
          <a:ext cx="2780698" cy="263613"/>
        </a:xfrm>
        <a:prstGeom prst="rect">
          <a:avLst/>
        </a:prstGeom>
        <a:noFill/>
      </xdr:spPr>
    </xdr:pic>
    <xdr:clientData/>
  </xdr:twoCellAnchor>
  <xdr:twoCellAnchor editAs="oneCell">
    <xdr:from>
      <xdr:col>6</xdr:col>
      <xdr:colOff>0</xdr:colOff>
      <xdr:row>16</xdr:row>
      <xdr:rowOff>142875</xdr:rowOff>
    </xdr:from>
    <xdr:to>
      <xdr:col>8</xdr:col>
      <xdr:colOff>504825</xdr:colOff>
      <xdr:row>22</xdr:row>
      <xdr:rowOff>142875</xdr:rowOff>
    </xdr:to>
    <xdr:pic>
      <xdr:nvPicPr>
        <xdr:cNvPr id="3"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7734300" y="3305175"/>
          <a:ext cx="4295775" cy="990600"/>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abin-01x\Dados%20e%20Controles\Controle%20de%20Reagentes%20e%20Materiais%20de%20Laborat&#243;rio\Controle%20de%20Reagentes%20e%20MR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Pessoal\Marcelle\Marcelle\12032020\TESTES%20ESTATISTICOS%20avalia&#231;&#227;o%20da%20linearidade%201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RC - Calibração"/>
      <sheetName val="MRC - Controle de Qualidade"/>
      <sheetName val="MRC - Material Isotópico"/>
      <sheetName val="MRC- Metais de Alta Pureza"/>
      <sheetName val="MRC- Fora da Validade"/>
      <sheetName val="Reagentes Líquidos"/>
      <sheetName val="Reagentes Sólidos"/>
      <sheetName val="Padrões de Calibração"/>
      <sheetName val="Controle Bombeiro"/>
      <sheetName val="Plan2"/>
      <sheetName val="Plan3"/>
      <sheetName val="Plan4"/>
      <sheetName val="Plan5"/>
      <sheetName val="Plan6"/>
      <sheetName val="Plan7"/>
      <sheetName val="Plan8"/>
    </sheetNames>
    <sheetDataSet>
      <sheetData sheetId="0">
        <row r="4">
          <cell r="C4" t="str">
            <v>Al</v>
          </cell>
          <cell r="D4" t="str">
            <v>10,001 mg/g ± 0,01 mg/g em HNO3 10%</v>
          </cell>
          <cell r="E4">
            <v>10001</v>
          </cell>
          <cell r="F4">
            <v>17</v>
          </cell>
          <cell r="G4">
            <v>1.9670000000000001</v>
          </cell>
          <cell r="H4" t="str">
            <v>10 mL</v>
          </cell>
          <cell r="I4">
            <v>4</v>
          </cell>
          <cell r="J4" t="str">
            <v>NIST</v>
          </cell>
          <cell r="K4" t="str">
            <v>3101a</v>
          </cell>
          <cell r="L4">
            <v>140903</v>
          </cell>
          <cell r="M4">
            <v>46568</v>
          </cell>
        </row>
        <row r="5">
          <cell r="C5" t="str">
            <v>As</v>
          </cell>
          <cell r="D5" t="str">
            <v>9,999 mg/g ± 0,015 mg/g em HNO3 1,6 mol/L</v>
          </cell>
          <cell r="E5">
            <v>9999</v>
          </cell>
          <cell r="F5">
            <v>15</v>
          </cell>
          <cell r="G5">
            <v>2.0139999999999998</v>
          </cell>
          <cell r="H5" t="str">
            <v>ampola 10 mL</v>
          </cell>
          <cell r="I5">
            <v>0</v>
          </cell>
          <cell r="J5" t="str">
            <v>NIST</v>
          </cell>
          <cell r="K5" t="str">
            <v>3103a</v>
          </cell>
          <cell r="L5">
            <v>100818</v>
          </cell>
          <cell r="M5">
            <v>45657</v>
          </cell>
        </row>
        <row r="6">
          <cell r="C6" t="str">
            <v>Ag</v>
          </cell>
          <cell r="D6" t="str">
            <v>10,007 mg/g ± 0,019 mg/g em HNO3 10%</v>
          </cell>
          <cell r="E6">
            <v>10007</v>
          </cell>
          <cell r="F6">
            <v>19</v>
          </cell>
          <cell r="G6">
            <v>1.9990000000000001</v>
          </cell>
          <cell r="H6" t="str">
            <v>10 mL</v>
          </cell>
          <cell r="I6">
            <v>4</v>
          </cell>
          <cell r="J6" t="str">
            <v>NIST</v>
          </cell>
          <cell r="K6">
            <v>3151</v>
          </cell>
          <cell r="L6">
            <v>160729</v>
          </cell>
          <cell r="M6">
            <v>47026</v>
          </cell>
        </row>
        <row r="7">
          <cell r="C7" t="str">
            <v>Be</v>
          </cell>
          <cell r="D7" t="str">
            <v>9,960 mg/g ± 0,034 em HNO3 10%</v>
          </cell>
          <cell r="E7">
            <v>9960</v>
          </cell>
          <cell r="F7">
            <v>34</v>
          </cell>
          <cell r="G7">
            <v>2.4500000000000002</v>
          </cell>
          <cell r="H7" t="str">
            <v>ampola 10 mL</v>
          </cell>
          <cell r="I7">
            <v>4</v>
          </cell>
          <cell r="J7" t="str">
            <v>NIST</v>
          </cell>
          <cell r="K7" t="str">
            <v>3105a</v>
          </cell>
          <cell r="L7">
            <v>90514</v>
          </cell>
          <cell r="M7">
            <v>46387</v>
          </cell>
        </row>
        <row r="8">
          <cell r="C8" t="str">
            <v>Ba</v>
          </cell>
          <cell r="D8" t="str">
            <v>6,994 mg/g ± 0,017 mg/g em HNO3 10%</v>
          </cell>
          <cell r="E8">
            <v>6994</v>
          </cell>
          <cell r="F8">
            <v>17</v>
          </cell>
          <cell r="G8">
            <v>1.9730000000000001</v>
          </cell>
          <cell r="H8" t="str">
            <v>10mL</v>
          </cell>
          <cell r="I8">
            <v>4</v>
          </cell>
          <cell r="J8" t="str">
            <v>NIST</v>
          </cell>
          <cell r="K8" t="str">
            <v>3104a</v>
          </cell>
          <cell r="L8">
            <v>140909</v>
          </cell>
          <cell r="M8">
            <v>46660</v>
          </cell>
        </row>
        <row r="9">
          <cell r="C9" t="str">
            <v>Ca</v>
          </cell>
          <cell r="D9" t="str">
            <v>9,819 mg/g ± 0,019 mg/g em HNO3 10%</v>
          </cell>
          <cell r="E9">
            <v>9819</v>
          </cell>
          <cell r="F9">
            <v>19</v>
          </cell>
          <cell r="G9">
            <v>1.9670000000000001</v>
          </cell>
          <cell r="H9" t="str">
            <v>ampola 10 mL</v>
          </cell>
          <cell r="I9">
            <v>1</v>
          </cell>
          <cell r="J9" t="str">
            <v>NIST</v>
          </cell>
          <cell r="K9" t="str">
            <v>3109a</v>
          </cell>
          <cell r="L9">
            <v>130213</v>
          </cell>
          <cell r="M9">
            <v>45962</v>
          </cell>
        </row>
        <row r="10">
          <cell r="C10" t="str">
            <v>Cd</v>
          </cell>
          <cell r="D10" t="str">
            <v>10,007 mg/g ± 0,027 mg/g em HNO3 10%</v>
          </cell>
          <cell r="E10">
            <v>10007</v>
          </cell>
          <cell r="F10">
            <v>27</v>
          </cell>
          <cell r="G10">
            <v>1.962</v>
          </cell>
          <cell r="H10" t="str">
            <v>ampola 10 mL</v>
          </cell>
          <cell r="I10">
            <v>2</v>
          </cell>
          <cell r="J10" t="str">
            <v>NIST</v>
          </cell>
          <cell r="K10">
            <v>3108</v>
          </cell>
          <cell r="L10">
            <v>130116</v>
          </cell>
          <cell r="M10">
            <v>45838</v>
          </cell>
        </row>
        <row r="11">
          <cell r="C11" t="str">
            <v>Cr</v>
          </cell>
          <cell r="D11" t="str">
            <v>10,009 mg/g ± 0,025 mg/g em HNO3 10%</v>
          </cell>
          <cell r="E11">
            <v>10009</v>
          </cell>
          <cell r="F11">
            <v>20</v>
          </cell>
          <cell r="G11">
            <v>1.9790000000000001</v>
          </cell>
          <cell r="H11" t="str">
            <v>ampola 10 mL</v>
          </cell>
          <cell r="I11">
            <v>4</v>
          </cell>
          <cell r="J11" t="str">
            <v>NIST</v>
          </cell>
          <cell r="K11" t="str">
            <v>3112a</v>
          </cell>
          <cell r="L11">
            <v>170630</v>
          </cell>
          <cell r="M11">
            <v>47330</v>
          </cell>
        </row>
        <row r="12">
          <cell r="C12" t="str">
            <v>Fe</v>
          </cell>
          <cell r="D12" t="str">
            <v>10,013 mg/g ±  0,024 mg/g em HNO3 10%</v>
          </cell>
          <cell r="E12">
            <v>10013</v>
          </cell>
          <cell r="F12">
            <v>24</v>
          </cell>
          <cell r="G12">
            <v>1.988</v>
          </cell>
          <cell r="H12" t="str">
            <v>ampola 10 mL</v>
          </cell>
          <cell r="I12">
            <v>7</v>
          </cell>
          <cell r="J12" t="str">
            <v>NIST</v>
          </cell>
          <cell r="K12" t="str">
            <v>3126a</v>
          </cell>
          <cell r="L12">
            <v>140812</v>
          </cell>
          <cell r="M12">
            <v>46295</v>
          </cell>
        </row>
        <row r="13">
          <cell r="C13" t="str">
            <v>Hg</v>
          </cell>
          <cell r="D13" t="str">
            <v>10,004± 0,04 mg/g em HNO3 10%</v>
          </cell>
          <cell r="E13">
            <v>10004</v>
          </cell>
          <cell r="F13">
            <v>40</v>
          </cell>
          <cell r="G13">
            <v>2.1829999999999998</v>
          </cell>
          <cell r="H13" t="str">
            <v>ampola 10 mL</v>
          </cell>
          <cell r="I13">
            <v>5</v>
          </cell>
          <cell r="J13" t="str">
            <v>NIST</v>
          </cell>
          <cell r="K13">
            <v>3133</v>
          </cell>
          <cell r="L13">
            <v>160921</v>
          </cell>
          <cell r="M13">
            <v>45900</v>
          </cell>
        </row>
        <row r="14">
          <cell r="C14" t="str">
            <v>In</v>
          </cell>
          <cell r="D14" t="str">
            <v>10,009 mg/g ± 0,023 mg/g em HNO3 10%</v>
          </cell>
          <cell r="E14">
            <v>10009</v>
          </cell>
          <cell r="F14">
            <v>23</v>
          </cell>
          <cell r="G14">
            <v>1.964</v>
          </cell>
          <cell r="H14" t="str">
            <v>10 mL</v>
          </cell>
          <cell r="I14">
            <v>4</v>
          </cell>
          <cell r="J14" t="str">
            <v>NIST</v>
          </cell>
          <cell r="K14" t="str">
            <v>3124a</v>
          </cell>
          <cell r="L14">
            <v>110516</v>
          </cell>
          <cell r="M14">
            <v>45062</v>
          </cell>
        </row>
        <row r="15">
          <cell r="C15" t="str">
            <v>K</v>
          </cell>
          <cell r="D15" t="str">
            <v>10,003 mg/g ± 0,018mg/g em HNO3 1%</v>
          </cell>
          <cell r="E15">
            <v>10003</v>
          </cell>
          <cell r="F15">
            <v>18</v>
          </cell>
          <cell r="G15">
            <v>1.98</v>
          </cell>
          <cell r="H15" t="str">
            <v>10 mL</v>
          </cell>
          <cell r="I15">
            <v>2</v>
          </cell>
          <cell r="J15" t="str">
            <v>NIST</v>
          </cell>
          <cell r="K15" t="str">
            <v>3141a</v>
          </cell>
          <cell r="L15">
            <v>140813</v>
          </cell>
          <cell r="M15">
            <v>46417</v>
          </cell>
        </row>
        <row r="16">
          <cell r="C16" t="str">
            <v>Li</v>
          </cell>
          <cell r="D16" t="str">
            <v>9,969mg/g ± 0,030 mg/g em HNO3 10%</v>
          </cell>
          <cell r="E16">
            <v>9969</v>
          </cell>
          <cell r="F16">
            <v>30</v>
          </cell>
          <cell r="G16">
            <v>1.984</v>
          </cell>
          <cell r="H16" t="str">
            <v>10 mL</v>
          </cell>
          <cell r="I16">
            <v>4</v>
          </cell>
          <cell r="J16" t="str">
            <v>NIST</v>
          </cell>
          <cell r="K16" t="str">
            <v>3129a</v>
          </cell>
          <cell r="L16">
            <v>100714</v>
          </cell>
          <cell r="M16">
            <v>47208</v>
          </cell>
        </row>
        <row r="17">
          <cell r="C17" t="str">
            <v>Mg</v>
          </cell>
          <cell r="D17" t="str">
            <v>9,998 mg/g ± 0,0017mg/g em HNO3 10%</v>
          </cell>
          <cell r="E17">
            <v>9998</v>
          </cell>
          <cell r="F17">
            <v>17</v>
          </cell>
          <cell r="G17">
            <v>1.98</v>
          </cell>
          <cell r="H17" t="str">
            <v>10 mL</v>
          </cell>
          <cell r="I17">
            <v>3</v>
          </cell>
          <cell r="J17" t="str">
            <v>NIST</v>
          </cell>
          <cell r="K17" t="str">
            <v>3131a</v>
          </cell>
          <cell r="L17">
            <v>140110</v>
          </cell>
          <cell r="M17">
            <v>46417</v>
          </cell>
        </row>
        <row r="18">
          <cell r="C18" t="str">
            <v>Mn</v>
          </cell>
          <cell r="D18" t="str">
            <v>10,00 mg/g ± 0,02 mg/g em HNO3 10%</v>
          </cell>
          <cell r="E18">
            <v>10000</v>
          </cell>
          <cell r="F18">
            <v>20</v>
          </cell>
          <cell r="G18">
            <v>2.36</v>
          </cell>
          <cell r="H18" t="str">
            <v>ampola 10 mL</v>
          </cell>
          <cell r="I18">
            <v>4</v>
          </cell>
          <cell r="J18" t="str">
            <v>NIST</v>
          </cell>
          <cell r="K18">
            <v>3132</v>
          </cell>
          <cell r="L18">
            <v>50429</v>
          </cell>
          <cell r="M18">
            <v>45535</v>
          </cell>
        </row>
        <row r="19">
          <cell r="C19" t="str">
            <v>Mo</v>
          </cell>
          <cell r="D19" t="str">
            <v>9,9999 mg/g ± 0,022 mg/g em HCl 10%</v>
          </cell>
          <cell r="E19">
            <v>9990</v>
          </cell>
          <cell r="F19">
            <v>22</v>
          </cell>
          <cell r="G19">
            <v>1.9750000000000001</v>
          </cell>
          <cell r="H19" t="str">
            <v>ampola 10 mL</v>
          </cell>
          <cell r="I19">
            <v>4</v>
          </cell>
          <cell r="J19" t="str">
            <v>NIST</v>
          </cell>
          <cell r="K19">
            <v>3134</v>
          </cell>
          <cell r="L19">
            <v>130418</v>
          </cell>
          <cell r="M19">
            <v>45869</v>
          </cell>
        </row>
        <row r="20">
          <cell r="C20" t="str">
            <v>Na Inmetro</v>
          </cell>
          <cell r="D20" t="str">
            <v>1000 mg/kg  ± 23 mg/kg em HNO3 3 %</v>
          </cell>
          <cell r="E20">
            <v>1000</v>
          </cell>
          <cell r="F20">
            <v>23</v>
          </cell>
          <cell r="G20">
            <v>2.02</v>
          </cell>
          <cell r="H20" t="str">
            <v>100 mL</v>
          </cell>
          <cell r="I20">
            <v>1</v>
          </cell>
          <cell r="J20" t="str">
            <v>INMETRO</v>
          </cell>
          <cell r="K20" t="str">
            <v>MRC 8825</v>
          </cell>
          <cell r="L20" t="str">
            <v>8825-0001</v>
          </cell>
          <cell r="M20">
            <v>45016</v>
          </cell>
        </row>
        <row r="21">
          <cell r="C21" t="str">
            <v>Ni</v>
          </cell>
          <cell r="D21" t="str">
            <v>10,003mg/g ± 0,026 mg/g em HNO3 10%</v>
          </cell>
          <cell r="E21">
            <v>10003</v>
          </cell>
          <cell r="F21">
            <v>26</v>
          </cell>
          <cell r="G21">
            <v>1.97</v>
          </cell>
          <cell r="H21" t="str">
            <v>ampola 10 mL</v>
          </cell>
          <cell r="I21">
            <v>3</v>
          </cell>
          <cell r="J21" t="str">
            <v>NIST</v>
          </cell>
          <cell r="K21">
            <v>3136</v>
          </cell>
          <cell r="L21">
            <v>120619</v>
          </cell>
          <cell r="M21">
            <v>45838</v>
          </cell>
        </row>
        <row r="22">
          <cell r="C22" t="str">
            <v>P</v>
          </cell>
          <cell r="D22" t="str">
            <v>10,016 mg/g ± 0,033mg/g em HNO3 10%</v>
          </cell>
          <cell r="E22">
            <v>10016</v>
          </cell>
          <cell r="F22">
            <v>33</v>
          </cell>
          <cell r="G22">
            <v>2.4500000000000002</v>
          </cell>
          <cell r="H22" t="str">
            <v>ampola 10 mL</v>
          </cell>
          <cell r="I22">
            <v>0</v>
          </cell>
          <cell r="J22" t="str">
            <v>NIST</v>
          </cell>
          <cell r="K22" t="str">
            <v>3139a</v>
          </cell>
          <cell r="L22">
            <v>60717</v>
          </cell>
          <cell r="M22">
            <v>45350</v>
          </cell>
        </row>
        <row r="23">
          <cell r="C23" t="str">
            <v>Pb</v>
          </cell>
          <cell r="D23" t="str">
            <v>9,995 mg/g ± 0,014 mg/g em HNO3 1,6 mol/L</v>
          </cell>
          <cell r="E23">
            <v>9995</v>
          </cell>
          <cell r="F23">
            <v>14</v>
          </cell>
          <cell r="G23">
            <v>2.0070000000000001</v>
          </cell>
          <cell r="H23" t="str">
            <v>ampola 10 mL</v>
          </cell>
          <cell r="I23">
            <v>0</v>
          </cell>
          <cell r="J23" t="str">
            <v>NIST</v>
          </cell>
          <cell r="K23">
            <v>3128</v>
          </cell>
          <cell r="L23">
            <v>101026</v>
          </cell>
          <cell r="M23">
            <v>46873</v>
          </cell>
        </row>
        <row r="24">
          <cell r="C24" t="str">
            <v>Sb</v>
          </cell>
          <cell r="D24" t="str">
            <v>10.007 mg/g ± 0.019 mg/g</v>
          </cell>
          <cell r="E24">
            <v>10007</v>
          </cell>
          <cell r="F24">
            <v>19</v>
          </cell>
          <cell r="G24">
            <v>1.9991000000000001</v>
          </cell>
          <cell r="H24" t="str">
            <v>50mL</v>
          </cell>
          <cell r="I24">
            <v>1</v>
          </cell>
          <cell r="J24" t="str">
            <v>NIST</v>
          </cell>
          <cell r="K24" t="str">
            <v>3102a</v>
          </cell>
          <cell r="L24">
            <v>140911</v>
          </cell>
          <cell r="M24">
            <v>45077</v>
          </cell>
        </row>
        <row r="25">
          <cell r="C25" t="str">
            <v>Pt</v>
          </cell>
          <cell r="D25" t="str">
            <v>9,996 mg/g ± 0,017 mg/g em HCl 10%</v>
          </cell>
          <cell r="E25">
            <v>9996</v>
          </cell>
          <cell r="F25">
            <v>17</v>
          </cell>
          <cell r="G25">
            <v>1.98</v>
          </cell>
          <cell r="H25" t="str">
            <v>ampola 10 mL</v>
          </cell>
          <cell r="I25">
            <v>4</v>
          </cell>
          <cell r="J25" t="str">
            <v>NIST</v>
          </cell>
          <cell r="K25">
            <v>3140</v>
          </cell>
          <cell r="L25">
            <v>140930</v>
          </cell>
          <cell r="M25">
            <v>46598</v>
          </cell>
        </row>
        <row r="26">
          <cell r="C26" t="str">
            <v>Sc</v>
          </cell>
          <cell r="D26" t="str">
            <v xml:space="preserve"> 10,06 mg/g ± 0,04 mg/g em HNO3 10%</v>
          </cell>
          <cell r="E26">
            <v>10060</v>
          </cell>
          <cell r="F26">
            <v>40</v>
          </cell>
          <cell r="G26">
            <v>2</v>
          </cell>
          <cell r="H26" t="str">
            <v>10 mL</v>
          </cell>
          <cell r="I26">
            <v>1</v>
          </cell>
          <cell r="J26" t="str">
            <v>NIST</v>
          </cell>
          <cell r="K26" t="str">
            <v>3148a</v>
          </cell>
          <cell r="L26">
            <v>100701</v>
          </cell>
          <cell r="M26">
            <v>46904</v>
          </cell>
        </row>
        <row r="27">
          <cell r="C27" t="str">
            <v>Se</v>
          </cell>
          <cell r="D27" t="str">
            <v>10,042 mg/g ± 0,051 mg/g em HNO3 10%</v>
          </cell>
          <cell r="E27">
            <v>10042</v>
          </cell>
          <cell r="F27">
            <v>51</v>
          </cell>
          <cell r="G27">
            <v>2.0209999999999999</v>
          </cell>
          <cell r="H27" t="str">
            <v>ampola 10 mL</v>
          </cell>
          <cell r="I27">
            <v>2</v>
          </cell>
          <cell r="J27" t="str">
            <v>NIST</v>
          </cell>
          <cell r="K27">
            <v>3149</v>
          </cell>
          <cell r="L27">
            <v>100901</v>
          </cell>
          <cell r="M27">
            <v>46873</v>
          </cell>
        </row>
        <row r="28">
          <cell r="C28" t="str">
            <v>Sn</v>
          </cell>
          <cell r="D28" t="str">
            <v>10,011mg/g ± 0,025 mg/g em solução aquosa</v>
          </cell>
          <cell r="E28">
            <v>10011</v>
          </cell>
          <cell r="F28">
            <v>25</v>
          </cell>
          <cell r="G28">
            <v>1.982</v>
          </cell>
          <cell r="H28" t="str">
            <v>50 mL</v>
          </cell>
          <cell r="I28">
            <v>1</v>
          </cell>
          <cell r="J28" t="str">
            <v>NIST</v>
          </cell>
          <cell r="K28" t="str">
            <v>3161a</v>
          </cell>
          <cell r="L28">
            <v>140917</v>
          </cell>
          <cell r="M28">
            <v>45199</v>
          </cell>
        </row>
        <row r="29">
          <cell r="C29" t="str">
            <v>Tl</v>
          </cell>
          <cell r="D29" t="str">
            <v>9,9986mg/g ± 0,017mg/g em HNO3 10%</v>
          </cell>
          <cell r="E29">
            <v>9986</v>
          </cell>
          <cell r="F29">
            <v>17</v>
          </cell>
          <cell r="G29">
            <v>1.962</v>
          </cell>
          <cell r="H29" t="str">
            <v>10 mL</v>
          </cell>
          <cell r="I29">
            <v>4</v>
          </cell>
          <cell r="J29" t="str">
            <v>NIST</v>
          </cell>
          <cell r="K29">
            <v>3158</v>
          </cell>
          <cell r="L29">
            <v>151215</v>
          </cell>
          <cell r="M29">
            <v>47026</v>
          </cell>
        </row>
        <row r="30">
          <cell r="C30" t="str">
            <v>V</v>
          </cell>
          <cell r="D30" t="str">
            <v>4,961 mg/g ± 0,013 mg/g em HNO3 1,6 mol/L</v>
          </cell>
          <cell r="E30">
            <v>4961</v>
          </cell>
          <cell r="F30">
            <v>13</v>
          </cell>
          <cell r="G30">
            <v>1.9650000000000001</v>
          </cell>
          <cell r="H30" t="str">
            <v>ampola 10 mL</v>
          </cell>
          <cell r="I30">
            <v>4</v>
          </cell>
          <cell r="J30" t="str">
            <v>NIST</v>
          </cell>
          <cell r="K30">
            <v>3165</v>
          </cell>
          <cell r="L30">
            <v>160906</v>
          </cell>
          <cell r="M30">
            <v>47057</v>
          </cell>
        </row>
        <row r="31">
          <cell r="C31" t="str">
            <v>Y</v>
          </cell>
          <cell r="D31" t="str">
            <v>9,993 mg/g ± 0,025 mg/g em HNO3 10%</v>
          </cell>
          <cell r="E31">
            <v>9993</v>
          </cell>
          <cell r="F31">
            <v>25</v>
          </cell>
          <cell r="G31">
            <v>2.012</v>
          </cell>
          <cell r="H31" t="str">
            <v>ampola 10 mL</v>
          </cell>
          <cell r="I31">
            <v>4</v>
          </cell>
          <cell r="J31" t="str">
            <v>NIST</v>
          </cell>
          <cell r="K31" t="str">
            <v>3167a</v>
          </cell>
          <cell r="L31">
            <v>120314</v>
          </cell>
          <cell r="M31">
            <v>45716</v>
          </cell>
        </row>
        <row r="32">
          <cell r="C32" t="str">
            <v>Zn</v>
          </cell>
          <cell r="D32" t="str">
            <v>10,007 mg/g ± 0,020 mg/g</v>
          </cell>
          <cell r="E32">
            <v>10007</v>
          </cell>
          <cell r="F32">
            <v>20</v>
          </cell>
          <cell r="G32">
            <v>1.9630000000000001</v>
          </cell>
          <cell r="H32" t="str">
            <v>ampola 10 mL</v>
          </cell>
          <cell r="I32">
            <v>4</v>
          </cell>
          <cell r="J32" t="str">
            <v>NIST</v>
          </cell>
          <cell r="K32" t="str">
            <v>3168a</v>
          </cell>
          <cell r="L32">
            <v>120629</v>
          </cell>
          <cell r="M32">
            <v>46053</v>
          </cell>
        </row>
        <row r="35">
          <cell r="C35" t="str">
            <v>Brometo</v>
          </cell>
          <cell r="D35" t="str">
            <v>999,3 mg/kg  ± 2,3 mg/kg em água</v>
          </cell>
          <cell r="E35">
            <v>999.3</v>
          </cell>
          <cell r="F35">
            <v>2.2999999999999998</v>
          </cell>
          <cell r="G35">
            <v>1.968</v>
          </cell>
          <cell r="H35" t="str">
            <v>10 mL</v>
          </cell>
          <cell r="I35">
            <v>4</v>
          </cell>
          <cell r="J35" t="str">
            <v>NIST</v>
          </cell>
          <cell r="K35">
            <v>3184</v>
          </cell>
          <cell r="L35">
            <v>151130</v>
          </cell>
          <cell r="M35">
            <v>46873</v>
          </cell>
        </row>
        <row r="36">
          <cell r="C36" t="str">
            <v>Sulfato</v>
          </cell>
          <cell r="D36" t="str">
            <v xml:space="preserve">1000 mg/kg ± 1,6 mg/kg   em água </v>
          </cell>
          <cell r="E36">
            <v>1000</v>
          </cell>
          <cell r="F36">
            <v>1.6</v>
          </cell>
          <cell r="G36">
            <v>2.0099999999999998</v>
          </cell>
          <cell r="H36" t="str">
            <v>10m L</v>
          </cell>
          <cell r="I36">
            <v>10</v>
          </cell>
          <cell r="J36" t="str">
            <v>NIST</v>
          </cell>
          <cell r="K36">
            <v>3181</v>
          </cell>
          <cell r="L36">
            <v>80603</v>
          </cell>
          <cell r="M36">
            <v>46022</v>
          </cell>
        </row>
        <row r="37">
          <cell r="C37" t="str">
            <v>Nitrato</v>
          </cell>
          <cell r="D37" t="str">
            <v>1000,6 mg/kg  ±  1,8mg/kg em água deionizada</v>
          </cell>
          <cell r="E37">
            <v>1000.6</v>
          </cell>
          <cell r="F37">
            <v>1.8</v>
          </cell>
          <cell r="G37">
            <v>1.9650000000000001</v>
          </cell>
          <cell r="H37" t="str">
            <v>10 mL</v>
          </cell>
          <cell r="I37">
            <v>3</v>
          </cell>
          <cell r="J37" t="str">
            <v>NIST</v>
          </cell>
          <cell r="K37">
            <v>3185</v>
          </cell>
          <cell r="L37">
            <v>170309</v>
          </cell>
          <cell r="M37">
            <v>47178</v>
          </cell>
        </row>
        <row r="38">
          <cell r="C38" t="str">
            <v>Fluoreto</v>
          </cell>
          <cell r="D38" t="str">
            <v>996,8 mg/kg ± 3,1 mg/kg   em água deionizada</v>
          </cell>
          <cell r="E38">
            <v>996.8</v>
          </cell>
          <cell r="F38">
            <v>3.1</v>
          </cell>
          <cell r="G38">
            <v>1.9690000000000001</v>
          </cell>
          <cell r="H38" t="str">
            <v>50 mL</v>
          </cell>
          <cell r="I38">
            <v>1</v>
          </cell>
          <cell r="J38" t="str">
            <v>NIST</v>
          </cell>
          <cell r="K38">
            <v>3183</v>
          </cell>
          <cell r="L38">
            <v>140203</v>
          </cell>
          <cell r="M38">
            <v>45657</v>
          </cell>
        </row>
        <row r="39">
          <cell r="C39" t="str">
            <v>Cloreto</v>
          </cell>
          <cell r="D39" t="str">
            <v>998,7 mg/kg  ±  3,0 mg/kg em água deionizada</v>
          </cell>
          <cell r="E39">
            <v>998.7</v>
          </cell>
          <cell r="F39">
            <v>3</v>
          </cell>
          <cell r="G39">
            <v>2.4500000000000002</v>
          </cell>
          <cell r="H39" t="str">
            <v>10 mL</v>
          </cell>
          <cell r="I39">
            <v>4</v>
          </cell>
          <cell r="J39" t="str">
            <v>NIST</v>
          </cell>
          <cell r="K39">
            <v>3182</v>
          </cell>
          <cell r="L39">
            <v>60925</v>
          </cell>
          <cell r="M39">
            <v>48303</v>
          </cell>
        </row>
        <row r="40">
          <cell r="C40" t="str">
            <v>Selm-1 Se</v>
          </cell>
          <cell r="D40" t="str">
            <v>Selenium enriched yeast certified reference material</v>
          </cell>
          <cell r="E40">
            <v>2031</v>
          </cell>
          <cell r="F40">
            <v>70</v>
          </cell>
          <cell r="G40">
            <v>2</v>
          </cell>
          <cell r="H40" t="str">
            <v>8 g</v>
          </cell>
          <cell r="J40" t="str">
            <v>NRCC</v>
          </cell>
          <cell r="K40" t="str">
            <v>SELM-1</v>
          </cell>
          <cell r="L40">
            <v>1</v>
          </cell>
          <cell r="M40">
            <v>48395</v>
          </cell>
        </row>
        <row r="41">
          <cell r="C41" t="str">
            <v>Selm-1 SeMet</v>
          </cell>
          <cell r="D41" t="str">
            <v>Selenium enriched yeast certified reference material</v>
          </cell>
          <cell r="E41">
            <v>3190</v>
          </cell>
          <cell r="F41">
            <v>260</v>
          </cell>
          <cell r="G41">
            <v>2</v>
          </cell>
          <cell r="H41" t="str">
            <v>8 g</v>
          </cell>
          <cell r="J41" t="str">
            <v>NRCC</v>
          </cell>
          <cell r="K41" t="str">
            <v>SELM-1</v>
          </cell>
          <cell r="L41">
            <v>1</v>
          </cell>
          <cell r="M41">
            <v>48395</v>
          </cell>
        </row>
        <row r="42">
          <cell r="C42" t="str">
            <v>Selm-1 Met</v>
          </cell>
          <cell r="D42" t="str">
            <v>Selenium enriched yeast certified reference material</v>
          </cell>
          <cell r="E42">
            <v>5790</v>
          </cell>
          <cell r="F42">
            <v>100</v>
          </cell>
          <cell r="G42">
            <v>2</v>
          </cell>
          <cell r="H42" t="str">
            <v>8 g</v>
          </cell>
          <cell r="J42" t="str">
            <v>NRCC</v>
          </cell>
          <cell r="K42" t="str">
            <v>SELM-1</v>
          </cell>
          <cell r="L42">
            <v>1</v>
          </cell>
          <cell r="M42">
            <v>48395</v>
          </cell>
        </row>
      </sheetData>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ções de uso_Histórico"/>
      <sheetName val="Entrada das massas"/>
      <sheetName val="Massas Corrigidas"/>
      <sheetName val="Entrada das intensidades"/>
      <sheetName val="Cálculos"/>
      <sheetName val=" Principal"/>
      <sheetName val="Dados e cálculos"/>
      <sheetName val="Adequação da curva"/>
      <sheetName val="Teste de consistência"/>
      <sheetName val="Dados externos"/>
      <sheetName val="Cálculos Extras"/>
      <sheetName val="Sinal"/>
      <sheetName val="Adequação da curva "/>
      <sheetName val="Dados e Cálculos sem P6"/>
      <sheetName val="Adequação da curva sem P6"/>
      <sheetName val="Observação"/>
      <sheetName val="Plan1"/>
      <sheetName val="Plan2"/>
      <sheetName val="Plan3"/>
    </sheetNames>
    <sheetDataSet>
      <sheetData sheetId="0" refreshError="1"/>
      <sheetData sheetId="1" refreshError="1"/>
      <sheetData sheetId="2" refreshError="1"/>
      <sheetData sheetId="3" refreshError="1"/>
      <sheetData sheetId="4" refreshError="1"/>
      <sheetData sheetId="5" refreshError="1"/>
      <sheetData sheetId="6">
        <row r="5">
          <cell r="N5">
            <v>3.0633623345892422E-4</v>
          </cell>
          <cell r="Q5">
            <v>1.1408497703350804</v>
          </cell>
        </row>
        <row r="6">
          <cell r="Q6">
            <v>-6.4691502296650469</v>
          </cell>
        </row>
        <row r="7">
          <cell r="H7">
            <v>3.0633623345892422E-4</v>
          </cell>
          <cell r="Q7">
            <v>-17.849150229665156</v>
          </cell>
        </row>
        <row r="8">
          <cell r="H8">
            <v>6.4255533142718632E-4</v>
          </cell>
          <cell r="Q8">
            <v>15.960849770334789</v>
          </cell>
        </row>
        <row r="9">
          <cell r="H9">
            <v>9.19957847293026E-4</v>
          </cell>
          <cell r="Q9">
            <v>57.960849770334789</v>
          </cell>
        </row>
        <row r="10">
          <cell r="H10">
            <v>1.2988105716908453E-3</v>
          </cell>
          <cell r="Q10">
            <v>10.340849770334898</v>
          </cell>
        </row>
        <row r="11">
          <cell r="H11">
            <v>1.7010567455925895E-3</v>
          </cell>
          <cell r="Q11">
            <v>29.950849770335026</v>
          </cell>
        </row>
        <row r="12">
          <cell r="H12">
            <v>1.9296002391247899E-3</v>
          </cell>
          <cell r="Q12">
            <v>-103.80879630116851</v>
          </cell>
        </row>
        <row r="13">
          <cell r="Q13">
            <v>-203.88879630116844</v>
          </cell>
        </row>
        <row r="14">
          <cell r="Q14">
            <v>-214.26879630116855</v>
          </cell>
        </row>
        <row r="15">
          <cell r="Q15">
            <v>-166.2387963011688</v>
          </cell>
        </row>
        <row r="16">
          <cell r="Q16">
            <v>-114.21879630116837</v>
          </cell>
        </row>
        <row r="17">
          <cell r="Q17">
            <v>-188.2987963011683</v>
          </cell>
        </row>
        <row r="18">
          <cell r="Q18">
            <v>-182.65879630116888</v>
          </cell>
        </row>
        <row r="19">
          <cell r="Q19">
            <v>248.95749634924141</v>
          </cell>
        </row>
        <row r="20">
          <cell r="Q20">
            <v>339.44749634924119</v>
          </cell>
        </row>
        <row r="21">
          <cell r="Q21">
            <v>242.94749634924119</v>
          </cell>
        </row>
        <row r="22">
          <cell r="Q22">
            <v>411.1374963492417</v>
          </cell>
        </row>
        <row r="23">
          <cell r="Q23">
            <v>321.24749634924228</v>
          </cell>
        </row>
        <row r="24">
          <cell r="Q24">
            <v>119.64749634924192</v>
          </cell>
        </row>
        <row r="25">
          <cell r="Q25">
            <v>159.07749634924221</v>
          </cell>
        </row>
        <row r="26">
          <cell r="Q26">
            <v>-9.3670521298554377</v>
          </cell>
        </row>
        <row r="27">
          <cell r="Q27">
            <v>-29.177052129856747</v>
          </cell>
        </row>
        <row r="28">
          <cell r="Q28">
            <v>1.8529478701439075</v>
          </cell>
        </row>
        <row r="29">
          <cell r="Q29">
            <v>157.50294787014354</v>
          </cell>
        </row>
        <row r="30">
          <cell r="Q30">
            <v>55.15294787014318</v>
          </cell>
        </row>
        <row r="31">
          <cell r="Q31">
            <v>126.46294787014449</v>
          </cell>
        </row>
        <row r="32">
          <cell r="Q32">
            <v>120.04294787014442</v>
          </cell>
        </row>
        <row r="33">
          <cell r="Q33">
            <v>-572.62521893306257</v>
          </cell>
        </row>
        <row r="34">
          <cell r="Q34">
            <v>-475.24521893306519</v>
          </cell>
        </row>
        <row r="35">
          <cell r="Q35">
            <v>-377.68521893306388</v>
          </cell>
        </row>
        <row r="36">
          <cell r="Q36">
            <v>-507.51521893306563</v>
          </cell>
        </row>
        <row r="37">
          <cell r="Q37">
            <v>-536.78521893306242</v>
          </cell>
        </row>
        <row r="38">
          <cell r="Q38">
            <v>-337.60521893306213</v>
          </cell>
        </row>
        <row r="39">
          <cell r="Q39">
            <v>-536.75521893306359</v>
          </cell>
        </row>
        <row r="40">
          <cell r="Q40">
            <v>300.66843553025683</v>
          </cell>
        </row>
        <row r="41">
          <cell r="Q41">
            <v>378.84843553025348</v>
          </cell>
        </row>
        <row r="42">
          <cell r="Q42">
            <v>213.67843553025523</v>
          </cell>
        </row>
        <row r="43">
          <cell r="Q43">
            <v>246.32843553025668</v>
          </cell>
        </row>
        <row r="44">
          <cell r="Q44">
            <v>226.11843553025392</v>
          </cell>
        </row>
        <row r="45">
          <cell r="Q45">
            <v>408.7184355302561</v>
          </cell>
        </row>
        <row r="46">
          <cell r="Q46">
            <v>387.26843553025537</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queryTables/queryTable1.xml><?xml version="1.0" encoding="utf-8"?>
<queryTable xmlns="http://schemas.openxmlformats.org/spreadsheetml/2006/main" name="21DEZ17 ALIQUOTA 106" connectionId="1"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6.emf"/><Relationship Id="rId18" Type="http://schemas.openxmlformats.org/officeDocument/2006/relationships/oleObject" Target="../embeddings/oleObject8.bin"/><Relationship Id="rId26" Type="http://schemas.openxmlformats.org/officeDocument/2006/relationships/oleObject" Target="../embeddings/oleObject12.bin"/><Relationship Id="rId3" Type="http://schemas.openxmlformats.org/officeDocument/2006/relationships/vmlDrawing" Target="../drawings/vmlDrawing2.vml"/><Relationship Id="rId21" Type="http://schemas.openxmlformats.org/officeDocument/2006/relationships/image" Target="../media/image10.emf"/><Relationship Id="rId7" Type="http://schemas.openxmlformats.org/officeDocument/2006/relationships/image" Target="../media/image3.emf"/><Relationship Id="rId12" Type="http://schemas.openxmlformats.org/officeDocument/2006/relationships/oleObject" Target="../embeddings/oleObject5.bin"/><Relationship Id="rId17" Type="http://schemas.openxmlformats.org/officeDocument/2006/relationships/image" Target="../media/image8.emf"/><Relationship Id="rId25" Type="http://schemas.openxmlformats.org/officeDocument/2006/relationships/image" Target="../media/image12.emf"/><Relationship Id="rId2" Type="http://schemas.openxmlformats.org/officeDocument/2006/relationships/drawing" Target="../drawings/drawing2.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4.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5.emf"/><Relationship Id="rId24" Type="http://schemas.openxmlformats.org/officeDocument/2006/relationships/oleObject" Target="../embeddings/oleObject11.bin"/><Relationship Id="rId32" Type="http://schemas.openxmlformats.org/officeDocument/2006/relationships/comments" Target="../comments2.xml"/><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oleObject" Target="../embeddings/oleObject13.bin"/><Relationship Id="rId10" Type="http://schemas.openxmlformats.org/officeDocument/2006/relationships/oleObject" Target="../embeddings/oleObject4.bin"/><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oleObject" Target="../embeddings/oleObject1.bin"/><Relationship Id="rId9" Type="http://schemas.openxmlformats.org/officeDocument/2006/relationships/image" Target="../media/image4.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3.emf"/><Relationship Id="rId30" Type="http://schemas.openxmlformats.org/officeDocument/2006/relationships/oleObject" Target="../embeddings/oleObject1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oleObject" Target="../embeddings/oleObject17.bin"/><Relationship Id="rId3" Type="http://schemas.openxmlformats.org/officeDocument/2006/relationships/vmlDrawing" Target="../drawings/vmlDrawing3.vml"/><Relationship Id="rId7" Type="http://schemas.openxmlformats.org/officeDocument/2006/relationships/image" Target="../media/image17.emf"/><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oleObject" Target="../embeddings/oleObject16.bin"/><Relationship Id="rId11" Type="http://schemas.openxmlformats.org/officeDocument/2006/relationships/image" Target="../media/image19.emf"/><Relationship Id="rId5" Type="http://schemas.openxmlformats.org/officeDocument/2006/relationships/image" Target="../media/image16.emf"/><Relationship Id="rId10" Type="http://schemas.openxmlformats.org/officeDocument/2006/relationships/oleObject" Target="../embeddings/oleObject18.bin"/><Relationship Id="rId4" Type="http://schemas.openxmlformats.org/officeDocument/2006/relationships/oleObject" Target="../embeddings/oleObject15.bin"/><Relationship Id="rId9" Type="http://schemas.openxmlformats.org/officeDocument/2006/relationships/image" Target="../media/image18.wmf"/></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P65"/>
  <sheetViews>
    <sheetView workbookViewId="0">
      <selection activeCell="T25" sqref="T25"/>
    </sheetView>
  </sheetViews>
  <sheetFormatPr defaultRowHeight="12.75" x14ac:dyDescent="0.2"/>
  <cols>
    <col min="1" max="1" width="0.85546875" style="75" customWidth="1"/>
    <col min="2" max="2" width="9.140625" style="75"/>
    <col min="3" max="3" width="10.28515625" style="75" customWidth="1"/>
    <col min="4" max="16384" width="9.140625" style="75"/>
  </cols>
  <sheetData>
    <row r="1" spans="1:16" ht="5.0999999999999996" customHeight="1" x14ac:dyDescent="0.2"/>
    <row r="6" spans="1:16" x14ac:dyDescent="0.2">
      <c r="A6" s="558" t="s">
        <v>230</v>
      </c>
      <c r="B6" s="559"/>
      <c r="C6" s="559"/>
      <c r="D6" s="559"/>
      <c r="E6" s="559"/>
      <c r="F6" s="559"/>
      <c r="G6" s="559"/>
      <c r="H6" s="559"/>
      <c r="I6" s="559"/>
      <c r="J6" s="559"/>
      <c r="K6" s="559"/>
      <c r="L6" s="559"/>
      <c r="M6" s="559"/>
      <c r="N6" s="559"/>
      <c r="O6" s="559"/>
      <c r="P6" s="559"/>
    </row>
    <row r="27" spans="2:16" ht="13.5" thickBot="1" x14ac:dyDescent="0.25"/>
    <row r="28" spans="2:16" ht="16.5" x14ac:dyDescent="0.2">
      <c r="B28" s="542" t="s">
        <v>211</v>
      </c>
      <c r="C28" s="543"/>
      <c r="D28" s="543"/>
      <c r="E28" s="543"/>
      <c r="F28" s="543"/>
      <c r="G28" s="543"/>
      <c r="H28" s="543"/>
      <c r="I28" s="543"/>
      <c r="J28" s="543"/>
      <c r="K28" s="543"/>
      <c r="L28" s="543"/>
      <c r="M28" s="543"/>
      <c r="N28" s="543"/>
      <c r="O28" s="543"/>
      <c r="P28" s="544"/>
    </row>
    <row r="29" spans="2:16" ht="16.5" x14ac:dyDescent="0.3">
      <c r="B29" s="334" t="s">
        <v>212</v>
      </c>
      <c r="C29" s="330" t="s">
        <v>28</v>
      </c>
      <c r="D29" s="561" t="s">
        <v>213</v>
      </c>
      <c r="E29" s="561"/>
      <c r="F29" s="561"/>
      <c r="G29" s="561"/>
      <c r="H29" s="561"/>
      <c r="I29" s="561"/>
      <c r="J29" s="561"/>
      <c r="K29" s="561"/>
      <c r="L29" s="561"/>
      <c r="M29" s="561"/>
      <c r="N29" s="561"/>
      <c r="O29" s="561"/>
      <c r="P29" s="562"/>
    </row>
    <row r="30" spans="2:16" x14ac:dyDescent="0.2">
      <c r="B30" s="335">
        <v>5</v>
      </c>
      <c r="C30" s="333" t="s">
        <v>214</v>
      </c>
      <c r="D30" s="563" t="s">
        <v>215</v>
      </c>
      <c r="E30" s="553"/>
      <c r="F30" s="553"/>
      <c r="G30" s="553"/>
      <c r="H30" s="553"/>
      <c r="I30" s="553"/>
      <c r="J30" s="553"/>
      <c r="K30" s="553"/>
      <c r="L30" s="553"/>
      <c r="M30" s="553"/>
      <c r="N30" s="553"/>
      <c r="O30" s="553"/>
      <c r="P30" s="554"/>
    </row>
    <row r="31" spans="2:16" x14ac:dyDescent="0.2">
      <c r="B31" s="335">
        <v>6</v>
      </c>
      <c r="C31" s="333" t="s">
        <v>214</v>
      </c>
      <c r="D31" s="560" t="s">
        <v>216</v>
      </c>
      <c r="E31" s="553"/>
      <c r="F31" s="553"/>
      <c r="G31" s="553"/>
      <c r="H31" s="553"/>
      <c r="I31" s="553"/>
      <c r="J31" s="553"/>
      <c r="K31" s="553"/>
      <c r="L31" s="553"/>
      <c r="M31" s="553"/>
      <c r="N31" s="553"/>
      <c r="O31" s="553"/>
      <c r="P31" s="554"/>
    </row>
    <row r="32" spans="2:16" x14ac:dyDescent="0.2">
      <c r="B32" s="335">
        <v>7</v>
      </c>
      <c r="C32" s="333" t="s">
        <v>214</v>
      </c>
      <c r="D32" s="560" t="s">
        <v>217</v>
      </c>
      <c r="E32" s="553"/>
      <c r="F32" s="553"/>
      <c r="G32" s="553"/>
      <c r="H32" s="553"/>
      <c r="I32" s="553"/>
      <c r="J32" s="553"/>
      <c r="K32" s="553"/>
      <c r="L32" s="553"/>
      <c r="M32" s="553"/>
      <c r="N32" s="553"/>
      <c r="O32" s="553"/>
      <c r="P32" s="554"/>
    </row>
    <row r="33" spans="2:16" x14ac:dyDescent="0.2">
      <c r="B33" s="335">
        <v>8</v>
      </c>
      <c r="C33" s="333" t="s">
        <v>214</v>
      </c>
      <c r="D33" s="560" t="s">
        <v>218</v>
      </c>
      <c r="E33" s="553"/>
      <c r="F33" s="553"/>
      <c r="G33" s="553"/>
      <c r="H33" s="553"/>
      <c r="I33" s="553"/>
      <c r="J33" s="553"/>
      <c r="K33" s="553"/>
      <c r="L33" s="553"/>
      <c r="M33" s="553"/>
      <c r="N33" s="553"/>
      <c r="O33" s="553"/>
      <c r="P33" s="554"/>
    </row>
    <row r="34" spans="2:16" x14ac:dyDescent="0.2">
      <c r="B34" s="335">
        <v>9</v>
      </c>
      <c r="C34" s="333" t="s">
        <v>214</v>
      </c>
      <c r="D34" s="560" t="s">
        <v>219</v>
      </c>
      <c r="E34" s="553"/>
      <c r="F34" s="553"/>
      <c r="G34" s="553"/>
      <c r="H34" s="553"/>
      <c r="I34" s="553"/>
      <c r="J34" s="553"/>
      <c r="K34" s="553"/>
      <c r="L34" s="553"/>
      <c r="M34" s="553"/>
      <c r="N34" s="553"/>
      <c r="O34" s="553"/>
      <c r="P34" s="554"/>
    </row>
    <row r="35" spans="2:16" x14ac:dyDescent="0.2">
      <c r="B35" s="335">
        <v>10</v>
      </c>
      <c r="C35" s="333" t="s">
        <v>214</v>
      </c>
      <c r="D35" s="560" t="s">
        <v>220</v>
      </c>
      <c r="E35" s="553"/>
      <c r="F35" s="553"/>
      <c r="G35" s="553"/>
      <c r="H35" s="553"/>
      <c r="I35" s="553"/>
      <c r="J35" s="553"/>
      <c r="K35" s="553"/>
      <c r="L35" s="553"/>
      <c r="M35" s="553"/>
      <c r="N35" s="553"/>
      <c r="O35" s="553"/>
      <c r="P35" s="554"/>
    </row>
    <row r="36" spans="2:16" x14ac:dyDescent="0.2">
      <c r="B36" s="335">
        <v>11</v>
      </c>
      <c r="C36" s="333" t="s">
        <v>214</v>
      </c>
      <c r="D36" s="560" t="s">
        <v>221</v>
      </c>
      <c r="E36" s="553"/>
      <c r="F36" s="553"/>
      <c r="G36" s="553"/>
      <c r="H36" s="553"/>
      <c r="I36" s="553"/>
      <c r="J36" s="553"/>
      <c r="K36" s="553"/>
      <c r="L36" s="553"/>
      <c r="M36" s="553"/>
      <c r="N36" s="553"/>
      <c r="O36" s="553"/>
      <c r="P36" s="554"/>
    </row>
    <row r="37" spans="2:16" x14ac:dyDescent="0.2">
      <c r="B37" s="335">
        <v>12</v>
      </c>
      <c r="C37" s="333" t="s">
        <v>214</v>
      </c>
      <c r="D37" s="560" t="s">
        <v>222</v>
      </c>
      <c r="E37" s="553"/>
      <c r="F37" s="553"/>
      <c r="G37" s="553"/>
      <c r="H37" s="553"/>
      <c r="I37" s="553"/>
      <c r="J37" s="553"/>
      <c r="K37" s="553"/>
      <c r="L37" s="553"/>
      <c r="M37" s="553"/>
      <c r="N37" s="553"/>
      <c r="O37" s="553"/>
      <c r="P37" s="554"/>
    </row>
    <row r="38" spans="2:16" x14ac:dyDescent="0.2">
      <c r="B38" s="335">
        <v>13</v>
      </c>
      <c r="C38" s="333" t="s">
        <v>214</v>
      </c>
      <c r="D38" s="560" t="s">
        <v>223</v>
      </c>
      <c r="E38" s="553"/>
      <c r="F38" s="553"/>
      <c r="G38" s="553"/>
      <c r="H38" s="553"/>
      <c r="I38" s="553"/>
      <c r="J38" s="553"/>
      <c r="K38" s="553"/>
      <c r="L38" s="553"/>
      <c r="M38" s="553"/>
      <c r="N38" s="553"/>
      <c r="O38" s="553"/>
      <c r="P38" s="554"/>
    </row>
    <row r="39" spans="2:16" x14ac:dyDescent="0.2">
      <c r="B39" s="335">
        <v>14</v>
      </c>
      <c r="C39" s="333" t="s">
        <v>214</v>
      </c>
      <c r="D39" s="560" t="s">
        <v>224</v>
      </c>
      <c r="E39" s="553"/>
      <c r="F39" s="553"/>
      <c r="G39" s="553"/>
      <c r="H39" s="553"/>
      <c r="I39" s="553"/>
      <c r="J39" s="553"/>
      <c r="K39" s="553"/>
      <c r="L39" s="553"/>
      <c r="M39" s="553"/>
      <c r="N39" s="553"/>
      <c r="O39" s="553"/>
      <c r="P39" s="554"/>
    </row>
    <row r="40" spans="2:16" x14ac:dyDescent="0.2">
      <c r="B40" s="335">
        <v>15</v>
      </c>
      <c r="C40" s="333" t="s">
        <v>214</v>
      </c>
      <c r="D40" s="560" t="s">
        <v>225</v>
      </c>
      <c r="E40" s="553"/>
      <c r="F40" s="553"/>
      <c r="G40" s="553"/>
      <c r="H40" s="553"/>
      <c r="I40" s="553"/>
      <c r="J40" s="553"/>
      <c r="K40" s="553"/>
      <c r="L40" s="553"/>
      <c r="M40" s="553"/>
      <c r="N40" s="553"/>
      <c r="O40" s="553"/>
      <c r="P40" s="554"/>
    </row>
    <row r="41" spans="2:16" x14ac:dyDescent="0.2">
      <c r="B41" s="335">
        <v>16</v>
      </c>
      <c r="C41" s="333" t="s">
        <v>214</v>
      </c>
      <c r="D41" s="560" t="s">
        <v>226</v>
      </c>
      <c r="E41" s="553"/>
      <c r="F41" s="553"/>
      <c r="G41" s="553"/>
      <c r="H41" s="553"/>
      <c r="I41" s="553"/>
      <c r="J41" s="553"/>
      <c r="K41" s="553"/>
      <c r="L41" s="553"/>
      <c r="M41" s="553"/>
      <c r="N41" s="553"/>
      <c r="O41" s="553"/>
      <c r="P41" s="554"/>
    </row>
    <row r="42" spans="2:16" x14ac:dyDescent="0.2">
      <c r="B42" s="335">
        <v>17</v>
      </c>
      <c r="C42" s="333" t="s">
        <v>214</v>
      </c>
      <c r="D42" s="560" t="s">
        <v>227</v>
      </c>
      <c r="E42" s="553"/>
      <c r="F42" s="553"/>
      <c r="G42" s="553"/>
      <c r="H42" s="553"/>
      <c r="I42" s="553"/>
      <c r="J42" s="553"/>
      <c r="K42" s="553"/>
      <c r="L42" s="553"/>
      <c r="M42" s="553"/>
      <c r="N42" s="553"/>
      <c r="O42" s="553"/>
      <c r="P42" s="554"/>
    </row>
    <row r="43" spans="2:16" x14ac:dyDescent="0.2">
      <c r="B43" s="335">
        <v>18</v>
      </c>
      <c r="C43" s="332">
        <v>44287</v>
      </c>
      <c r="D43" s="560" t="s">
        <v>228</v>
      </c>
      <c r="E43" s="553"/>
      <c r="F43" s="553"/>
      <c r="G43" s="553"/>
      <c r="H43" s="553"/>
      <c r="I43" s="553"/>
      <c r="J43" s="553"/>
      <c r="K43" s="553"/>
      <c r="L43" s="553"/>
      <c r="M43" s="553"/>
      <c r="N43" s="553"/>
      <c r="O43" s="553"/>
      <c r="P43" s="554"/>
    </row>
    <row r="44" spans="2:16" x14ac:dyDescent="0.2">
      <c r="B44" s="335">
        <v>19</v>
      </c>
      <c r="C44" s="332">
        <v>44470</v>
      </c>
      <c r="D44" s="560" t="s">
        <v>229</v>
      </c>
      <c r="E44" s="553"/>
      <c r="F44" s="553"/>
      <c r="G44" s="553"/>
      <c r="H44" s="553"/>
      <c r="I44" s="553"/>
      <c r="J44" s="553"/>
      <c r="K44" s="553"/>
      <c r="L44" s="553"/>
      <c r="M44" s="553"/>
      <c r="N44" s="553"/>
      <c r="O44" s="553"/>
      <c r="P44" s="554"/>
    </row>
    <row r="45" spans="2:16" x14ac:dyDescent="0.2">
      <c r="B45" s="336"/>
      <c r="C45" s="331"/>
      <c r="D45" s="552"/>
      <c r="E45" s="553"/>
      <c r="F45" s="553"/>
      <c r="G45" s="553"/>
      <c r="H45" s="553"/>
      <c r="I45" s="553"/>
      <c r="J45" s="553"/>
      <c r="K45" s="553"/>
      <c r="L45" s="553"/>
      <c r="M45" s="553"/>
      <c r="N45" s="553"/>
      <c r="O45" s="553"/>
      <c r="P45" s="554"/>
    </row>
    <row r="46" spans="2:16" x14ac:dyDescent="0.2">
      <c r="B46" s="336"/>
      <c r="C46" s="331"/>
      <c r="D46" s="552"/>
      <c r="E46" s="553"/>
      <c r="F46" s="553"/>
      <c r="G46" s="553"/>
      <c r="H46" s="553"/>
      <c r="I46" s="553"/>
      <c r="J46" s="553"/>
      <c r="K46" s="553"/>
      <c r="L46" s="553"/>
      <c r="M46" s="553"/>
      <c r="N46" s="553"/>
      <c r="O46" s="553"/>
      <c r="P46" s="554"/>
    </row>
    <row r="47" spans="2:16" x14ac:dyDescent="0.2">
      <c r="B47" s="336"/>
      <c r="C47" s="331"/>
      <c r="D47" s="552"/>
      <c r="E47" s="553"/>
      <c r="F47" s="553"/>
      <c r="G47" s="553"/>
      <c r="H47" s="553"/>
      <c r="I47" s="553"/>
      <c r="J47" s="553"/>
      <c r="K47" s="553"/>
      <c r="L47" s="553"/>
      <c r="M47" s="553"/>
      <c r="N47" s="553"/>
      <c r="O47" s="553"/>
      <c r="P47" s="554"/>
    </row>
    <row r="48" spans="2:16" x14ac:dyDescent="0.2">
      <c r="B48" s="336"/>
      <c r="C48" s="331"/>
      <c r="D48" s="552"/>
      <c r="E48" s="553"/>
      <c r="F48" s="553"/>
      <c r="G48" s="553"/>
      <c r="H48" s="553"/>
      <c r="I48" s="553"/>
      <c r="J48" s="553"/>
      <c r="K48" s="553"/>
      <c r="L48" s="553"/>
      <c r="M48" s="553"/>
      <c r="N48" s="553"/>
      <c r="O48" s="553"/>
      <c r="P48" s="554"/>
    </row>
    <row r="49" spans="2:16" x14ac:dyDescent="0.2">
      <c r="B49" s="336"/>
      <c r="C49" s="331"/>
      <c r="D49" s="552"/>
      <c r="E49" s="553"/>
      <c r="F49" s="553"/>
      <c r="G49" s="553"/>
      <c r="H49" s="553"/>
      <c r="I49" s="553"/>
      <c r="J49" s="553"/>
      <c r="K49" s="553"/>
      <c r="L49" s="553"/>
      <c r="M49" s="553"/>
      <c r="N49" s="553"/>
      <c r="O49" s="553"/>
      <c r="P49" s="554"/>
    </row>
    <row r="50" spans="2:16" x14ac:dyDescent="0.2">
      <c r="B50" s="336"/>
      <c r="C50" s="331"/>
      <c r="D50" s="552"/>
      <c r="E50" s="553"/>
      <c r="F50" s="553"/>
      <c r="G50" s="553"/>
      <c r="H50" s="553"/>
      <c r="I50" s="553"/>
      <c r="J50" s="553"/>
      <c r="K50" s="553"/>
      <c r="L50" s="553"/>
      <c r="M50" s="553"/>
      <c r="N50" s="553"/>
      <c r="O50" s="553"/>
      <c r="P50" s="554"/>
    </row>
    <row r="51" spans="2:16" x14ac:dyDescent="0.2">
      <c r="B51" s="336"/>
      <c r="C51" s="331"/>
      <c r="D51" s="552"/>
      <c r="E51" s="553"/>
      <c r="F51" s="553"/>
      <c r="G51" s="553"/>
      <c r="H51" s="553"/>
      <c r="I51" s="553"/>
      <c r="J51" s="553"/>
      <c r="K51" s="553"/>
      <c r="L51" s="553"/>
      <c r="M51" s="553"/>
      <c r="N51" s="553"/>
      <c r="O51" s="553"/>
      <c r="P51" s="554"/>
    </row>
    <row r="52" spans="2:16" x14ac:dyDescent="0.2">
      <c r="B52" s="336"/>
      <c r="C52" s="331"/>
      <c r="D52" s="552"/>
      <c r="E52" s="553"/>
      <c r="F52" s="553"/>
      <c r="G52" s="553"/>
      <c r="H52" s="553"/>
      <c r="I52" s="553"/>
      <c r="J52" s="553"/>
      <c r="K52" s="553"/>
      <c r="L52" s="553"/>
      <c r="M52" s="553"/>
      <c r="N52" s="553"/>
      <c r="O52" s="553"/>
      <c r="P52" s="554"/>
    </row>
    <row r="53" spans="2:16" ht="13.5" thickBot="1" x14ac:dyDescent="0.25">
      <c r="B53" s="337"/>
      <c r="C53" s="338"/>
      <c r="D53" s="555"/>
      <c r="E53" s="556"/>
      <c r="F53" s="556"/>
      <c r="G53" s="556"/>
      <c r="H53" s="556"/>
      <c r="I53" s="556"/>
      <c r="J53" s="556"/>
      <c r="K53" s="556"/>
      <c r="L53" s="556"/>
      <c r="M53" s="556"/>
      <c r="N53" s="556"/>
      <c r="O53" s="556"/>
      <c r="P53" s="557"/>
    </row>
    <row r="55" spans="2:16" ht="13.5" thickBot="1" x14ac:dyDescent="0.25"/>
    <row r="56" spans="2:16" ht="17.25" thickBot="1" x14ac:dyDescent="0.25">
      <c r="B56" s="542" t="s">
        <v>231</v>
      </c>
      <c r="C56" s="543"/>
      <c r="D56" s="543"/>
      <c r="E56" s="543"/>
      <c r="F56" s="543"/>
      <c r="G56" s="543"/>
      <c r="H56" s="543"/>
      <c r="I56" s="543"/>
      <c r="J56" s="543"/>
      <c r="K56" s="543"/>
      <c r="L56" s="543"/>
      <c r="M56" s="543"/>
      <c r="N56" s="543"/>
      <c r="O56" s="543"/>
      <c r="P56" s="544"/>
    </row>
    <row r="57" spans="2:16" ht="14.25" x14ac:dyDescent="0.2">
      <c r="B57" s="545"/>
      <c r="C57" s="546"/>
      <c r="D57" s="531" t="s">
        <v>242</v>
      </c>
      <c r="E57" s="532"/>
      <c r="F57" s="532"/>
      <c r="G57" s="532"/>
      <c r="H57" s="532"/>
      <c r="I57" s="532"/>
      <c r="J57" s="533"/>
      <c r="K57" s="532" t="s">
        <v>243</v>
      </c>
      <c r="L57" s="532"/>
      <c r="M57" s="532"/>
      <c r="N57" s="532"/>
      <c r="O57" s="532"/>
      <c r="P57" s="551"/>
    </row>
    <row r="58" spans="2:16" ht="14.25" x14ac:dyDescent="0.2">
      <c r="B58" s="547" t="s">
        <v>232</v>
      </c>
      <c r="C58" s="548"/>
      <c r="D58" s="534" t="s">
        <v>237</v>
      </c>
      <c r="E58" s="535"/>
      <c r="F58" s="535"/>
      <c r="G58" s="535"/>
      <c r="H58" s="535"/>
      <c r="I58" s="535"/>
      <c r="J58" s="536"/>
      <c r="K58" s="526" t="s">
        <v>238</v>
      </c>
      <c r="L58" s="527"/>
      <c r="M58" s="527"/>
      <c r="N58" s="527"/>
      <c r="O58" s="527"/>
      <c r="P58" s="528"/>
    </row>
    <row r="59" spans="2:16" ht="14.25" customHeight="1" x14ac:dyDescent="0.2">
      <c r="B59" s="549" t="s">
        <v>233</v>
      </c>
      <c r="C59" s="550"/>
      <c r="D59" s="537" t="s">
        <v>239</v>
      </c>
      <c r="E59" s="527"/>
      <c r="F59" s="527"/>
      <c r="G59" s="527"/>
      <c r="H59" s="527"/>
      <c r="I59" s="527"/>
      <c r="J59" s="538"/>
      <c r="K59" s="526" t="s">
        <v>240</v>
      </c>
      <c r="L59" s="527"/>
      <c r="M59" s="527"/>
      <c r="N59" s="527"/>
      <c r="O59" s="527"/>
      <c r="P59" s="528"/>
    </row>
    <row r="60" spans="2:16" x14ac:dyDescent="0.2">
      <c r="B60" s="549"/>
      <c r="C60" s="550"/>
      <c r="D60" s="537" t="s">
        <v>235</v>
      </c>
      <c r="E60" s="527"/>
      <c r="F60" s="527"/>
      <c r="G60" s="527"/>
      <c r="H60" s="527"/>
      <c r="I60" s="527"/>
      <c r="J60" s="538"/>
      <c r="K60" s="526" t="s">
        <v>236</v>
      </c>
      <c r="L60" s="527"/>
      <c r="M60" s="527"/>
      <c r="N60" s="527"/>
      <c r="O60" s="527"/>
      <c r="P60" s="528"/>
    </row>
    <row r="61" spans="2:16" x14ac:dyDescent="0.2">
      <c r="B61" s="549"/>
      <c r="C61" s="550"/>
      <c r="D61" s="539"/>
      <c r="E61" s="527"/>
      <c r="F61" s="527"/>
      <c r="G61" s="527"/>
      <c r="H61" s="527"/>
      <c r="I61" s="527"/>
      <c r="J61" s="538"/>
      <c r="K61" s="527"/>
      <c r="L61" s="527"/>
      <c r="M61" s="527"/>
      <c r="N61" s="527"/>
      <c r="O61" s="527"/>
      <c r="P61" s="528"/>
    </row>
    <row r="62" spans="2:16" x14ac:dyDescent="0.2">
      <c r="B62" s="549"/>
      <c r="C62" s="550"/>
      <c r="D62" s="539"/>
      <c r="E62" s="527"/>
      <c r="F62" s="527"/>
      <c r="G62" s="527"/>
      <c r="H62" s="527"/>
      <c r="I62" s="527"/>
      <c r="J62" s="538"/>
      <c r="K62" s="527"/>
      <c r="L62" s="527"/>
      <c r="M62" s="527"/>
      <c r="N62" s="527"/>
      <c r="O62" s="527"/>
      <c r="P62" s="528"/>
    </row>
    <row r="63" spans="2:16" x14ac:dyDescent="0.2">
      <c r="B63" s="549"/>
      <c r="C63" s="550"/>
      <c r="D63" s="539"/>
      <c r="E63" s="527"/>
      <c r="F63" s="527"/>
      <c r="G63" s="527"/>
      <c r="H63" s="527"/>
      <c r="I63" s="527"/>
      <c r="J63" s="538"/>
      <c r="K63" s="527"/>
      <c r="L63" s="527"/>
      <c r="M63" s="527"/>
      <c r="N63" s="527"/>
      <c r="O63" s="527"/>
      <c r="P63" s="528"/>
    </row>
    <row r="64" spans="2:16" ht="12.75" customHeight="1" x14ac:dyDescent="0.2">
      <c r="B64" s="549"/>
      <c r="C64" s="550"/>
      <c r="D64" s="539"/>
      <c r="E64" s="527"/>
      <c r="F64" s="527"/>
      <c r="G64" s="527"/>
      <c r="H64" s="527"/>
      <c r="I64" s="527"/>
      <c r="J64" s="538"/>
      <c r="K64" s="527"/>
      <c r="L64" s="527"/>
      <c r="M64" s="527"/>
      <c r="N64" s="527"/>
      <c r="O64" s="527"/>
      <c r="P64" s="528"/>
    </row>
    <row r="65" spans="2:16" ht="15" thickBot="1" x14ac:dyDescent="0.25">
      <c r="B65" s="529" t="s">
        <v>234</v>
      </c>
      <c r="C65" s="530"/>
      <c r="D65" s="540" t="s">
        <v>235</v>
      </c>
      <c r="E65" s="524"/>
      <c r="F65" s="524"/>
      <c r="G65" s="524"/>
      <c r="H65" s="524"/>
      <c r="I65" s="524"/>
      <c r="J65" s="541"/>
      <c r="K65" s="523" t="s">
        <v>236</v>
      </c>
      <c r="L65" s="524"/>
      <c r="M65" s="524"/>
      <c r="N65" s="524"/>
      <c r="O65" s="524"/>
      <c r="P65" s="525"/>
    </row>
  </sheetData>
  <sheetProtection password="C7DA" sheet="1" objects="1" scenarios="1"/>
  <mergeCells count="50">
    <mergeCell ref="D38:P38"/>
    <mergeCell ref="B28:P28"/>
    <mergeCell ref="D29:P29"/>
    <mergeCell ref="D30:P30"/>
    <mergeCell ref="D31:P31"/>
    <mergeCell ref="D32:P32"/>
    <mergeCell ref="D33:P33"/>
    <mergeCell ref="D34:P34"/>
    <mergeCell ref="D35:P35"/>
    <mergeCell ref="D36:P36"/>
    <mergeCell ref="D37:P37"/>
    <mergeCell ref="D51:P51"/>
    <mergeCell ref="D52:P52"/>
    <mergeCell ref="D53:P53"/>
    <mergeCell ref="A6:P6"/>
    <mergeCell ref="D45:P45"/>
    <mergeCell ref="D46:P46"/>
    <mergeCell ref="D47:P47"/>
    <mergeCell ref="D48:P48"/>
    <mergeCell ref="D49:P49"/>
    <mergeCell ref="D50:P50"/>
    <mergeCell ref="D39:P39"/>
    <mergeCell ref="D40:P40"/>
    <mergeCell ref="D41:P41"/>
    <mergeCell ref="D42:P42"/>
    <mergeCell ref="D43:P43"/>
    <mergeCell ref="D44:P44"/>
    <mergeCell ref="B56:P56"/>
    <mergeCell ref="B57:C57"/>
    <mergeCell ref="B58:C58"/>
    <mergeCell ref="B59:C64"/>
    <mergeCell ref="K57:P57"/>
    <mergeCell ref="K58:P58"/>
    <mergeCell ref="B65:C65"/>
    <mergeCell ref="D57:J57"/>
    <mergeCell ref="D58:J58"/>
    <mergeCell ref="D59:J59"/>
    <mergeCell ref="D60:J60"/>
    <mergeCell ref="D61:J61"/>
    <mergeCell ref="D62:J62"/>
    <mergeCell ref="D63:J63"/>
    <mergeCell ref="D64:J64"/>
    <mergeCell ref="D65:J65"/>
    <mergeCell ref="K65:P65"/>
    <mergeCell ref="K59:P59"/>
    <mergeCell ref="K60:P60"/>
    <mergeCell ref="K61:P61"/>
    <mergeCell ref="K62:P62"/>
    <mergeCell ref="K63:P63"/>
    <mergeCell ref="K64:P64"/>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dimension ref="A1:AN156"/>
  <sheetViews>
    <sheetView zoomScale="85" zoomScaleNormal="85" workbookViewId="0">
      <selection activeCell="H1" sqref="H1"/>
    </sheetView>
  </sheetViews>
  <sheetFormatPr defaultColWidth="13.7109375" defaultRowHeight="12.75" x14ac:dyDescent="0.2"/>
  <cols>
    <col min="1" max="1" width="10.7109375" style="6" customWidth="1"/>
    <col min="2" max="2" width="16.140625" style="6" bestFit="1" customWidth="1"/>
    <col min="3" max="3" width="13.7109375" style="6"/>
    <col min="4" max="4" width="42" style="6" bestFit="1" customWidth="1"/>
    <col min="5" max="7" width="13.7109375" style="6"/>
    <col min="8" max="8" width="23.7109375" style="6" customWidth="1"/>
    <col min="9" max="9" width="19.7109375" style="6" customWidth="1"/>
    <col min="10" max="10" width="11.85546875" style="6" customWidth="1"/>
    <col min="11" max="11" width="13.7109375" style="6"/>
    <col min="12" max="12" width="12.28515625" style="6" bestFit="1" customWidth="1"/>
    <col min="13" max="13" width="16.28515625" style="6" bestFit="1" customWidth="1"/>
    <col min="14" max="14" width="13.42578125" style="6" customWidth="1"/>
    <col min="15" max="15" width="13.7109375" style="6"/>
    <col min="16" max="16" width="13.7109375" style="9"/>
    <col min="17" max="17" width="12.28515625" style="6" bestFit="1" customWidth="1"/>
    <col min="18" max="18" width="16.28515625" style="6" bestFit="1" customWidth="1"/>
    <col min="19" max="19" width="13.42578125" style="6" customWidth="1"/>
    <col min="20" max="21" width="13.7109375" style="6"/>
    <col min="22" max="22" width="13.7109375" style="10"/>
    <col min="23" max="23" width="15" style="10" bestFit="1" customWidth="1"/>
    <col min="24" max="24" width="10.28515625" style="10" customWidth="1"/>
    <col min="25" max="25" width="11" style="10" customWidth="1"/>
    <col min="26" max="26" width="12" style="10" customWidth="1"/>
    <col min="27" max="27" width="17.42578125" style="10" customWidth="1"/>
    <col min="28" max="32" width="13.7109375" style="10"/>
    <col min="33" max="16384" width="13.7109375" style="6"/>
  </cols>
  <sheetData>
    <row r="1" spans="1:40" ht="35.25" thickBot="1" x14ac:dyDescent="0.5">
      <c r="A1" s="84" t="s">
        <v>29</v>
      </c>
      <c r="C1" s="564" t="s">
        <v>250</v>
      </c>
      <c r="D1" s="565"/>
      <c r="H1" s="320" t="s">
        <v>205</v>
      </c>
      <c r="I1" s="321" t="s">
        <v>112</v>
      </c>
    </row>
    <row r="2" spans="1:40" ht="35.25" thickBot="1" x14ac:dyDescent="0.25">
      <c r="A2" s="7" t="s">
        <v>109</v>
      </c>
      <c r="C2" s="564"/>
      <c r="D2" s="565"/>
      <c r="I2" s="8" t="s">
        <v>71</v>
      </c>
    </row>
    <row r="3" spans="1:40" ht="13.5" thickBot="1" x14ac:dyDescent="0.25">
      <c r="B3" s="569" t="s">
        <v>31</v>
      </c>
      <c r="C3" s="570"/>
      <c r="D3" s="570"/>
      <c r="E3" s="570"/>
      <c r="F3" s="571"/>
      <c r="H3" s="11"/>
      <c r="I3" s="11"/>
      <c r="J3" s="11"/>
      <c r="K3" s="11"/>
      <c r="L3" s="11"/>
      <c r="M3" s="11"/>
      <c r="N3" s="11"/>
      <c r="O3" s="11"/>
      <c r="P3" s="11"/>
      <c r="Q3" s="11"/>
      <c r="R3" s="11"/>
      <c r="S3" s="11"/>
      <c r="T3" s="11"/>
      <c r="U3" s="11"/>
      <c r="V3" s="12"/>
      <c r="W3" s="13"/>
      <c r="X3" s="13"/>
      <c r="Y3" s="13"/>
      <c r="Z3" s="13"/>
      <c r="AA3" s="13"/>
      <c r="AB3" s="13"/>
      <c r="AC3" s="13"/>
      <c r="AD3" s="13"/>
      <c r="AE3" s="13"/>
      <c r="AF3" s="14"/>
      <c r="AG3" s="15"/>
      <c r="AH3" s="15"/>
      <c r="AI3" s="15"/>
      <c r="AJ3" s="15"/>
      <c r="AK3" s="15"/>
      <c r="AL3" s="15"/>
      <c r="AM3" s="15"/>
      <c r="AN3" s="15"/>
    </row>
    <row r="4" spans="1:40" ht="13.5" thickBot="1" x14ac:dyDescent="0.25">
      <c r="H4" s="566" t="s">
        <v>63</v>
      </c>
      <c r="I4" s="567"/>
      <c r="J4" s="567"/>
      <c r="K4" s="568"/>
      <c r="M4" s="566" t="str">
        <f>IF(N6="","","Segunda diluição da amostra")</f>
        <v>Segunda diluição da amostra</v>
      </c>
      <c r="N4" s="567"/>
      <c r="O4" s="567"/>
      <c r="P4" s="568"/>
      <c r="R4" s="566" t="str">
        <f>IF(S6="","","Terceira diluição da amostra")</f>
        <v/>
      </c>
      <c r="S4" s="567"/>
      <c r="T4" s="567"/>
      <c r="U4" s="568"/>
      <c r="V4" s="12"/>
      <c r="W4" s="16"/>
      <c r="X4" s="17"/>
      <c r="Y4" s="18"/>
      <c r="Z4" s="14"/>
      <c r="AA4" s="14"/>
      <c r="AB4" s="14"/>
      <c r="AC4" s="14"/>
      <c r="AD4" s="14"/>
      <c r="AE4" s="14"/>
      <c r="AF4" s="14"/>
      <c r="AG4" s="15"/>
      <c r="AH4" s="15"/>
      <c r="AI4" s="15"/>
      <c r="AJ4" s="15"/>
      <c r="AK4" s="15"/>
      <c r="AL4" s="15"/>
      <c r="AM4" s="15"/>
      <c r="AN4" s="15"/>
    </row>
    <row r="5" spans="1:40" ht="13.5" thickBot="1" x14ac:dyDescent="0.25">
      <c r="J5" s="19"/>
      <c r="N5" s="20"/>
      <c r="O5" s="19"/>
      <c r="P5" s="6"/>
      <c r="S5" s="20"/>
      <c r="V5" s="21"/>
      <c r="W5" s="16"/>
      <c r="X5" s="17"/>
      <c r="Y5" s="16"/>
      <c r="Z5" s="16"/>
      <c r="AA5" s="14"/>
      <c r="AB5" s="14"/>
      <c r="AC5" s="14"/>
      <c r="AD5" s="14"/>
      <c r="AE5" s="14"/>
      <c r="AF5" s="14"/>
      <c r="AG5" s="15"/>
      <c r="AH5" s="15"/>
      <c r="AI5" s="15"/>
      <c r="AJ5" s="15"/>
      <c r="AK5" s="15"/>
      <c r="AL5" s="15"/>
      <c r="AM5" s="15"/>
      <c r="AN5" s="15"/>
    </row>
    <row r="6" spans="1:40" ht="13.5" thickBot="1" x14ac:dyDescent="0.25">
      <c r="B6" s="566" t="s">
        <v>56</v>
      </c>
      <c r="C6" s="567"/>
      <c r="D6" s="567"/>
      <c r="E6" s="567"/>
      <c r="F6" s="568"/>
      <c r="H6" s="22" t="s">
        <v>60</v>
      </c>
      <c r="I6" s="2" t="s">
        <v>244</v>
      </c>
      <c r="J6" s="23" t="str">
        <f>IF(I6="","","Massa")</f>
        <v>Massa</v>
      </c>
      <c r="K6" s="6" t="str">
        <f>IF(I6="","","Fdiluição")</f>
        <v>Fdiluição</v>
      </c>
      <c r="M6" s="22" t="str">
        <f>IF(K7="","","Amostra")</f>
        <v>Amostra</v>
      </c>
      <c r="N6" s="24" t="str">
        <f>IF(K7="","",I6)</f>
        <v>AMA</v>
      </c>
      <c r="O6" s="23" t="str">
        <f>IF(N6="","","Massa")</f>
        <v>Massa</v>
      </c>
      <c r="P6" s="6" t="str">
        <f>IF(N6="","","Fdiluição")</f>
        <v>Fdiluição</v>
      </c>
      <c r="R6" s="22" t="str">
        <f>IF(P7="","","Amostra")</f>
        <v/>
      </c>
      <c r="S6" s="24" t="str">
        <f>IF(P7="","",N6)</f>
        <v/>
      </c>
      <c r="T6" s="23" t="str">
        <f>IF(S6="","","Massa")</f>
        <v/>
      </c>
      <c r="U6" s="6" t="str">
        <f>IF(S6="","","Fdiluição")</f>
        <v/>
      </c>
      <c r="V6" s="21"/>
      <c r="W6" s="16"/>
      <c r="X6" s="17"/>
      <c r="Y6" s="14"/>
      <c r="Z6" s="16"/>
      <c r="AA6" s="14"/>
      <c r="AB6" s="14"/>
      <c r="AC6" s="14"/>
      <c r="AD6" s="14"/>
      <c r="AE6" s="14"/>
      <c r="AF6" s="14"/>
      <c r="AG6" s="15"/>
      <c r="AH6" s="15"/>
      <c r="AI6" s="15"/>
      <c r="AJ6" s="15"/>
      <c r="AK6" s="15"/>
      <c r="AL6" s="15"/>
      <c r="AM6" s="15"/>
      <c r="AN6" s="15"/>
    </row>
    <row r="7" spans="1:40" x14ac:dyDescent="0.2">
      <c r="B7" s="25" t="s">
        <v>57</v>
      </c>
      <c r="C7" s="80">
        <v>15.090310000000001</v>
      </c>
      <c r="D7" s="26"/>
      <c r="E7" s="26"/>
      <c r="F7" s="26"/>
      <c r="H7" s="27" t="str">
        <f>IF(I6="","","Frasco(g)")</f>
        <v>Frasco(g)</v>
      </c>
      <c r="I7" s="5">
        <v>12.129099999999999</v>
      </c>
      <c r="J7" s="23" t="str">
        <f>IF(I6="","","gramas")</f>
        <v>gramas</v>
      </c>
      <c r="K7" s="28">
        <f>IFERROR(J9/J8,"")</f>
        <v>166.77597124200273</v>
      </c>
      <c r="L7" s="19"/>
      <c r="M7" s="27" t="str">
        <f>IF(N6="","","Frasco")</f>
        <v>Frasco</v>
      </c>
      <c r="N7" s="5"/>
      <c r="O7" s="23" t="str">
        <f>IF(N6="","","gramas")</f>
        <v>gramas</v>
      </c>
      <c r="P7" s="28" t="str">
        <f>IFERROR(O9/O8,"")</f>
        <v/>
      </c>
      <c r="Q7" s="19"/>
      <c r="R7" s="27" t="str">
        <f>IF(S6="","","Frasco")</f>
        <v/>
      </c>
      <c r="S7" s="5"/>
      <c r="T7" s="23" t="str">
        <f>IF(S6="","","gramas")</f>
        <v/>
      </c>
      <c r="U7" s="28" t="str">
        <f>IFERROR(T9/T8,"")</f>
        <v/>
      </c>
      <c r="V7" s="21"/>
      <c r="W7" s="16"/>
      <c r="X7" s="14"/>
      <c r="Y7" s="14"/>
      <c r="Z7" s="14"/>
      <c r="AA7" s="14"/>
      <c r="AB7" s="14"/>
      <c r="AC7" s="14"/>
      <c r="AD7" s="14"/>
      <c r="AE7" s="14"/>
      <c r="AF7" s="14"/>
      <c r="AG7" s="15"/>
      <c r="AH7" s="15"/>
      <c r="AI7" s="15"/>
      <c r="AJ7" s="15"/>
      <c r="AK7" s="15"/>
      <c r="AL7" s="15"/>
      <c r="AM7" s="15"/>
      <c r="AN7" s="15"/>
    </row>
    <row r="8" spans="1:40" ht="15" x14ac:dyDescent="0.25">
      <c r="B8" s="29" t="s">
        <v>59</v>
      </c>
      <c r="C8" s="81">
        <v>15.752509999999999</v>
      </c>
      <c r="D8" s="30" t="s">
        <v>40</v>
      </c>
      <c r="E8" s="31">
        <f>C8-C7</f>
        <v>0.66219999999999857</v>
      </c>
      <c r="F8" s="30" t="s">
        <v>24</v>
      </c>
      <c r="H8" s="27" t="str">
        <f>IF(I6="","","Frasco + Amostra (g)")</f>
        <v>Frasco + Amostra (g)</v>
      </c>
      <c r="I8" s="285">
        <v>12.432319999999999</v>
      </c>
      <c r="J8" s="23">
        <f>IF(I7="","",I8-I7)</f>
        <v>0.3032199999999996</v>
      </c>
      <c r="K8" s="19" t="str">
        <f>IF(I6="","","Amostra")</f>
        <v>Amostra</v>
      </c>
      <c r="L8" s="28"/>
      <c r="M8" s="27" t="str">
        <f>IF(N6="","","Frasco + Amostra")</f>
        <v>Frasco + Amostra</v>
      </c>
      <c r="N8" s="5"/>
      <c r="O8" s="23" t="str">
        <f>IF(N7="","",N8-N7)</f>
        <v/>
      </c>
      <c r="P8" s="19" t="str">
        <f>IF(N6="","","Amostra")</f>
        <v>Amostra</v>
      </c>
      <c r="Q8" s="28"/>
      <c r="R8" s="27" t="str">
        <f>IF(S6="","","Frasco + Amostra")</f>
        <v/>
      </c>
      <c r="S8" s="5"/>
      <c r="T8" s="23" t="str">
        <f>IF(S7="","",S8-S7)</f>
        <v/>
      </c>
      <c r="U8" s="19" t="str">
        <f>IF(S6="","","Amostra")</f>
        <v/>
      </c>
      <c r="V8" s="21"/>
      <c r="W8" s="14"/>
      <c r="X8" s="32"/>
      <c r="Y8" s="14"/>
      <c r="Z8" s="14"/>
      <c r="AA8" s="14"/>
      <c r="AB8" s="14"/>
      <c r="AC8" s="32"/>
      <c r="AD8" s="14"/>
      <c r="AE8" s="14"/>
      <c r="AF8" s="14"/>
      <c r="AG8" s="15"/>
      <c r="AH8" s="32"/>
      <c r="AI8" s="15"/>
      <c r="AJ8" s="15"/>
      <c r="AK8" s="15"/>
      <c r="AL8" s="15"/>
      <c r="AM8" s="15"/>
      <c r="AN8" s="15"/>
    </row>
    <row r="9" spans="1:40" ht="15" x14ac:dyDescent="0.25">
      <c r="B9" s="33" t="s">
        <v>58</v>
      </c>
      <c r="C9" s="81">
        <v>64.923810000000003</v>
      </c>
      <c r="D9" s="30" t="s">
        <v>75</v>
      </c>
      <c r="E9" s="31">
        <f>C9-C7</f>
        <v>49.833500000000001</v>
      </c>
      <c r="F9" s="30" t="s">
        <v>24</v>
      </c>
      <c r="H9" s="34" t="str">
        <f>IF(I6="","","Massa final (g)")</f>
        <v>Massa final (g)</v>
      </c>
      <c r="I9" s="285">
        <v>62.698909999999998</v>
      </c>
      <c r="J9" s="23">
        <f>IF(I7="","",I9-I7)</f>
        <v>50.569809999999997</v>
      </c>
      <c r="K9" s="19" t="str">
        <f>IF(I6="","","Solução")</f>
        <v>Solução</v>
      </c>
      <c r="L9" s="19"/>
      <c r="M9" s="34" t="str">
        <f>IF(N6="","","Massa final")</f>
        <v>Massa final</v>
      </c>
      <c r="N9" s="5"/>
      <c r="O9" s="23" t="str">
        <f>IF(N7="","",N9-N7)</f>
        <v/>
      </c>
      <c r="P9" s="19" t="str">
        <f>IF(N6="","","Solução")</f>
        <v>Solução</v>
      </c>
      <c r="Q9" s="19"/>
      <c r="R9" s="34" t="str">
        <f>IF(S6="","","Massa final")</f>
        <v/>
      </c>
      <c r="S9" s="5"/>
      <c r="T9" s="23" t="str">
        <f>IF(S7="","",S9-S7)</f>
        <v/>
      </c>
      <c r="U9" s="19" t="str">
        <f>IF(S6="","","Solução")</f>
        <v/>
      </c>
      <c r="V9" s="21"/>
      <c r="W9" s="14"/>
      <c r="X9" s="14"/>
      <c r="Y9" s="14"/>
      <c r="Z9" s="14"/>
      <c r="AA9" s="14"/>
      <c r="AB9" s="14"/>
      <c r="AC9" s="14"/>
      <c r="AD9" s="14"/>
      <c r="AE9" s="14"/>
      <c r="AF9" s="14"/>
      <c r="AG9" s="15"/>
      <c r="AH9" s="15"/>
      <c r="AI9" s="15"/>
      <c r="AJ9" s="15"/>
      <c r="AK9" s="15"/>
      <c r="AL9" s="15"/>
      <c r="AM9" s="15"/>
      <c r="AN9" s="15"/>
    </row>
    <row r="10" spans="1:40" ht="13.5" thickBot="1" x14ac:dyDescent="0.25">
      <c r="B10" s="35"/>
      <c r="C10" s="36"/>
      <c r="D10" s="37"/>
      <c r="E10" s="15"/>
      <c r="F10" s="15"/>
      <c r="I10" s="19"/>
      <c r="J10" s="23"/>
      <c r="N10" s="19"/>
      <c r="O10" s="23"/>
      <c r="P10" s="6"/>
      <c r="S10" s="19"/>
      <c r="T10" s="23"/>
      <c r="V10" s="12"/>
      <c r="W10" s="14"/>
      <c r="X10" s="37"/>
      <c r="Y10" s="17"/>
      <c r="Z10" s="17"/>
      <c r="AA10" s="17"/>
      <c r="AB10" s="14"/>
      <c r="AC10" s="37"/>
      <c r="AD10" s="17"/>
      <c r="AE10" s="17"/>
      <c r="AF10" s="14"/>
      <c r="AG10" s="15"/>
      <c r="AH10" s="38"/>
      <c r="AI10" s="17"/>
      <c r="AJ10" s="17"/>
      <c r="AK10" s="15"/>
      <c r="AL10" s="15"/>
      <c r="AM10" s="15"/>
      <c r="AN10" s="15"/>
    </row>
    <row r="11" spans="1:40" ht="13.5" thickBot="1" x14ac:dyDescent="0.25">
      <c r="B11" s="566" t="s">
        <v>52</v>
      </c>
      <c r="C11" s="567"/>
      <c r="D11" s="567"/>
      <c r="E11" s="567"/>
      <c r="F11" s="568"/>
      <c r="H11" s="22" t="str">
        <f>IF(I6="","","Amostra")</f>
        <v>Amostra</v>
      </c>
      <c r="I11" s="2" t="s">
        <v>245</v>
      </c>
      <c r="J11" s="23" t="str">
        <f>IF(I11="","","Massa")</f>
        <v>Massa</v>
      </c>
      <c r="K11" s="6" t="str">
        <f>IF(I11="","","Fdiluição")</f>
        <v>Fdiluição</v>
      </c>
      <c r="M11" s="22" t="str">
        <f>IF(K12="","","Amostra")</f>
        <v>Amostra</v>
      </c>
      <c r="N11" s="24" t="str">
        <f>IF(K12="","",I11)</f>
        <v>AMB</v>
      </c>
      <c r="O11" s="23" t="str">
        <f>IF(N11="","","Massa")</f>
        <v>Massa</v>
      </c>
      <c r="P11" s="6" t="str">
        <f>IF(N11="","","Fdiluição")</f>
        <v>Fdiluição</v>
      </c>
      <c r="R11" s="22" t="str">
        <f>IF(P12="","","Amostra")</f>
        <v/>
      </c>
      <c r="S11" s="24" t="str">
        <f>IF(P12="","",N11)</f>
        <v/>
      </c>
      <c r="T11" s="23" t="str">
        <f>IF(S11="","","Massa")</f>
        <v/>
      </c>
      <c r="U11" s="6" t="str">
        <f>IF(S11="","","Fdiluição")</f>
        <v/>
      </c>
      <c r="V11" s="12"/>
      <c r="W11" s="39"/>
      <c r="X11" s="37"/>
      <c r="Y11" s="40"/>
      <c r="Z11" s="41"/>
      <c r="AA11" s="41"/>
      <c r="AB11" s="39"/>
      <c r="AC11" s="37"/>
      <c r="AD11" s="40"/>
      <c r="AE11" s="41"/>
      <c r="AF11" s="14"/>
      <c r="AG11" s="42"/>
      <c r="AH11" s="38"/>
      <c r="AI11" s="40"/>
      <c r="AJ11" s="41"/>
      <c r="AK11" s="15"/>
      <c r="AL11" s="15"/>
      <c r="AM11" s="15"/>
      <c r="AN11" s="15"/>
    </row>
    <row r="12" spans="1:40" x14ac:dyDescent="0.2">
      <c r="B12" s="25" t="s">
        <v>57</v>
      </c>
      <c r="C12" s="5">
        <v>14.895020000000001</v>
      </c>
      <c r="D12" s="26"/>
      <c r="E12" s="26"/>
      <c r="F12" s="26"/>
      <c r="H12" s="27" t="str">
        <f>IF(I11="","","Frasco(g)")</f>
        <v>Frasco(g)</v>
      </c>
      <c r="I12" s="305">
        <v>12.33863</v>
      </c>
      <c r="J12" s="23" t="str">
        <f>IF(I11="","","gramas")</f>
        <v>gramas</v>
      </c>
      <c r="K12" s="28">
        <f>IFERROR(J14/J13,"")</f>
        <v>167.89543204922532</v>
      </c>
      <c r="L12" s="19"/>
      <c r="M12" s="27" t="str">
        <f>IF(N11="","","Frasco")</f>
        <v>Frasco</v>
      </c>
      <c r="N12" s="5"/>
      <c r="O12" s="23" t="str">
        <f>IF(N11="","","gramas")</f>
        <v>gramas</v>
      </c>
      <c r="P12" s="28" t="str">
        <f>IFERROR(O14/O13,"")</f>
        <v/>
      </c>
      <c r="Q12" s="19"/>
      <c r="R12" s="27" t="str">
        <f>IF(S11="","","Frasco")</f>
        <v/>
      </c>
      <c r="S12" s="5"/>
      <c r="T12" s="23" t="str">
        <f>IF(S11="","","gramas")</f>
        <v/>
      </c>
      <c r="U12" s="28" t="str">
        <f>IFERROR(T14/T13,"")</f>
        <v/>
      </c>
      <c r="V12" s="12"/>
      <c r="W12" s="35"/>
      <c r="X12" s="37"/>
      <c r="Y12" s="40"/>
      <c r="Z12" s="17"/>
      <c r="AA12" s="17"/>
      <c r="AB12" s="35"/>
      <c r="AC12" s="37"/>
      <c r="AD12" s="40"/>
      <c r="AE12" s="17"/>
      <c r="AF12" s="14"/>
      <c r="AG12" s="35"/>
      <c r="AH12" s="38"/>
      <c r="AI12" s="40"/>
      <c r="AJ12" s="17"/>
      <c r="AK12" s="15"/>
      <c r="AL12" s="15"/>
      <c r="AM12" s="15"/>
      <c r="AN12" s="15"/>
    </row>
    <row r="13" spans="1:40" ht="15" x14ac:dyDescent="0.25">
      <c r="A13" s="43"/>
      <c r="B13" s="29" t="s">
        <v>59</v>
      </c>
      <c r="C13" s="5">
        <f>15.82726-15.62753+C12</f>
        <v>15.094750000000001</v>
      </c>
      <c r="D13" s="30" t="s">
        <v>44</v>
      </c>
      <c r="E13" s="31">
        <f>C13-C12</f>
        <v>0.19973000000000063</v>
      </c>
      <c r="F13" s="30" t="s">
        <v>24</v>
      </c>
      <c r="H13" s="27" t="str">
        <f>IF(I11="","","Frasco + Amostra (g)")</f>
        <v>Frasco + Amostra (g)</v>
      </c>
      <c r="I13" s="285">
        <v>12.637669999999998</v>
      </c>
      <c r="J13" s="23">
        <f>IF(I12="","",I13-I12)</f>
        <v>0.29903999999999797</v>
      </c>
      <c r="K13" s="19" t="str">
        <f>IF(I11="","","Amostra")</f>
        <v>Amostra</v>
      </c>
      <c r="L13" s="28"/>
      <c r="M13" s="27" t="str">
        <f>IF(N11="","","Frasco + Amostra")</f>
        <v>Frasco + Amostra</v>
      </c>
      <c r="N13" s="5"/>
      <c r="O13" s="23" t="str">
        <f>IF(N12="","",N13-N12)</f>
        <v/>
      </c>
      <c r="P13" s="19" t="str">
        <f>IF(N11="","","Amostra")</f>
        <v>Amostra</v>
      </c>
      <c r="Q13" s="28"/>
      <c r="R13" s="27" t="str">
        <f>IF(S11="","","Frasco + Amostra")</f>
        <v/>
      </c>
      <c r="S13" s="5"/>
      <c r="T13" s="23" t="str">
        <f>IF(S12="","",S13-S12)</f>
        <v/>
      </c>
      <c r="U13" s="19" t="str">
        <f>IF(S11="","","Amostra")</f>
        <v/>
      </c>
      <c r="V13" s="21"/>
      <c r="W13" s="14"/>
      <c r="X13" s="14"/>
      <c r="Y13" s="44"/>
      <c r="Z13" s="45"/>
      <c r="AA13" s="46"/>
      <c r="AB13" s="14"/>
      <c r="AC13" s="45"/>
      <c r="AD13" s="14"/>
      <c r="AE13" s="14"/>
      <c r="AF13" s="14"/>
      <c r="AG13" s="15"/>
      <c r="AH13" s="47"/>
      <c r="AI13" s="15"/>
      <c r="AJ13" s="15"/>
      <c r="AK13" s="15"/>
      <c r="AL13" s="15"/>
      <c r="AM13" s="15"/>
      <c r="AN13" s="15"/>
    </row>
    <row r="14" spans="1:40" x14ac:dyDescent="0.2">
      <c r="A14" s="43"/>
      <c r="B14" s="33" t="s">
        <v>58</v>
      </c>
      <c r="C14" s="5">
        <v>65.826120000000003</v>
      </c>
      <c r="D14" s="30" t="s">
        <v>45</v>
      </c>
      <c r="E14" s="31">
        <f>C14-C12</f>
        <v>50.931100000000001</v>
      </c>
      <c r="F14" s="30" t="s">
        <v>24</v>
      </c>
      <c r="H14" s="34" t="str">
        <f>IF(I11="","","Massa final (g)")</f>
        <v>Massa final (g)</v>
      </c>
      <c r="I14" s="5">
        <v>62.546080000000003</v>
      </c>
      <c r="J14" s="23">
        <f>IF(I12="","",I14-I12)</f>
        <v>50.207450000000001</v>
      </c>
      <c r="K14" s="19" t="str">
        <f>IF(I11="","","Solução")</f>
        <v>Solução</v>
      </c>
      <c r="L14" s="19"/>
      <c r="M14" s="34" t="str">
        <f>IF(N11="","","Massa final")</f>
        <v>Massa final</v>
      </c>
      <c r="N14" s="5"/>
      <c r="O14" s="23" t="str">
        <f>IF(N12="","",N14-N12)</f>
        <v/>
      </c>
      <c r="P14" s="19" t="str">
        <f>IF(N11="","","Solução")</f>
        <v>Solução</v>
      </c>
      <c r="Q14" s="19"/>
      <c r="R14" s="34" t="str">
        <f>IF(S11="","","Massa final")</f>
        <v/>
      </c>
      <c r="S14" s="5"/>
      <c r="T14" s="23" t="str">
        <f>IF(S12="","",S14-S12)</f>
        <v/>
      </c>
      <c r="U14" s="19" t="str">
        <f>IF(S11="","","Solução")</f>
        <v/>
      </c>
      <c r="V14" s="21"/>
      <c r="W14" s="14"/>
      <c r="X14" s="16"/>
      <c r="Y14" s="44"/>
      <c r="Z14" s="45"/>
      <c r="AA14" s="46"/>
      <c r="AB14" s="14"/>
      <c r="AC14" s="48"/>
      <c r="AD14" s="14"/>
      <c r="AE14" s="14"/>
      <c r="AF14" s="14"/>
      <c r="AG14" s="15"/>
      <c r="AH14" s="49"/>
      <c r="AI14" s="15"/>
      <c r="AJ14" s="15"/>
      <c r="AK14" s="15"/>
      <c r="AL14" s="15"/>
      <c r="AM14" s="15"/>
      <c r="AN14" s="15"/>
    </row>
    <row r="15" spans="1:40" ht="16.5" thickBot="1" x14ac:dyDescent="0.3">
      <c r="A15" s="43"/>
      <c r="B15" s="50"/>
      <c r="C15" s="51"/>
      <c r="D15" s="15"/>
      <c r="E15" s="37"/>
      <c r="F15" s="15"/>
      <c r="I15" s="19"/>
      <c r="J15" s="43"/>
      <c r="N15" s="19"/>
      <c r="O15" s="23"/>
      <c r="P15" s="6"/>
      <c r="S15" s="19"/>
      <c r="T15" s="23"/>
      <c r="V15" s="21"/>
      <c r="W15" s="14"/>
      <c r="X15" s="14"/>
      <c r="Y15" s="44"/>
      <c r="Z15" s="45"/>
      <c r="AA15" s="46"/>
      <c r="AB15" s="14"/>
      <c r="AC15" s="45"/>
      <c r="AD15" s="14"/>
      <c r="AE15" s="14"/>
      <c r="AF15" s="14"/>
      <c r="AG15" s="15"/>
      <c r="AH15" s="15"/>
      <c r="AI15" s="15"/>
      <c r="AJ15" s="15"/>
      <c r="AK15" s="15"/>
      <c r="AL15" s="15"/>
      <c r="AM15" s="15"/>
      <c r="AN15" s="15"/>
    </row>
    <row r="16" spans="1:40" ht="13.5" thickBot="1" x14ac:dyDescent="0.25">
      <c r="A16" s="43"/>
      <c r="B16" s="566" t="s">
        <v>74</v>
      </c>
      <c r="C16" s="567"/>
      <c r="D16" s="567"/>
      <c r="E16" s="567"/>
      <c r="F16" s="568"/>
      <c r="H16" s="22" t="str">
        <f>IF(I11="","","Amostra")</f>
        <v>Amostra</v>
      </c>
      <c r="I16" s="2" t="s">
        <v>247</v>
      </c>
      <c r="J16" s="23" t="str">
        <f>IF(I16="","","Massa")</f>
        <v>Massa</v>
      </c>
      <c r="K16" s="6" t="str">
        <f>IF(I16="","","Fdiluição")</f>
        <v>Fdiluição</v>
      </c>
      <c r="M16" s="22" t="str">
        <f>IF(K17="","","Amostra")</f>
        <v>Amostra</v>
      </c>
      <c r="N16" s="24" t="str">
        <f>IF(K17="","",I16)</f>
        <v>CCQM K158A</v>
      </c>
      <c r="O16" s="23" t="str">
        <f>IF(N16="","","Massa")</f>
        <v>Massa</v>
      </c>
      <c r="P16" s="6" t="str">
        <f>IF(N16="","","Fdiluição")</f>
        <v>Fdiluição</v>
      </c>
      <c r="R16" s="22" t="str">
        <f>IF(P17="","","Amostra")</f>
        <v/>
      </c>
      <c r="S16" s="24" t="str">
        <f>IF(P17="","",N16)</f>
        <v/>
      </c>
      <c r="T16" s="23" t="str">
        <f>IF(S16="","","Massa")</f>
        <v/>
      </c>
      <c r="U16" s="6" t="str">
        <f>IF(S16="","","Fdiluição")</f>
        <v/>
      </c>
      <c r="V16" s="21"/>
      <c r="W16" s="13"/>
      <c r="X16" s="13"/>
      <c r="Y16" s="13"/>
      <c r="Z16" s="13"/>
      <c r="AA16" s="13"/>
      <c r="AB16" s="13"/>
      <c r="AC16" s="13"/>
      <c r="AD16" s="13"/>
      <c r="AE16" s="13"/>
      <c r="AF16" s="14"/>
      <c r="AG16" s="15"/>
      <c r="AH16" s="15"/>
      <c r="AI16" s="15"/>
      <c r="AJ16" s="15"/>
      <c r="AK16" s="15"/>
      <c r="AL16" s="15"/>
      <c r="AM16" s="15"/>
      <c r="AN16" s="15"/>
    </row>
    <row r="17" spans="1:40" x14ac:dyDescent="0.2">
      <c r="A17" s="43"/>
      <c r="B17" s="25" t="s">
        <v>57</v>
      </c>
      <c r="C17" s="80"/>
      <c r="D17" s="26"/>
      <c r="E17" s="26"/>
      <c r="F17" s="26"/>
      <c r="H17" s="27" t="str">
        <f>IF(I16="","","Frasco")</f>
        <v>Frasco</v>
      </c>
      <c r="I17" s="5">
        <v>12.22677</v>
      </c>
      <c r="J17" s="23" t="str">
        <f>IF(I16="","","gramas")</f>
        <v>gramas</v>
      </c>
      <c r="K17" s="28">
        <f>IFERROR(J19/J18,"")</f>
        <v>169.47646276595808</v>
      </c>
      <c r="L17" s="19"/>
      <c r="M17" s="27" t="str">
        <f>IF(N16="","","Frasco")</f>
        <v>Frasco</v>
      </c>
      <c r="N17" s="5"/>
      <c r="O17" s="23" t="str">
        <f>IF(N16="","","gramas")</f>
        <v>gramas</v>
      </c>
      <c r="P17" s="28" t="str">
        <f>IFERROR(O19/O18,"")</f>
        <v/>
      </c>
      <c r="Q17" s="19"/>
      <c r="R17" s="27" t="str">
        <f>IF(S16="","","Frasco")</f>
        <v/>
      </c>
      <c r="S17" s="5"/>
      <c r="T17" s="23" t="str">
        <f>IF(S16="","","gramas")</f>
        <v/>
      </c>
      <c r="U17" s="28" t="str">
        <f>IFERROR(T19/T18,"")</f>
        <v/>
      </c>
      <c r="V17" s="21"/>
      <c r="W17" s="16"/>
      <c r="X17" s="17"/>
      <c r="Y17" s="52"/>
      <c r="Z17" s="14"/>
      <c r="AA17" s="46"/>
      <c r="AB17" s="14"/>
      <c r="AC17" s="45"/>
      <c r="AD17" s="14"/>
      <c r="AE17" s="14"/>
      <c r="AF17" s="14"/>
      <c r="AG17" s="15"/>
      <c r="AH17" s="15"/>
      <c r="AI17" s="15"/>
      <c r="AJ17" s="15"/>
      <c r="AK17" s="15"/>
      <c r="AL17" s="15"/>
      <c r="AM17" s="15"/>
      <c r="AN17" s="15"/>
    </row>
    <row r="18" spans="1:40" x14ac:dyDescent="0.2">
      <c r="A18" s="43"/>
      <c r="B18" s="29" t="s">
        <v>59</v>
      </c>
      <c r="C18" s="81"/>
      <c r="D18" s="30" t="s">
        <v>76</v>
      </c>
      <c r="E18" s="31">
        <f>C18-C17</f>
        <v>0</v>
      </c>
      <c r="F18" s="30" t="s">
        <v>24</v>
      </c>
      <c r="H18" s="27" t="str">
        <f>IF(I16="","","Frasco + Amostra")</f>
        <v>Frasco + Amostra</v>
      </c>
      <c r="I18" s="5">
        <v>12.527569999999999</v>
      </c>
      <c r="J18" s="23">
        <f>IF(I17="","",I18-I17)</f>
        <v>0.30079999999999885</v>
      </c>
      <c r="K18" s="19" t="str">
        <f>IF(I16="","","Amostra")</f>
        <v>Amostra</v>
      </c>
      <c r="L18" s="28"/>
      <c r="M18" s="27" t="str">
        <f>IF(N16="","","Frasco + Amostra")</f>
        <v>Frasco + Amostra</v>
      </c>
      <c r="N18" s="5"/>
      <c r="O18" s="23" t="str">
        <f>IF(N17="","",N18-N17)</f>
        <v/>
      </c>
      <c r="P18" s="19" t="str">
        <f>IF(N16="","","Amostra")</f>
        <v>Amostra</v>
      </c>
      <c r="Q18" s="28"/>
      <c r="R18" s="27" t="str">
        <f>IF(S16="","","Frasco + Amostra")</f>
        <v/>
      </c>
      <c r="S18" s="5"/>
      <c r="T18" s="23" t="str">
        <f>IF(S17="","",S18-S17)</f>
        <v/>
      </c>
      <c r="U18" s="19" t="str">
        <f>IF(S16="","","Amostra")</f>
        <v/>
      </c>
      <c r="W18" s="16"/>
      <c r="X18" s="17"/>
      <c r="Y18" s="14"/>
      <c r="Z18" s="16"/>
      <c r="AA18" s="53"/>
      <c r="AB18" s="17"/>
      <c r="AC18" s="17"/>
      <c r="AD18" s="14"/>
      <c r="AE18" s="14"/>
      <c r="AF18" s="14"/>
      <c r="AG18" s="15"/>
      <c r="AH18" s="15"/>
      <c r="AI18" s="15"/>
      <c r="AJ18" s="15"/>
      <c r="AK18" s="15"/>
      <c r="AL18" s="15"/>
      <c r="AM18" s="15"/>
      <c r="AN18" s="15"/>
    </row>
    <row r="19" spans="1:40" x14ac:dyDescent="0.2">
      <c r="A19" s="43"/>
      <c r="B19" s="33" t="s">
        <v>58</v>
      </c>
      <c r="C19" s="81"/>
      <c r="D19" s="30" t="s">
        <v>77</v>
      </c>
      <c r="E19" s="31">
        <f>C19-C17</f>
        <v>0</v>
      </c>
      <c r="F19" s="30" t="s">
        <v>24</v>
      </c>
      <c r="H19" s="34" t="str">
        <f>IF(I16="","","Massa final")</f>
        <v>Massa final</v>
      </c>
      <c r="I19" s="5">
        <v>63.205289999999998</v>
      </c>
      <c r="J19" s="23">
        <f>IF(I17="","",I19-I17)</f>
        <v>50.978519999999996</v>
      </c>
      <c r="K19" s="19" t="str">
        <f>IF(I16="","","Solução")</f>
        <v>Solução</v>
      </c>
      <c r="L19" s="19"/>
      <c r="M19" s="34" t="str">
        <f>IF(N16="","","Massa final")</f>
        <v>Massa final</v>
      </c>
      <c r="N19" s="5"/>
      <c r="O19" s="23" t="str">
        <f>IF(N17="","",N19-N17)</f>
        <v/>
      </c>
      <c r="P19" s="19" t="str">
        <f>IF(N16="","","Solução")</f>
        <v>Solução</v>
      </c>
      <c r="Q19" s="19"/>
      <c r="R19" s="34" t="str">
        <f>IF(S16="","","Massa final")</f>
        <v/>
      </c>
      <c r="S19" s="5"/>
      <c r="T19" s="23" t="str">
        <f>IF(S17="","",S19-S17)</f>
        <v/>
      </c>
      <c r="U19" s="19" t="str">
        <f>IF(S16="","","Solução")</f>
        <v/>
      </c>
      <c r="W19" s="16"/>
      <c r="X19" s="17"/>
      <c r="Y19" s="14"/>
      <c r="Z19" s="16"/>
      <c r="AA19" s="54"/>
      <c r="AB19" s="14"/>
      <c r="AC19" s="14"/>
      <c r="AD19" s="14"/>
      <c r="AE19" s="14"/>
      <c r="AF19" s="14"/>
      <c r="AG19" s="15"/>
      <c r="AH19" s="15"/>
      <c r="AI19" s="15"/>
      <c r="AJ19" s="15"/>
      <c r="AK19" s="15"/>
      <c r="AL19" s="15"/>
      <c r="AM19" s="15"/>
      <c r="AN19" s="15"/>
    </row>
    <row r="20" spans="1:40" ht="13.5" thickBot="1" x14ac:dyDescent="0.25">
      <c r="A20" s="43"/>
      <c r="B20" s="15"/>
      <c r="C20" s="15"/>
      <c r="D20" s="15"/>
      <c r="E20" s="15"/>
      <c r="F20" s="15"/>
      <c r="I20" s="19"/>
      <c r="J20" s="43"/>
      <c r="N20" s="19"/>
      <c r="O20" s="23"/>
      <c r="P20" s="6"/>
      <c r="S20" s="19"/>
      <c r="T20" s="23"/>
      <c r="W20" s="16"/>
      <c r="X20" s="17"/>
      <c r="Y20" s="14"/>
      <c r="Z20" s="14"/>
      <c r="AA20" s="54"/>
      <c r="AB20" s="14"/>
      <c r="AC20" s="14"/>
      <c r="AD20" s="14"/>
      <c r="AE20" s="14"/>
      <c r="AF20" s="14"/>
      <c r="AG20" s="15"/>
      <c r="AH20" s="15"/>
      <c r="AI20" s="15"/>
      <c r="AJ20" s="15"/>
      <c r="AK20" s="15"/>
      <c r="AL20" s="15"/>
      <c r="AM20" s="15"/>
      <c r="AN20" s="15"/>
    </row>
    <row r="21" spans="1:40" ht="13.5" thickBot="1" x14ac:dyDescent="0.25">
      <c r="A21" s="43"/>
      <c r="B21" s="566" t="s">
        <v>32</v>
      </c>
      <c r="C21" s="567"/>
      <c r="D21" s="567"/>
      <c r="E21" s="567"/>
      <c r="F21" s="568"/>
      <c r="H21" s="22" t="str">
        <f>IF(I16="","","Amostra")</f>
        <v>Amostra</v>
      </c>
      <c r="I21" s="2" t="s">
        <v>246</v>
      </c>
      <c r="J21" s="23" t="str">
        <f>IF(I21="","","Massa")</f>
        <v>Massa</v>
      </c>
      <c r="K21" s="6" t="str">
        <f>IF(I21="","","Fdiluição")</f>
        <v>Fdiluição</v>
      </c>
      <c r="M21" s="22" t="str">
        <f>IF(K22="","","Amostra")</f>
        <v>Amostra</v>
      </c>
      <c r="N21" s="24" t="str">
        <f>IF(K22="","",I21)</f>
        <v>CCQM K158B</v>
      </c>
      <c r="O21" s="23" t="str">
        <f>IF(N21="","","Massa")</f>
        <v>Massa</v>
      </c>
      <c r="P21" s="6" t="str">
        <f>IF(N21="","","Fdiluição")</f>
        <v>Fdiluição</v>
      </c>
      <c r="R21" s="22" t="str">
        <f>IF(P22="","","Amostra")</f>
        <v/>
      </c>
      <c r="S21" s="24" t="str">
        <f>IF(P22="","",N21)</f>
        <v/>
      </c>
      <c r="T21" s="23" t="str">
        <f>IF(S21="","","Massa")</f>
        <v/>
      </c>
      <c r="U21" s="6" t="str">
        <f>IF(S21="","","Fdiluição")</f>
        <v/>
      </c>
      <c r="W21" s="14"/>
      <c r="X21" s="32"/>
      <c r="Y21" s="14"/>
      <c r="Z21" s="14"/>
      <c r="AA21" s="14"/>
      <c r="AB21" s="14"/>
      <c r="AC21" s="32"/>
      <c r="AD21" s="14"/>
      <c r="AE21" s="14"/>
      <c r="AF21" s="14"/>
      <c r="AG21" s="15"/>
      <c r="AH21" s="32"/>
      <c r="AI21" s="15"/>
      <c r="AJ21" s="15"/>
      <c r="AK21" s="15"/>
      <c r="AL21" s="15"/>
      <c r="AM21" s="15"/>
      <c r="AN21" s="15"/>
    </row>
    <row r="22" spans="1:40" x14ac:dyDescent="0.2">
      <c r="A22" s="43"/>
      <c r="B22" s="25" t="s">
        <v>57</v>
      </c>
      <c r="C22" s="80">
        <v>14.409879999999999</v>
      </c>
      <c r="D22" s="26"/>
      <c r="E22" s="26"/>
      <c r="F22" s="26"/>
      <c r="H22" s="27" t="str">
        <f>IF(I21="","","Frasco")</f>
        <v>Frasco</v>
      </c>
      <c r="I22" s="5">
        <v>12.3378</v>
      </c>
      <c r="J22" s="23" t="str">
        <f>IF(I21="","","gramas")</f>
        <v>gramas</v>
      </c>
      <c r="K22" s="28">
        <f>IFERROR(J24/J23,"")</f>
        <v>167.92079273767283</v>
      </c>
      <c r="L22" s="19"/>
      <c r="M22" s="27" t="str">
        <f>IF(N21="","","Frasco")</f>
        <v>Frasco</v>
      </c>
      <c r="N22" s="5"/>
      <c r="O22" s="23" t="str">
        <f>IF(N21="","","gramas")</f>
        <v>gramas</v>
      </c>
      <c r="P22" s="28" t="str">
        <f>IFERROR(O24/O23,"")</f>
        <v/>
      </c>
      <c r="Q22" s="19"/>
      <c r="R22" s="27" t="str">
        <f>IF(S21="","","Frasco")</f>
        <v/>
      </c>
      <c r="S22" s="5"/>
      <c r="T22" s="23" t="str">
        <f>IF(S21="","","gramas")</f>
        <v/>
      </c>
      <c r="U22" s="28" t="str">
        <f>IFERROR(T24/T23,"")</f>
        <v/>
      </c>
      <c r="W22" s="14"/>
      <c r="X22" s="14"/>
      <c r="Y22" s="14"/>
      <c r="Z22" s="14"/>
      <c r="AA22" s="14"/>
      <c r="AB22" s="14"/>
      <c r="AC22" s="14"/>
      <c r="AD22" s="14"/>
      <c r="AE22" s="14"/>
      <c r="AF22" s="14"/>
      <c r="AG22" s="15"/>
      <c r="AH22" s="15"/>
      <c r="AI22" s="15"/>
      <c r="AJ22" s="15"/>
      <c r="AK22" s="15"/>
      <c r="AL22" s="15"/>
      <c r="AM22" s="15"/>
      <c r="AN22" s="15"/>
    </row>
    <row r="23" spans="1:40" x14ac:dyDescent="0.2">
      <c r="A23" s="43"/>
      <c r="B23" s="29" t="s">
        <v>59</v>
      </c>
      <c r="C23" s="81">
        <v>14.89512</v>
      </c>
      <c r="D23" s="298" t="s">
        <v>138</v>
      </c>
      <c r="E23" s="31">
        <f>C23-C22</f>
        <v>0.485240000000001</v>
      </c>
      <c r="F23" s="30" t="s">
        <v>24</v>
      </c>
      <c r="H23" s="27" t="str">
        <f>IF(I21="","","Frasco + Amostra")</f>
        <v>Frasco + Amostra</v>
      </c>
      <c r="I23" s="5">
        <v>12.638529999999998</v>
      </c>
      <c r="J23" s="23">
        <f>IF(I22="","",I23-I22)</f>
        <v>0.30072999999999794</v>
      </c>
      <c r="K23" s="19" t="str">
        <f>IF(I21="","","Amostra")</f>
        <v>Amostra</v>
      </c>
      <c r="L23" s="28"/>
      <c r="M23" s="27" t="str">
        <f>IF(N21="","","Frasco + Amostra")</f>
        <v>Frasco + Amostra</v>
      </c>
      <c r="N23" s="5"/>
      <c r="O23" s="23" t="str">
        <f>IF(N22="","",N23-N22)</f>
        <v/>
      </c>
      <c r="P23" s="19" t="str">
        <f>IF(N21="","","Amostra")</f>
        <v>Amostra</v>
      </c>
      <c r="Q23" s="28"/>
      <c r="R23" s="27" t="str">
        <f>IF(S21="","","Frasco + Amostra")</f>
        <v/>
      </c>
      <c r="S23" s="5"/>
      <c r="T23" s="23" t="str">
        <f>IF(S22="","",S23-S22)</f>
        <v/>
      </c>
      <c r="U23" s="19" t="str">
        <f>IF(S21="","","Amostra")</f>
        <v/>
      </c>
      <c r="W23" s="14"/>
      <c r="X23" s="37"/>
      <c r="Y23" s="17"/>
      <c r="Z23" s="17"/>
      <c r="AA23" s="17"/>
      <c r="AB23" s="14"/>
      <c r="AC23" s="37"/>
      <c r="AD23" s="17"/>
      <c r="AE23" s="17"/>
      <c r="AF23" s="14"/>
      <c r="AG23" s="15"/>
      <c r="AH23" s="38"/>
      <c r="AI23" s="17"/>
      <c r="AJ23" s="17"/>
      <c r="AK23" s="15"/>
      <c r="AL23" s="15"/>
      <c r="AM23" s="15"/>
      <c r="AN23" s="15"/>
    </row>
    <row r="24" spans="1:40" x14ac:dyDescent="0.2">
      <c r="A24" s="43"/>
      <c r="B24" s="33" t="s">
        <v>58</v>
      </c>
      <c r="C24" s="81">
        <v>64.400229999999993</v>
      </c>
      <c r="D24" s="30" t="s">
        <v>55</v>
      </c>
      <c r="E24" s="31">
        <f>C24-C22</f>
        <v>49.990349999999992</v>
      </c>
      <c r="F24" s="30" t="s">
        <v>24</v>
      </c>
      <c r="H24" s="34" t="str">
        <f>IF(I21="","","Massa final")</f>
        <v>Massa final</v>
      </c>
      <c r="I24" s="5">
        <v>62.836620000000003</v>
      </c>
      <c r="J24" s="23">
        <f>IF(I22="","",I24-I22)</f>
        <v>50.498820000000002</v>
      </c>
      <c r="K24" s="19" t="str">
        <f>IF(I21="","","Solução")</f>
        <v>Solução</v>
      </c>
      <c r="L24" s="19"/>
      <c r="M24" s="34" t="str">
        <f>IF(N21="","","Massa final")</f>
        <v>Massa final</v>
      </c>
      <c r="N24" s="5"/>
      <c r="O24" s="23" t="str">
        <f>IF(N22="","",N24-N22)</f>
        <v/>
      </c>
      <c r="P24" s="19" t="str">
        <f>IF(N21="","","Solução")</f>
        <v>Solução</v>
      </c>
      <c r="Q24" s="19"/>
      <c r="R24" s="34" t="str">
        <f>IF(S21="","","Massa final")</f>
        <v/>
      </c>
      <c r="S24" s="5"/>
      <c r="T24" s="23" t="str">
        <f>IF(S22="","",S24-S22)</f>
        <v/>
      </c>
      <c r="U24" s="19" t="str">
        <f>IF(S21="","","Solução")</f>
        <v/>
      </c>
      <c r="W24" s="39"/>
      <c r="X24" s="36"/>
      <c r="Y24" s="40"/>
      <c r="Z24" s="41"/>
      <c r="AA24" s="41"/>
      <c r="AB24" s="39"/>
      <c r="AC24" s="37"/>
      <c r="AD24" s="40"/>
      <c r="AE24" s="41"/>
      <c r="AF24" s="14"/>
      <c r="AG24" s="42"/>
      <c r="AH24" s="38"/>
      <c r="AI24" s="40"/>
      <c r="AJ24" s="41"/>
      <c r="AK24" s="15"/>
      <c r="AL24" s="15"/>
      <c r="AM24" s="15"/>
      <c r="AN24" s="15"/>
    </row>
    <row r="25" spans="1:40" ht="13.5" thickBot="1" x14ac:dyDescent="0.25">
      <c r="A25" s="43"/>
      <c r="B25" s="15"/>
      <c r="C25" s="15"/>
      <c r="D25" s="15"/>
      <c r="E25" s="15"/>
      <c r="F25" s="15"/>
      <c r="H25" s="17"/>
      <c r="I25" s="19"/>
      <c r="J25" s="17"/>
      <c r="K25" s="17"/>
      <c r="L25" s="17"/>
      <c r="N25" s="19"/>
      <c r="O25" s="23"/>
      <c r="P25" s="6"/>
      <c r="S25" s="19"/>
      <c r="T25" s="23"/>
      <c r="W25" s="35"/>
      <c r="X25" s="37"/>
      <c r="Y25" s="40"/>
      <c r="Z25" s="17"/>
      <c r="AA25" s="17"/>
      <c r="AB25" s="35"/>
      <c r="AC25" s="37"/>
      <c r="AD25" s="40"/>
      <c r="AE25" s="17"/>
      <c r="AF25" s="14"/>
      <c r="AG25" s="35"/>
      <c r="AH25" s="38"/>
      <c r="AI25" s="40"/>
      <c r="AJ25" s="17"/>
      <c r="AK25" s="15"/>
      <c r="AL25" s="15"/>
      <c r="AM25" s="15"/>
      <c r="AN25" s="15"/>
    </row>
    <row r="26" spans="1:40" ht="13.5" thickBot="1" x14ac:dyDescent="0.25">
      <c r="A26" s="43"/>
      <c r="B26" s="566" t="s">
        <v>33</v>
      </c>
      <c r="C26" s="567"/>
      <c r="D26" s="567"/>
      <c r="E26" s="567"/>
      <c r="F26" s="568"/>
      <c r="H26" s="22" t="str">
        <f>IF(I21="","","Amostra")</f>
        <v>Amostra</v>
      </c>
      <c r="I26" s="306" t="s">
        <v>248</v>
      </c>
      <c r="J26" s="23" t="str">
        <f>IF(I26="","","Massa")</f>
        <v>Massa</v>
      </c>
      <c r="K26" s="6" t="str">
        <f>IF(I26="","","Fdiluição")</f>
        <v>Fdiluição</v>
      </c>
      <c r="M26" s="22" t="str">
        <f>IF(K27="","","Amostra")</f>
        <v>Amostra</v>
      </c>
      <c r="N26" s="24" t="str">
        <f>IF(K27="","",I26)</f>
        <v>CCQM K56A</v>
      </c>
      <c r="O26" s="23" t="str">
        <f>IF(N26="","","Massa")</f>
        <v>Massa</v>
      </c>
      <c r="P26" s="6" t="str">
        <f>IF(N26="","","Fdiluição")</f>
        <v>Fdiluição</v>
      </c>
      <c r="R26" s="22" t="str">
        <f>IF(P27="","","Amostra")</f>
        <v/>
      </c>
      <c r="S26" s="24" t="str">
        <f>IF(P27="","",N26)</f>
        <v/>
      </c>
      <c r="T26" s="23" t="str">
        <f>IF(S26="","","Massa")</f>
        <v/>
      </c>
      <c r="U26" s="6" t="str">
        <f>IF(S26="","","Fdiluição")</f>
        <v/>
      </c>
      <c r="W26" s="14"/>
      <c r="X26" s="14"/>
      <c r="Y26" s="44"/>
      <c r="Z26" s="45"/>
      <c r="AA26" s="46"/>
      <c r="AB26" s="14"/>
      <c r="AC26" s="45"/>
      <c r="AD26" s="14"/>
      <c r="AE26" s="14"/>
      <c r="AF26" s="14"/>
      <c r="AG26" s="15"/>
      <c r="AH26" s="47"/>
      <c r="AI26" s="15"/>
      <c r="AJ26" s="15"/>
      <c r="AK26" s="15"/>
      <c r="AL26" s="15"/>
      <c r="AM26" s="15"/>
      <c r="AN26" s="15"/>
    </row>
    <row r="27" spans="1:40" ht="12.75" customHeight="1" x14ac:dyDescent="0.2">
      <c r="A27" s="43"/>
      <c r="B27" s="25" t="s">
        <v>57</v>
      </c>
      <c r="C27" s="82">
        <v>14.48699</v>
      </c>
      <c r="D27" s="26"/>
      <c r="E27" s="26"/>
      <c r="F27" s="26"/>
      <c r="H27" s="27" t="str">
        <f>IF(I26="","","Frasco")</f>
        <v>Frasco</v>
      </c>
      <c r="I27" s="5">
        <v>12.341010000000001</v>
      </c>
      <c r="J27" s="23" t="str">
        <f>IF(I26="","","gramas")</f>
        <v>gramas</v>
      </c>
      <c r="K27" s="28">
        <f>IFERROR(J29/J28,"")</f>
        <v>165.42541345456848</v>
      </c>
      <c r="M27" s="27" t="str">
        <f>IF(N26="","","Frasco")</f>
        <v>Frasco</v>
      </c>
      <c r="N27" s="5"/>
      <c r="O27" s="23" t="str">
        <f>IF(N26="","","gramas")</f>
        <v>gramas</v>
      </c>
      <c r="P27" s="28" t="str">
        <f>IFERROR(O29/O28,"")</f>
        <v/>
      </c>
      <c r="Q27" s="19"/>
      <c r="R27" s="27" t="str">
        <f>IF(S26="","","Frasco")</f>
        <v/>
      </c>
      <c r="S27" s="5"/>
      <c r="T27" s="23" t="str">
        <f>IF(S26="","","gramas")</f>
        <v/>
      </c>
      <c r="U27" s="28" t="str">
        <f>IFERROR(T29/T28,"")</f>
        <v/>
      </c>
      <c r="W27" s="14"/>
      <c r="X27" s="16"/>
      <c r="Y27" s="44"/>
      <c r="Z27" s="45"/>
      <c r="AA27" s="46"/>
      <c r="AB27" s="14"/>
      <c r="AC27" s="48"/>
      <c r="AD27" s="14"/>
      <c r="AE27" s="14"/>
      <c r="AF27" s="14"/>
      <c r="AG27" s="15"/>
      <c r="AH27" s="49"/>
      <c r="AI27" s="15"/>
      <c r="AJ27" s="15"/>
      <c r="AK27" s="15"/>
      <c r="AL27" s="15"/>
      <c r="AM27" s="15"/>
      <c r="AN27" s="15"/>
    </row>
    <row r="28" spans="1:40" ht="12.75" customHeight="1" x14ac:dyDescent="0.2">
      <c r="A28" s="43"/>
      <c r="B28" s="29" t="s">
        <v>59</v>
      </c>
      <c r="C28" s="83">
        <v>15.22354</v>
      </c>
      <c r="D28" s="298" t="s">
        <v>139</v>
      </c>
      <c r="E28" s="31">
        <f>C28-C27</f>
        <v>0.73654999999999937</v>
      </c>
      <c r="F28" s="30" t="s">
        <v>24</v>
      </c>
      <c r="H28" s="27" t="str">
        <f>IF(I26="","","Frasco + Amostra")</f>
        <v>Frasco + Amostra</v>
      </c>
      <c r="I28" s="5">
        <v>12.644550000000002</v>
      </c>
      <c r="J28" s="23">
        <f>IF(I27="","",I28-I27)</f>
        <v>0.3035400000000017</v>
      </c>
      <c r="K28" s="19" t="str">
        <f>IF(I26="","","Amostra")</f>
        <v>Amostra</v>
      </c>
      <c r="M28" s="27" t="str">
        <f>IF(N26="","","Frasco + Amostra")</f>
        <v>Frasco + Amostra</v>
      </c>
      <c r="N28" s="5"/>
      <c r="O28" s="23" t="str">
        <f>IF(N27="","",N28-N27)</f>
        <v/>
      </c>
      <c r="P28" s="19" t="str">
        <f>IF(N26="","","Amostra")</f>
        <v>Amostra</v>
      </c>
      <c r="Q28" s="28"/>
      <c r="R28" s="27" t="str">
        <f>IF(S26="","","Frasco + Amostra")</f>
        <v/>
      </c>
      <c r="S28" s="5"/>
      <c r="T28" s="23" t="str">
        <f>IF(S27="","",S28-S27)</f>
        <v/>
      </c>
      <c r="U28" s="19" t="str">
        <f>IF(S26="","","Amostra")</f>
        <v/>
      </c>
      <c r="W28" s="14"/>
      <c r="X28" s="14"/>
      <c r="Y28" s="14"/>
      <c r="Z28" s="14"/>
      <c r="AA28" s="14"/>
      <c r="AB28" s="14"/>
      <c r="AC28" s="14"/>
      <c r="AD28" s="14"/>
      <c r="AE28" s="14"/>
      <c r="AF28" s="14"/>
      <c r="AG28" s="15"/>
      <c r="AH28" s="15"/>
      <c r="AI28" s="15"/>
      <c r="AJ28" s="15"/>
      <c r="AK28" s="15"/>
      <c r="AL28" s="15"/>
      <c r="AM28" s="15"/>
      <c r="AN28" s="15"/>
    </row>
    <row r="29" spans="1:40" x14ac:dyDescent="0.2">
      <c r="A29" s="43"/>
      <c r="B29" s="33" t="s">
        <v>58</v>
      </c>
      <c r="C29" s="82">
        <v>64.422179999999997</v>
      </c>
      <c r="D29" s="30" t="s">
        <v>151</v>
      </c>
      <c r="E29" s="31">
        <f>C29-C27</f>
        <v>49.935189999999999</v>
      </c>
      <c r="F29" s="30" t="s">
        <v>24</v>
      </c>
      <c r="H29" s="34" t="str">
        <f>IF(I26="","","Massa final")</f>
        <v>Massa final</v>
      </c>
      <c r="I29" s="5">
        <v>62.55424</v>
      </c>
      <c r="J29" s="23">
        <f>IF(I27="","",I29-I27)</f>
        <v>50.213229999999996</v>
      </c>
      <c r="K29" s="19" t="str">
        <f>IF(I26="","","Solução")</f>
        <v>Solução</v>
      </c>
      <c r="M29" s="34" t="str">
        <f>IF(N26="","","Massa final")</f>
        <v>Massa final</v>
      </c>
      <c r="N29" s="5"/>
      <c r="O29" s="23" t="str">
        <f>IF(N27="","",N29-N27)</f>
        <v/>
      </c>
      <c r="P29" s="19" t="str">
        <f>IF(N26="","","Solução")</f>
        <v>Solução</v>
      </c>
      <c r="Q29" s="19"/>
      <c r="R29" s="34" t="str">
        <f>IF(S26="","","Massa final")</f>
        <v/>
      </c>
      <c r="S29" s="5"/>
      <c r="T29" s="23" t="str">
        <f>IF(S27="","",S29-S27)</f>
        <v/>
      </c>
      <c r="U29" s="19" t="str">
        <f>IF(S26="","","Solução")</f>
        <v/>
      </c>
      <c r="W29" s="14"/>
      <c r="X29" s="14"/>
      <c r="Y29" s="14"/>
      <c r="Z29" s="14"/>
      <c r="AA29" s="14"/>
      <c r="AB29" s="14"/>
      <c r="AC29" s="14"/>
      <c r="AD29" s="14"/>
      <c r="AE29" s="14"/>
      <c r="AF29" s="14"/>
      <c r="AG29" s="15"/>
      <c r="AH29" s="15"/>
      <c r="AI29" s="15"/>
      <c r="AJ29" s="15"/>
      <c r="AK29" s="15"/>
      <c r="AL29" s="15"/>
      <c r="AM29" s="15"/>
      <c r="AN29" s="15"/>
    </row>
    <row r="30" spans="1:40" ht="13.5" thickBot="1" x14ac:dyDescent="0.25">
      <c r="A30" s="43"/>
      <c r="B30" s="15"/>
      <c r="C30" s="15"/>
      <c r="D30" s="15"/>
      <c r="E30" s="55"/>
      <c r="F30" s="15"/>
      <c r="I30" s="19"/>
      <c r="J30" s="23"/>
      <c r="N30" s="19"/>
      <c r="O30" s="23"/>
      <c r="P30" s="6"/>
      <c r="S30" s="19"/>
      <c r="T30" s="23"/>
      <c r="V30" s="17"/>
      <c r="W30" s="14"/>
      <c r="X30" s="14"/>
      <c r="Y30" s="14"/>
      <c r="Z30" s="14"/>
      <c r="AA30" s="14"/>
      <c r="AB30" s="56"/>
      <c r="AC30" s="14"/>
      <c r="AD30" s="14"/>
      <c r="AE30" s="14"/>
      <c r="AF30" s="14"/>
      <c r="AG30" s="15"/>
      <c r="AH30" s="15"/>
      <c r="AI30" s="15"/>
      <c r="AJ30" s="15"/>
      <c r="AK30" s="15"/>
      <c r="AL30" s="15"/>
      <c r="AM30" s="15"/>
      <c r="AN30" s="15"/>
    </row>
    <row r="31" spans="1:40" ht="13.5" thickBot="1" x14ac:dyDescent="0.25">
      <c r="A31" s="43"/>
      <c r="B31" s="566" t="s">
        <v>34</v>
      </c>
      <c r="C31" s="567"/>
      <c r="D31" s="567"/>
      <c r="E31" s="567"/>
      <c r="F31" s="568"/>
      <c r="H31" s="22" t="str">
        <f>IF(I26="","","Amostra")</f>
        <v>Amostra</v>
      </c>
      <c r="I31" s="306" t="s">
        <v>249</v>
      </c>
      <c r="J31" s="23" t="str">
        <f>IF(I31="","","Massa")</f>
        <v>Massa</v>
      </c>
      <c r="K31" s="6" t="str">
        <f>IF(I31="","","Fdiluição")</f>
        <v>Fdiluição</v>
      </c>
      <c r="M31" s="22" t="str">
        <f>IF(K32="","","Amostra")</f>
        <v>Amostra</v>
      </c>
      <c r="N31" s="24" t="str">
        <f>IF(K32="","",I31)</f>
        <v>CCQMK56B</v>
      </c>
      <c r="O31" s="23" t="str">
        <f>IF(N31="","","Massa")</f>
        <v>Massa</v>
      </c>
      <c r="P31" s="6" t="str">
        <f>IF(N31="","","Fdiluição")</f>
        <v>Fdiluição</v>
      </c>
      <c r="R31" s="22" t="str">
        <f>IF(P32="","","Amostra")</f>
        <v/>
      </c>
      <c r="S31" s="24" t="str">
        <f>IF(P32="","",N31)</f>
        <v/>
      </c>
      <c r="T31" s="23" t="str">
        <f>IF(S31="","","Massa")</f>
        <v/>
      </c>
      <c r="U31" s="6" t="str">
        <f>IF(S31="","","Fdiluição")</f>
        <v/>
      </c>
      <c r="V31" s="57"/>
      <c r="W31" s="14"/>
      <c r="X31" s="14"/>
      <c r="Y31" s="14"/>
      <c r="Z31" s="14"/>
      <c r="AA31" s="14"/>
      <c r="AB31" s="56"/>
      <c r="AC31" s="14"/>
      <c r="AD31" s="14"/>
      <c r="AE31" s="14"/>
      <c r="AF31" s="14"/>
      <c r="AG31" s="15"/>
      <c r="AH31" s="15"/>
      <c r="AI31" s="15"/>
      <c r="AJ31" s="15"/>
      <c r="AK31" s="15"/>
      <c r="AL31" s="15"/>
      <c r="AM31" s="15"/>
      <c r="AN31" s="15"/>
    </row>
    <row r="32" spans="1:40" x14ac:dyDescent="0.2">
      <c r="A32" s="43"/>
      <c r="B32" s="25" t="s">
        <v>57</v>
      </c>
      <c r="C32" s="82">
        <v>14.6252</v>
      </c>
      <c r="D32" s="26"/>
      <c r="E32" s="58"/>
      <c r="F32" s="26"/>
      <c r="H32" s="27" t="str">
        <f>IF(I31="","","Frasco")</f>
        <v>Frasco</v>
      </c>
      <c r="I32" s="5">
        <v>12.318059999999999</v>
      </c>
      <c r="J32" s="23" t="str">
        <f>IF(I31="","","gramas")</f>
        <v>gramas</v>
      </c>
      <c r="K32" s="28">
        <f>IFERROR(J34/J33,"")</f>
        <v>166.95674014342919</v>
      </c>
      <c r="M32" s="27" t="str">
        <f>IF(N31="","","Frasco")</f>
        <v>Frasco</v>
      </c>
      <c r="N32" s="5"/>
      <c r="O32" s="23" t="str">
        <f>IF(N31="","","gramas")</f>
        <v>gramas</v>
      </c>
      <c r="P32" s="28" t="str">
        <f>IFERROR(O34/O33,"")</f>
        <v/>
      </c>
      <c r="Q32" s="19"/>
      <c r="R32" s="27" t="str">
        <f>IF(S31="","","Frasco")</f>
        <v/>
      </c>
      <c r="S32" s="5"/>
      <c r="T32" s="23" t="str">
        <f>IF(S31="","","gramas")</f>
        <v/>
      </c>
      <c r="U32" s="28" t="str">
        <f>IFERROR(T34/T33,"")</f>
        <v/>
      </c>
      <c r="V32" s="12"/>
      <c r="W32" s="14"/>
      <c r="X32" s="13"/>
      <c r="Y32" s="13"/>
      <c r="Z32" s="13"/>
      <c r="AA32" s="13"/>
      <c r="AB32" s="13"/>
      <c r="AC32" s="14"/>
      <c r="AD32" s="14"/>
      <c r="AE32" s="14"/>
      <c r="AF32" s="14"/>
      <c r="AG32" s="15"/>
      <c r="AH32" s="15"/>
      <c r="AI32" s="15"/>
      <c r="AJ32" s="15"/>
      <c r="AK32" s="15"/>
      <c r="AL32" s="15"/>
      <c r="AM32" s="15"/>
      <c r="AN32" s="15"/>
    </row>
    <row r="33" spans="1:40" s="15" customFormat="1" x14ac:dyDescent="0.2">
      <c r="A33" s="43"/>
      <c r="B33" s="29" t="s">
        <v>59</v>
      </c>
      <c r="C33" s="82">
        <v>15.53373</v>
      </c>
      <c r="D33" s="298" t="s">
        <v>140</v>
      </c>
      <c r="E33" s="31">
        <f>C33-C32</f>
        <v>0.90853000000000073</v>
      </c>
      <c r="F33" s="30" t="s">
        <v>24</v>
      </c>
      <c r="H33" s="27" t="str">
        <f>IF(I31="","","Frasco + Amostra")</f>
        <v>Frasco + Amostra</v>
      </c>
      <c r="I33" s="5">
        <v>12.620649999999998</v>
      </c>
      <c r="J33" s="23">
        <f>IF(I32="","",I33-I32)</f>
        <v>0.30258999999999858</v>
      </c>
      <c r="K33" s="19" t="str">
        <f>IF(I31="","","Amostra")</f>
        <v>Amostra</v>
      </c>
      <c r="M33" s="27" t="str">
        <f>IF(N31="","","Frasco + Amostra")</f>
        <v>Frasco + Amostra</v>
      </c>
      <c r="N33" s="5"/>
      <c r="O33" s="23" t="str">
        <f>IF(N32="","",N33-N32)</f>
        <v/>
      </c>
      <c r="P33" s="19" t="str">
        <f>IF(N31="","","Amostra")</f>
        <v>Amostra</v>
      </c>
      <c r="Q33" s="28"/>
      <c r="R33" s="27" t="str">
        <f>IF(S31="","","Frasco + Amostra")</f>
        <v/>
      </c>
      <c r="S33" s="5"/>
      <c r="T33" s="23" t="str">
        <f>IF(S32="","",S33-S32)</f>
        <v/>
      </c>
      <c r="U33" s="19" t="str">
        <f>IF(S31="","","Amostra")</f>
        <v/>
      </c>
      <c r="V33" s="12"/>
      <c r="W33" s="14"/>
      <c r="X33" s="17"/>
      <c r="Y33" s="14"/>
      <c r="Z33" s="14"/>
      <c r="AA33" s="14"/>
      <c r="AB33" s="56"/>
      <c r="AC33" s="14"/>
      <c r="AD33" s="14"/>
      <c r="AE33" s="14"/>
      <c r="AF33" s="14"/>
    </row>
    <row r="34" spans="1:40" s="15" customFormat="1" x14ac:dyDescent="0.2">
      <c r="A34" s="43"/>
      <c r="B34" s="33" t="s">
        <v>58</v>
      </c>
      <c r="C34" s="82">
        <v>64.591970000000003</v>
      </c>
      <c r="D34" s="30" t="s">
        <v>152</v>
      </c>
      <c r="E34" s="31">
        <f>C34-C32</f>
        <v>49.966770000000004</v>
      </c>
      <c r="F34" s="30" t="s">
        <v>24</v>
      </c>
      <c r="H34" s="34" t="str">
        <f>IF(I31="","","Massa final")</f>
        <v>Massa final</v>
      </c>
      <c r="I34" s="5">
        <v>62.837499999999999</v>
      </c>
      <c r="J34" s="23">
        <f>IF(I32="","",I34-I32)</f>
        <v>50.519440000000003</v>
      </c>
      <c r="K34" s="19" t="str">
        <f>IF(I31="","","Solução")</f>
        <v>Solução</v>
      </c>
      <c r="M34" s="34" t="str">
        <f>IF(N31="","","Massa final")</f>
        <v>Massa final</v>
      </c>
      <c r="N34" s="5"/>
      <c r="O34" s="23" t="str">
        <f>IF(N32="","",N34-N32)</f>
        <v/>
      </c>
      <c r="P34" s="19" t="str">
        <f>IF(N31="","","Solução")</f>
        <v>Solução</v>
      </c>
      <c r="Q34" s="19"/>
      <c r="R34" s="34" t="str">
        <f>IF(S31="","","Massa final")</f>
        <v/>
      </c>
      <c r="S34" s="5"/>
      <c r="T34" s="23" t="str">
        <f>IF(S32="","",S34-S32)</f>
        <v/>
      </c>
      <c r="U34" s="19" t="str">
        <f>IF(S31="","","Solução")</f>
        <v/>
      </c>
      <c r="V34" s="12"/>
      <c r="W34" s="14"/>
      <c r="X34" s="17"/>
      <c r="Y34" s="59"/>
      <c r="Z34" s="53"/>
      <c r="AA34" s="59"/>
      <c r="AB34" s="14"/>
      <c r="AC34" s="14"/>
      <c r="AD34" s="14"/>
      <c r="AE34" s="14"/>
      <c r="AF34" s="14"/>
    </row>
    <row r="35" spans="1:40" s="15" customFormat="1" ht="13.5" thickBot="1" x14ac:dyDescent="0.25">
      <c r="A35" s="43"/>
      <c r="E35" s="55"/>
      <c r="I35" s="19"/>
      <c r="J35" s="43"/>
      <c r="K35" s="6"/>
      <c r="M35" s="6"/>
      <c r="N35" s="19"/>
      <c r="O35" s="23"/>
      <c r="P35" s="6"/>
      <c r="Q35" s="6"/>
      <c r="R35" s="6"/>
      <c r="S35" s="19"/>
      <c r="T35" s="23"/>
      <c r="U35" s="6"/>
      <c r="V35" s="12"/>
      <c r="W35" s="14"/>
      <c r="X35" s="17"/>
      <c r="Y35" s="60"/>
      <c r="Z35" s="14"/>
      <c r="AA35" s="60"/>
      <c r="AB35" s="14"/>
      <c r="AC35" s="56"/>
      <c r="AD35" s="14"/>
      <c r="AE35" s="56"/>
      <c r="AF35" s="14"/>
      <c r="AG35" s="61"/>
      <c r="AI35" s="61"/>
    </row>
    <row r="36" spans="1:40" s="15" customFormat="1" ht="13.5" thickBot="1" x14ac:dyDescent="0.25">
      <c r="A36" s="43"/>
      <c r="B36" s="566" t="s">
        <v>35</v>
      </c>
      <c r="C36" s="567"/>
      <c r="D36" s="567"/>
      <c r="E36" s="567"/>
      <c r="F36" s="568"/>
      <c r="H36" s="22" t="str">
        <f>IF(I31="","","Amostra")</f>
        <v>Amostra</v>
      </c>
      <c r="I36" s="306"/>
      <c r="J36" s="23" t="str">
        <f>IF(I36="","","Massa")</f>
        <v/>
      </c>
      <c r="K36" s="6" t="str">
        <f>IF(I36="","","Fdiluição")</f>
        <v/>
      </c>
      <c r="M36" s="22" t="str">
        <f>IF(K37="","","Amostra")</f>
        <v/>
      </c>
      <c r="N36" s="24" t="str">
        <f>IF(K37="","",I36)</f>
        <v/>
      </c>
      <c r="O36" s="23" t="str">
        <f>IF(N36="","","Massa")</f>
        <v/>
      </c>
      <c r="P36" s="6" t="str">
        <f>IF(N36="","","Fdiluição")</f>
        <v/>
      </c>
      <c r="Q36" s="6"/>
      <c r="R36" s="22" t="str">
        <f>IF(P37="","","Amostra")</f>
        <v/>
      </c>
      <c r="S36" s="24" t="str">
        <f>IF(P37="","",N36)</f>
        <v/>
      </c>
      <c r="T36" s="23" t="str">
        <f>IF(S36="","","Massa")</f>
        <v/>
      </c>
      <c r="U36" s="6" t="str">
        <f>IF(S36="","","Fdiluição")</f>
        <v/>
      </c>
      <c r="V36" s="12"/>
      <c r="W36" s="62"/>
      <c r="X36" s="17"/>
      <c r="Y36" s="60"/>
      <c r="Z36" s="14"/>
      <c r="AA36" s="60"/>
      <c r="AB36" s="14"/>
      <c r="AC36" s="56"/>
      <c r="AD36" s="14"/>
      <c r="AE36" s="56"/>
      <c r="AF36" s="14"/>
      <c r="AG36" s="61"/>
      <c r="AI36" s="61"/>
    </row>
    <row r="37" spans="1:40" s="15" customFormat="1" x14ac:dyDescent="0.2">
      <c r="A37" s="43"/>
      <c r="B37" s="25" t="s">
        <v>57</v>
      </c>
      <c r="C37" s="83">
        <v>14.491759999999999</v>
      </c>
      <c r="D37" s="26"/>
      <c r="E37" s="58"/>
      <c r="F37" s="26"/>
      <c r="H37" s="27" t="str">
        <f>IF(I36="","","Frasco")</f>
        <v/>
      </c>
      <c r="I37" s="5"/>
      <c r="J37" s="23" t="str">
        <f>IF(I36="","","gramas")</f>
        <v/>
      </c>
      <c r="K37" s="28" t="str">
        <f>IFERROR(J39/J38,"")</f>
        <v/>
      </c>
      <c r="M37" s="27" t="str">
        <f>IF(N36="","","Frasco")</f>
        <v/>
      </c>
      <c r="N37" s="5"/>
      <c r="O37" s="23" t="str">
        <f>IF(N36="","","gramas")</f>
        <v/>
      </c>
      <c r="P37" s="28" t="str">
        <f>IFERROR(O39/O38,"")</f>
        <v/>
      </c>
      <c r="Q37" s="19"/>
      <c r="R37" s="27" t="str">
        <f>IF(S36="","","Frasco")</f>
        <v/>
      </c>
      <c r="S37" s="5"/>
      <c r="T37" s="23" t="str">
        <f>IF(S36="","","gramas")</f>
        <v/>
      </c>
      <c r="U37" s="28" t="str">
        <f>IFERROR(T39/T38,"")</f>
        <v/>
      </c>
      <c r="V37" s="63"/>
      <c r="W37" s="14"/>
      <c r="X37" s="17"/>
      <c r="Y37" s="60"/>
      <c r="Z37" s="14"/>
      <c r="AA37" s="56"/>
      <c r="AB37" s="14"/>
      <c r="AC37" s="56"/>
      <c r="AD37" s="14"/>
      <c r="AE37" s="56"/>
      <c r="AF37" s="14"/>
      <c r="AG37" s="61"/>
      <c r="AI37" s="61"/>
    </row>
    <row r="38" spans="1:40" s="15" customFormat="1" x14ac:dyDescent="0.2">
      <c r="A38" s="43"/>
      <c r="B38" s="29" t="s">
        <v>59</v>
      </c>
      <c r="C38" s="82">
        <v>15.614890000000001</v>
      </c>
      <c r="D38" s="298" t="s">
        <v>141</v>
      </c>
      <c r="E38" s="31">
        <f>C38-C37</f>
        <v>1.1231300000000015</v>
      </c>
      <c r="F38" s="30" t="s">
        <v>24</v>
      </c>
      <c r="H38" s="27" t="str">
        <f>IF(I36="","","Frasco + Amostra")</f>
        <v/>
      </c>
      <c r="I38" s="5"/>
      <c r="J38" s="23" t="str">
        <f>IF(I37="","",I38-I37)</f>
        <v/>
      </c>
      <c r="K38" s="19" t="str">
        <f>IF(I36="","","Amostra")</f>
        <v/>
      </c>
      <c r="M38" s="27" t="str">
        <f>IF(N36="","","Frasco + Amostra")</f>
        <v/>
      </c>
      <c r="N38" s="5"/>
      <c r="O38" s="23" t="str">
        <f>IF(N37="","",N38-N37)</f>
        <v/>
      </c>
      <c r="P38" s="19" t="str">
        <f>IF(N36="","","Amostra")</f>
        <v/>
      </c>
      <c r="Q38" s="28"/>
      <c r="R38" s="27" t="str">
        <f>IF(S36="","","Frasco + Amostra")</f>
        <v/>
      </c>
      <c r="S38" s="5"/>
      <c r="T38" s="23" t="str">
        <f>IF(S37="","",S38-S37)</f>
        <v/>
      </c>
      <c r="U38" s="19" t="str">
        <f>IF(S36="","","Amostra")</f>
        <v/>
      </c>
      <c r="V38" s="63"/>
      <c r="W38" s="64"/>
      <c r="X38" s="17"/>
      <c r="Y38" s="60"/>
      <c r="Z38" s="14"/>
      <c r="AA38" s="56"/>
      <c r="AB38" s="14"/>
      <c r="AC38" s="56"/>
      <c r="AD38" s="14"/>
      <c r="AE38" s="56"/>
      <c r="AF38" s="14"/>
      <c r="AG38" s="61"/>
      <c r="AI38" s="61"/>
    </row>
    <row r="39" spans="1:40" s="15" customFormat="1" x14ac:dyDescent="0.2">
      <c r="A39" s="43"/>
      <c r="B39" s="33" t="s">
        <v>58</v>
      </c>
      <c r="C39" s="82">
        <v>64.822730000000007</v>
      </c>
      <c r="D39" s="30" t="s">
        <v>153</v>
      </c>
      <c r="E39" s="31">
        <f>C39-C37</f>
        <v>50.330970000000008</v>
      </c>
      <c r="F39" s="30" t="s">
        <v>24</v>
      </c>
      <c r="H39" s="34" t="str">
        <f>IF(I36="","","Massa final")</f>
        <v/>
      </c>
      <c r="I39" s="5"/>
      <c r="J39" s="23" t="str">
        <f>IF(I37="","",I39-I37)</f>
        <v/>
      </c>
      <c r="K39" s="19" t="str">
        <f>IF(I36="","","Solução")</f>
        <v/>
      </c>
      <c r="M39" s="34" t="str">
        <f>IF(N36="","","Massa final")</f>
        <v/>
      </c>
      <c r="N39" s="5"/>
      <c r="O39" s="23" t="str">
        <f>IF(N37="","",N39-N37)</f>
        <v/>
      </c>
      <c r="P39" s="19" t="str">
        <f>IF(N36="","","Solução")</f>
        <v/>
      </c>
      <c r="Q39" s="19"/>
      <c r="R39" s="34" t="str">
        <f>IF(S36="","","Massa final")</f>
        <v/>
      </c>
      <c r="S39" s="5"/>
      <c r="T39" s="23" t="str">
        <f>IF(S37="","",S39-S37)</f>
        <v/>
      </c>
      <c r="U39" s="19" t="str">
        <f>IF(S36="","","Solução")</f>
        <v/>
      </c>
      <c r="V39" s="12"/>
      <c r="W39" s="62"/>
      <c r="X39" s="17"/>
      <c r="Y39" s="60"/>
      <c r="Z39" s="14"/>
      <c r="AA39" s="56"/>
      <c r="AB39" s="14"/>
      <c r="AC39" s="56"/>
      <c r="AD39" s="14"/>
      <c r="AE39" s="56"/>
      <c r="AF39" s="14"/>
      <c r="AG39" s="61"/>
      <c r="AI39" s="61"/>
    </row>
    <row r="40" spans="1:40" s="15" customFormat="1" ht="13.5" thickBot="1" x14ac:dyDescent="0.25">
      <c r="A40" s="43"/>
      <c r="E40" s="55"/>
      <c r="F40" s="17"/>
      <c r="I40" s="19"/>
      <c r="J40" s="43"/>
      <c r="K40" s="6"/>
      <c r="M40" s="6"/>
      <c r="N40" s="19"/>
      <c r="O40" s="23"/>
      <c r="P40" s="6"/>
      <c r="Q40" s="6"/>
      <c r="R40" s="6"/>
      <c r="S40" s="19"/>
      <c r="T40" s="23"/>
      <c r="U40" s="6"/>
      <c r="V40" s="12"/>
      <c r="W40" s="62"/>
      <c r="X40" s="62"/>
      <c r="Y40" s="62"/>
      <c r="Z40" s="62"/>
      <c r="AA40" s="14"/>
      <c r="AB40" s="14"/>
      <c r="AC40" s="14"/>
      <c r="AD40" s="14"/>
      <c r="AE40" s="14"/>
      <c r="AF40" s="14"/>
    </row>
    <row r="41" spans="1:40" s="15" customFormat="1" ht="13.5" thickBot="1" x14ac:dyDescent="0.25">
      <c r="A41" s="43"/>
      <c r="B41" s="566" t="s">
        <v>36</v>
      </c>
      <c r="C41" s="567"/>
      <c r="D41" s="567"/>
      <c r="E41" s="567"/>
      <c r="F41" s="568"/>
      <c r="H41" s="22" t="str">
        <f>IF(I36="","","Amostra")</f>
        <v/>
      </c>
      <c r="I41" s="2"/>
      <c r="J41" s="23" t="str">
        <f>IF(I41="","","Massa")</f>
        <v/>
      </c>
      <c r="K41" s="6" t="str">
        <f>IF(I41="","","Fdiluição")</f>
        <v/>
      </c>
      <c r="M41" s="22" t="str">
        <f>IF(K42="","","Amostra")</f>
        <v/>
      </c>
      <c r="N41" s="24" t="str">
        <f>IF(K42="","",I41)</f>
        <v/>
      </c>
      <c r="O41" s="23" t="str">
        <f>IF(N41="","","Massa")</f>
        <v/>
      </c>
      <c r="P41" s="6" t="str">
        <f>IF(N41="","","Fdiluição")</f>
        <v/>
      </c>
      <c r="Q41" s="6"/>
      <c r="R41" s="22" t="str">
        <f>IF(P42="","","Amostra")</f>
        <v/>
      </c>
      <c r="S41" s="24" t="str">
        <f>IF(P42="","",N41)</f>
        <v/>
      </c>
      <c r="T41" s="23" t="str">
        <f>IF(S41="","","Massa")</f>
        <v/>
      </c>
      <c r="U41" s="6" t="str">
        <f>IF(S41="","","Fdiluição")</f>
        <v/>
      </c>
      <c r="V41" s="12"/>
      <c r="W41" s="62"/>
      <c r="X41" s="62"/>
      <c r="Y41" s="62"/>
      <c r="Z41" s="14"/>
      <c r="AA41" s="14"/>
      <c r="AB41" s="14"/>
      <c r="AC41" s="14"/>
      <c r="AD41" s="14"/>
      <c r="AE41" s="14"/>
      <c r="AF41" s="14"/>
    </row>
    <row r="42" spans="1:40" s="17" customFormat="1" x14ac:dyDescent="0.2">
      <c r="A42" s="43"/>
      <c r="B42" s="25" t="s">
        <v>57</v>
      </c>
      <c r="C42" s="82">
        <v>14.567489999999999</v>
      </c>
      <c r="D42" s="26"/>
      <c r="E42" s="58"/>
      <c r="F42" s="26"/>
      <c r="H42" s="27" t="str">
        <f>IF(I41="","","Frasco")</f>
        <v/>
      </c>
      <c r="I42" s="5"/>
      <c r="J42" s="23" t="str">
        <f>IF(I41="","","gramas")</f>
        <v/>
      </c>
      <c r="K42" s="28" t="str">
        <f>IFERROR(J44/J43,"")</f>
        <v/>
      </c>
      <c r="M42" s="27" t="str">
        <f>IF(N41="","","Frasco")</f>
        <v/>
      </c>
      <c r="N42" s="5"/>
      <c r="O42" s="23" t="str">
        <f>IF(N41="","","gramas")</f>
        <v/>
      </c>
      <c r="P42" s="28" t="str">
        <f>IFERROR(O44/O43,"")</f>
        <v/>
      </c>
      <c r="Q42" s="19"/>
      <c r="R42" s="27" t="str">
        <f>IF(S41="","","Frasco")</f>
        <v/>
      </c>
      <c r="S42" s="5"/>
      <c r="T42" s="23" t="str">
        <f>IF(S41="","","gramas")</f>
        <v/>
      </c>
      <c r="U42" s="28" t="str">
        <f>IFERROR(T44/T43,"")</f>
        <v/>
      </c>
      <c r="V42" s="12"/>
      <c r="W42" s="62"/>
      <c r="X42" s="62"/>
      <c r="Y42" s="62"/>
      <c r="Z42" s="14"/>
    </row>
    <row r="43" spans="1:40" s="15" customFormat="1" x14ac:dyDescent="0.2">
      <c r="A43" s="17"/>
      <c r="B43" s="29" t="s">
        <v>59</v>
      </c>
      <c r="C43" s="82">
        <v>15.973369999999999</v>
      </c>
      <c r="D43" s="298" t="s">
        <v>142</v>
      </c>
      <c r="E43" s="31">
        <f>C43-C42</f>
        <v>1.4058799999999998</v>
      </c>
      <c r="F43" s="30" t="s">
        <v>24</v>
      </c>
      <c r="H43" s="27" t="str">
        <f>IF(I41="","","Frasco + Amostra")</f>
        <v/>
      </c>
      <c r="I43" s="5"/>
      <c r="J43" s="23" t="str">
        <f>IF(I42="","",I43-I42)</f>
        <v/>
      </c>
      <c r="K43" s="19" t="str">
        <f>IF(I41="","","Amostra")</f>
        <v/>
      </c>
      <c r="M43" s="27" t="str">
        <f>IF(N41="","","Frasco + Amostra")</f>
        <v/>
      </c>
      <c r="N43" s="5"/>
      <c r="O43" s="23" t="str">
        <f>IF(N42="","",N43-N42)</f>
        <v/>
      </c>
      <c r="P43" s="19" t="str">
        <f>IF(N41="","","Amostra")</f>
        <v/>
      </c>
      <c r="Q43" s="28"/>
      <c r="R43" s="27" t="str">
        <f>IF(S41="","","Frasco + Amostra")</f>
        <v/>
      </c>
      <c r="S43" s="5"/>
      <c r="T43" s="23" t="str">
        <f>IF(S42="","",S43-S42)</f>
        <v/>
      </c>
      <c r="U43" s="19" t="str">
        <f>IF(S41="","","Amostra")</f>
        <v/>
      </c>
      <c r="V43" s="12"/>
      <c r="W43" s="62"/>
      <c r="X43" s="13"/>
      <c r="Y43" s="60"/>
      <c r="Z43" s="13"/>
      <c r="AA43" s="13"/>
      <c r="AB43" s="13"/>
      <c r="AC43" s="14"/>
      <c r="AD43" s="14"/>
      <c r="AE43" s="14"/>
      <c r="AF43" s="14"/>
    </row>
    <row r="44" spans="1:40" x14ac:dyDescent="0.2">
      <c r="A44" s="15"/>
      <c r="B44" s="33" t="s">
        <v>58</v>
      </c>
      <c r="C44" s="82">
        <v>65.123320000000007</v>
      </c>
      <c r="D44" s="30" t="s">
        <v>154</v>
      </c>
      <c r="E44" s="31">
        <f>C44-C42</f>
        <v>50.555830000000007</v>
      </c>
      <c r="F44" s="30" t="s">
        <v>24</v>
      </c>
      <c r="H44" s="34" t="str">
        <f>IF(I41="","","Massa final")</f>
        <v/>
      </c>
      <c r="I44" s="5"/>
      <c r="J44" s="23" t="str">
        <f>IF(I42="","",I44-I42)</f>
        <v/>
      </c>
      <c r="K44" s="19" t="str">
        <f>IF(I41="","","Solução")</f>
        <v/>
      </c>
      <c r="M44" s="34" t="str">
        <f>IF(N41="","","Massa final")</f>
        <v/>
      </c>
      <c r="N44" s="5"/>
      <c r="O44" s="23" t="str">
        <f>IF(N42="","",N44-N42)</f>
        <v/>
      </c>
      <c r="P44" s="19" t="str">
        <f>IF(N41="","","Solução")</f>
        <v/>
      </c>
      <c r="Q44" s="19"/>
      <c r="R44" s="34" t="str">
        <f>IF(S41="","","Massa final")</f>
        <v/>
      </c>
      <c r="S44" s="5"/>
      <c r="T44" s="23" t="str">
        <f>IF(S42="","",S44-S42)</f>
        <v/>
      </c>
      <c r="U44" s="19" t="str">
        <f>IF(S41="","","Solução")</f>
        <v/>
      </c>
      <c r="V44" s="63"/>
      <c r="W44" s="65"/>
      <c r="X44" s="17"/>
      <c r="Y44" s="60"/>
      <c r="Z44" s="14"/>
      <c r="AA44" s="14"/>
      <c r="AB44" s="56"/>
      <c r="AC44" s="14"/>
      <c r="AD44" s="14"/>
      <c r="AE44" s="14"/>
      <c r="AF44" s="14"/>
      <c r="AG44" s="15"/>
      <c r="AH44" s="15"/>
      <c r="AI44" s="15"/>
      <c r="AJ44" s="15"/>
      <c r="AK44" s="15"/>
      <c r="AL44" s="15"/>
      <c r="AM44" s="15"/>
      <c r="AN44" s="15"/>
    </row>
    <row r="45" spans="1:40" ht="13.5" thickBot="1" x14ac:dyDescent="0.25">
      <c r="B45" s="15"/>
      <c r="C45" s="15"/>
      <c r="D45" s="15"/>
      <c r="E45" s="15"/>
      <c r="F45" s="15"/>
      <c r="I45" s="19"/>
      <c r="J45" s="17"/>
      <c r="N45" s="19"/>
      <c r="O45" s="23"/>
      <c r="P45" s="6"/>
      <c r="S45" s="19"/>
      <c r="T45" s="23"/>
      <c r="V45" s="63"/>
      <c r="W45" s="64"/>
      <c r="X45" s="14"/>
      <c r="Y45" s="60"/>
      <c r="Z45" s="53"/>
      <c r="AA45" s="66"/>
      <c r="AB45" s="14"/>
      <c r="AC45" s="14"/>
      <c r="AD45" s="14"/>
      <c r="AE45" s="14"/>
      <c r="AF45" s="14"/>
      <c r="AG45" s="15"/>
      <c r="AH45" s="15"/>
      <c r="AI45" s="15"/>
      <c r="AJ45" s="15"/>
      <c r="AK45" s="15"/>
      <c r="AL45" s="15"/>
      <c r="AM45" s="15"/>
      <c r="AN45" s="15"/>
    </row>
    <row r="46" spans="1:40" ht="13.5" thickBot="1" x14ac:dyDescent="0.25">
      <c r="B46" s="566" t="s">
        <v>37</v>
      </c>
      <c r="C46" s="567"/>
      <c r="D46" s="567"/>
      <c r="E46" s="567"/>
      <c r="F46" s="568"/>
      <c r="H46" s="22" t="str">
        <f>IF(I41="","","Amostra")</f>
        <v/>
      </c>
      <c r="I46" s="2"/>
      <c r="J46" s="23" t="str">
        <f>IF(I46="","","Massa")</f>
        <v/>
      </c>
      <c r="K46" s="6" t="str">
        <f>IF(I46="","","Fdiluição")</f>
        <v/>
      </c>
      <c r="M46" s="22" t="str">
        <f>IF(K47="","","Amostra")</f>
        <v/>
      </c>
      <c r="N46" s="24" t="str">
        <f>IF(K47="","",I46)</f>
        <v/>
      </c>
      <c r="O46" s="23" t="str">
        <f>IF(N46="","","Massa")</f>
        <v/>
      </c>
      <c r="P46" s="6" t="str">
        <f>IF(N46="","","Fdiluição")</f>
        <v/>
      </c>
      <c r="R46" s="22" t="str">
        <f>IF(P47="","","Amostra")</f>
        <v/>
      </c>
      <c r="S46" s="24" t="str">
        <f>IF(P47="","",N46)</f>
        <v/>
      </c>
      <c r="T46" s="23" t="str">
        <f>IF(S46="","","Massa")</f>
        <v/>
      </c>
      <c r="U46" s="6" t="str">
        <f>IF(S46="","","Fdiluição")</f>
        <v/>
      </c>
      <c r="V46" s="12"/>
      <c r="W46" s="62"/>
      <c r="X46" s="14"/>
      <c r="Y46" s="60"/>
      <c r="Z46" s="17"/>
      <c r="AA46" s="56"/>
      <c r="AB46" s="17"/>
      <c r="AC46" s="56"/>
      <c r="AD46" s="17"/>
      <c r="AE46" s="56"/>
      <c r="AF46" s="17"/>
      <c r="AG46" s="61"/>
      <c r="AH46" s="17"/>
      <c r="AI46" s="61"/>
      <c r="AJ46" s="15"/>
      <c r="AK46" s="15"/>
      <c r="AL46" s="15"/>
      <c r="AM46" s="15"/>
      <c r="AN46" s="15"/>
    </row>
    <row r="47" spans="1:40" x14ac:dyDescent="0.2">
      <c r="A47" s="13"/>
      <c r="B47" s="25" t="s">
        <v>57</v>
      </c>
      <c r="C47" s="82">
        <v>14.629849999999999</v>
      </c>
      <c r="D47" s="67"/>
      <c r="E47" s="58"/>
      <c r="F47" s="26"/>
      <c r="H47" s="27" t="str">
        <f>IF(I46="","","Frasco")</f>
        <v/>
      </c>
      <c r="I47" s="5"/>
      <c r="J47" s="23" t="str">
        <f>IF(I46="","","gramas")</f>
        <v/>
      </c>
      <c r="K47" s="28" t="str">
        <f>IFERROR(J49/J48,"")</f>
        <v/>
      </c>
      <c r="M47" s="27" t="str">
        <f>IF(N46="","","Frasco")</f>
        <v/>
      </c>
      <c r="N47" s="5"/>
      <c r="O47" s="23" t="str">
        <f>IF(N46="","","gramas")</f>
        <v/>
      </c>
      <c r="P47" s="28" t="str">
        <f>IFERROR(O49/O48,"")</f>
        <v/>
      </c>
      <c r="Q47" s="19"/>
      <c r="R47" s="27" t="str">
        <f>IF(S46="","","Frasco")</f>
        <v/>
      </c>
      <c r="S47" s="5"/>
      <c r="T47" s="23" t="str">
        <f>IF(S46="","","gramas")</f>
        <v/>
      </c>
      <c r="U47" s="28" t="str">
        <f>IFERROR(T49/T48,"")</f>
        <v/>
      </c>
      <c r="V47" s="12"/>
      <c r="W47" s="62"/>
      <c r="X47" s="14"/>
      <c r="Y47" s="60"/>
      <c r="Z47" s="17"/>
      <c r="AA47" s="56"/>
      <c r="AB47" s="17"/>
      <c r="AC47" s="56"/>
      <c r="AD47" s="17"/>
      <c r="AE47" s="56"/>
      <c r="AF47" s="17"/>
      <c r="AG47" s="61"/>
      <c r="AH47" s="17"/>
      <c r="AI47" s="61"/>
      <c r="AJ47" s="15"/>
      <c r="AK47" s="15"/>
      <c r="AL47" s="15"/>
      <c r="AM47" s="15"/>
      <c r="AN47" s="15"/>
    </row>
    <row r="48" spans="1:40" x14ac:dyDescent="0.2">
      <c r="A48" s="14"/>
      <c r="B48" s="29" t="s">
        <v>59</v>
      </c>
      <c r="C48" s="82">
        <v>16.45035</v>
      </c>
      <c r="D48" s="298" t="s">
        <v>143</v>
      </c>
      <c r="E48" s="31">
        <f>C48-C47</f>
        <v>1.8205000000000009</v>
      </c>
      <c r="F48" s="68" t="s">
        <v>24</v>
      </c>
      <c r="H48" s="27" t="str">
        <f>IF(I46="","","Frasco + Amostra")</f>
        <v/>
      </c>
      <c r="I48" s="5"/>
      <c r="J48" s="23" t="str">
        <f>IF(I47="","",I48-I47)</f>
        <v/>
      </c>
      <c r="K48" s="19" t="str">
        <f>IF(I46="","","Amostra")</f>
        <v/>
      </c>
      <c r="M48" s="27" t="str">
        <f>IF(N46="","","Frasco + Amostra")</f>
        <v/>
      </c>
      <c r="N48" s="5"/>
      <c r="O48" s="23" t="str">
        <f>IF(N47="","",N48-N47)</f>
        <v/>
      </c>
      <c r="P48" s="19" t="str">
        <f>IF(N46="","","Amostra")</f>
        <v/>
      </c>
      <c r="Q48" s="28"/>
      <c r="R48" s="27" t="str">
        <f>IF(S46="","","Frasco + Amostra")</f>
        <v/>
      </c>
      <c r="S48" s="5"/>
      <c r="T48" s="23" t="str">
        <f>IF(S47="","",S48-S47)</f>
        <v/>
      </c>
      <c r="U48" s="19" t="str">
        <f>IF(S46="","","Amostra")</f>
        <v/>
      </c>
      <c r="V48" s="12"/>
      <c r="W48" s="62"/>
      <c r="X48" s="14"/>
      <c r="Y48" s="60"/>
      <c r="Z48" s="17"/>
      <c r="AA48" s="56"/>
      <c r="AB48" s="17"/>
      <c r="AC48" s="56"/>
      <c r="AD48" s="17"/>
      <c r="AE48" s="56"/>
      <c r="AF48" s="17"/>
      <c r="AG48" s="61"/>
      <c r="AH48" s="17"/>
      <c r="AI48" s="61"/>
      <c r="AJ48" s="15"/>
      <c r="AK48" s="15"/>
      <c r="AL48" s="15"/>
      <c r="AM48" s="15"/>
      <c r="AN48" s="15"/>
    </row>
    <row r="49" spans="1:40" x14ac:dyDescent="0.2">
      <c r="A49" s="69"/>
      <c r="B49" s="33" t="s">
        <v>58</v>
      </c>
      <c r="C49" s="82">
        <v>64.598309999999998</v>
      </c>
      <c r="D49" s="30" t="s">
        <v>155</v>
      </c>
      <c r="E49" s="31">
        <f>C49-C47</f>
        <v>49.96846</v>
      </c>
      <c r="F49" s="30" t="s">
        <v>24</v>
      </c>
      <c r="H49" s="34" t="str">
        <f>IF(I46="","","Massa final")</f>
        <v/>
      </c>
      <c r="I49" s="5"/>
      <c r="J49" s="23" t="str">
        <f>IF(I47="","",I49-I47)</f>
        <v/>
      </c>
      <c r="K49" s="19" t="str">
        <f>IF(I46="","","Solução")</f>
        <v/>
      </c>
      <c r="M49" s="34" t="str">
        <f>IF(N46="","","Massa final")</f>
        <v/>
      </c>
      <c r="N49" s="5"/>
      <c r="O49" s="23" t="str">
        <f>IF(N47="","",N49-N47)</f>
        <v/>
      </c>
      <c r="P49" s="19" t="str">
        <f>IF(N46="","","Solução")</f>
        <v/>
      </c>
      <c r="Q49" s="19"/>
      <c r="R49" s="34" t="str">
        <f>IF(S46="","","Massa final")</f>
        <v/>
      </c>
      <c r="S49" s="5"/>
      <c r="T49" s="23" t="str">
        <f>IF(S47="","",S49-S47)</f>
        <v/>
      </c>
      <c r="U49" s="19" t="str">
        <f>IF(S46="","","Solução")</f>
        <v/>
      </c>
      <c r="V49" s="12"/>
      <c r="W49" s="62"/>
      <c r="X49" s="14"/>
      <c r="Y49" s="60"/>
      <c r="Z49" s="17"/>
      <c r="AA49" s="56"/>
      <c r="AB49" s="17"/>
      <c r="AC49" s="56"/>
      <c r="AD49" s="17"/>
      <c r="AE49" s="56"/>
      <c r="AF49" s="17"/>
      <c r="AG49" s="70"/>
      <c r="AH49" s="17"/>
      <c r="AI49" s="61"/>
      <c r="AJ49" s="15"/>
      <c r="AK49" s="15"/>
      <c r="AL49" s="15"/>
      <c r="AM49" s="15"/>
      <c r="AN49" s="15"/>
    </row>
    <row r="50" spans="1:40" x14ac:dyDescent="0.2">
      <c r="A50" s="17"/>
      <c r="I50" s="19"/>
      <c r="N50" s="19"/>
      <c r="O50" s="23"/>
      <c r="P50" s="6"/>
      <c r="S50" s="19"/>
      <c r="T50" s="23"/>
      <c r="V50" s="12"/>
      <c r="W50" s="62"/>
      <c r="X50" s="14"/>
      <c r="Y50" s="56"/>
      <c r="Z50" s="17"/>
      <c r="AA50" s="56"/>
      <c r="AB50" s="17"/>
      <c r="AC50" s="56"/>
      <c r="AD50" s="17"/>
      <c r="AE50" s="56"/>
      <c r="AF50" s="17"/>
      <c r="AG50" s="61"/>
      <c r="AH50" s="17"/>
      <c r="AI50" s="61"/>
      <c r="AJ50" s="15"/>
      <c r="AK50" s="15"/>
      <c r="AL50" s="15"/>
      <c r="AM50" s="15"/>
      <c r="AN50" s="15"/>
    </row>
    <row r="51" spans="1:40" x14ac:dyDescent="0.2">
      <c r="A51" s="17"/>
      <c r="B51" s="71"/>
      <c r="H51" s="22" t="str">
        <f>IF(I46="","","Amostra")</f>
        <v/>
      </c>
      <c r="I51" s="2"/>
      <c r="J51" s="23" t="str">
        <f>IF(I51="","","Massa")</f>
        <v/>
      </c>
      <c r="K51" s="6" t="str">
        <f>IF(I51="","","Fdiluição")</f>
        <v/>
      </c>
      <c r="M51" s="22" t="str">
        <f>IF(K52="","","Amostra")</f>
        <v/>
      </c>
      <c r="N51" s="24" t="str">
        <f>IF(K52="","",I51)</f>
        <v/>
      </c>
      <c r="O51" s="23" t="str">
        <f>IF(N51="","","Massa")</f>
        <v/>
      </c>
      <c r="P51" s="6" t="str">
        <f>IF(N51="","","Fdiluição")</f>
        <v/>
      </c>
      <c r="R51" s="22" t="str">
        <f>IF(P52="","","Amostra")</f>
        <v/>
      </c>
      <c r="S51" s="24" t="str">
        <f>IF(P52="","",N51)</f>
        <v/>
      </c>
      <c r="T51" s="23" t="str">
        <f>IF(S51="","","Massa")</f>
        <v/>
      </c>
      <c r="U51" s="6" t="str">
        <f>IF(S51="","","Fdiluição")</f>
        <v/>
      </c>
      <c r="Z51" s="19"/>
    </row>
    <row r="52" spans="1:40" x14ac:dyDescent="0.2">
      <c r="A52" s="17"/>
      <c r="B52" s="32"/>
      <c r="C52" s="13"/>
      <c r="D52" s="13"/>
      <c r="E52" s="13"/>
      <c r="F52" s="13"/>
      <c r="H52" s="27" t="str">
        <f>IF(I51="","","Frasco")</f>
        <v/>
      </c>
      <c r="I52" s="5"/>
      <c r="J52" s="23" t="str">
        <f>IF(I51="","","gramas")</f>
        <v/>
      </c>
      <c r="K52" s="28" t="str">
        <f>IFERROR(J54/J53,"")</f>
        <v/>
      </c>
      <c r="M52" s="27" t="str">
        <f>IF(N51="","","Frasco")</f>
        <v/>
      </c>
      <c r="N52" s="5"/>
      <c r="O52" s="23" t="str">
        <f>IF(N51="","","gramas")</f>
        <v/>
      </c>
      <c r="P52" s="28" t="str">
        <f>IFERROR(O54/O53,"")</f>
        <v/>
      </c>
      <c r="Q52" s="19"/>
      <c r="R52" s="27" t="str">
        <f>IF(S51="","","Frasco")</f>
        <v/>
      </c>
      <c r="S52" s="5"/>
      <c r="T52" s="23" t="str">
        <f>IF(S51="","","gramas")</f>
        <v/>
      </c>
      <c r="U52" s="28" t="str">
        <f>IFERROR(T54/T53,"")</f>
        <v/>
      </c>
      <c r="Z52" s="19"/>
    </row>
    <row r="53" spans="1:40" x14ac:dyDescent="0.2">
      <c r="A53" s="17"/>
      <c r="B53" s="72"/>
      <c r="C53" s="14"/>
      <c r="D53" s="14"/>
      <c r="E53" s="14"/>
      <c r="F53" s="14"/>
      <c r="H53" s="27" t="str">
        <f>IF(I51="","","Frasco + Amostra")</f>
        <v/>
      </c>
      <c r="I53" s="5"/>
      <c r="J53" s="23" t="str">
        <f>IF(I52="","",I53-I52)</f>
        <v/>
      </c>
      <c r="K53" s="19" t="str">
        <f>IF(I51="","","Amostra")</f>
        <v/>
      </c>
      <c r="M53" s="27" t="str">
        <f>IF(N51="","","Frasco + Amostra")</f>
        <v/>
      </c>
      <c r="N53" s="5"/>
      <c r="O53" s="23" t="str">
        <f>IF(N52="","",N53-N52)</f>
        <v/>
      </c>
      <c r="P53" s="19" t="str">
        <f>IF(N51="","","Amostra")</f>
        <v/>
      </c>
      <c r="Q53" s="28"/>
      <c r="R53" s="27" t="str">
        <f>IF(S51="","","Frasco + Amostra")</f>
        <v/>
      </c>
      <c r="S53" s="5"/>
      <c r="T53" s="23" t="str">
        <f>IF(S52="","",S53-S52)</f>
        <v/>
      </c>
      <c r="U53" s="19" t="str">
        <f>IF(S51="","","Amostra")</f>
        <v/>
      </c>
      <c r="Y53" s="9"/>
      <c r="Z53" s="73"/>
    </row>
    <row r="54" spans="1:40" x14ac:dyDescent="0.2">
      <c r="A54" s="17"/>
      <c r="B54" s="46"/>
      <c r="C54" s="74"/>
      <c r="D54" s="74"/>
      <c r="E54" s="74"/>
      <c r="F54" s="74"/>
      <c r="H54" s="34" t="str">
        <f>IF(I51="","","Massa final")</f>
        <v/>
      </c>
      <c r="I54" s="5"/>
      <c r="J54" s="23" t="str">
        <f>IF(I52="","",I54-I52)</f>
        <v/>
      </c>
      <c r="K54" s="19" t="str">
        <f>IF(I51="","","Solução")</f>
        <v/>
      </c>
      <c r="M54" s="34" t="str">
        <f>IF(N51="","","Massa final")</f>
        <v/>
      </c>
      <c r="N54" s="5"/>
      <c r="O54" s="23" t="str">
        <f>IF(N52="","",N54-N52)</f>
        <v/>
      </c>
      <c r="P54" s="19" t="str">
        <f>IF(N51="","","Solução")</f>
        <v/>
      </c>
      <c r="Q54" s="19"/>
      <c r="R54" s="34" t="str">
        <f>IF(S51="","","Massa final")</f>
        <v/>
      </c>
      <c r="S54" s="5"/>
      <c r="T54" s="23" t="str">
        <f>IF(S52="","",S54-S52)</f>
        <v/>
      </c>
      <c r="U54" s="19" t="str">
        <f>IF(S51="","","Solução")</f>
        <v/>
      </c>
      <c r="Y54" s="9"/>
      <c r="Z54" s="73"/>
    </row>
    <row r="55" spans="1:40" x14ac:dyDescent="0.2">
      <c r="A55" s="17"/>
      <c r="B55" s="14"/>
      <c r="C55" s="14"/>
      <c r="D55" s="14"/>
      <c r="E55" s="14"/>
      <c r="F55" s="14"/>
      <c r="I55" s="19"/>
      <c r="N55" s="19"/>
      <c r="O55" s="23"/>
      <c r="P55" s="6"/>
      <c r="S55" s="19"/>
      <c r="T55" s="23"/>
      <c r="Y55" s="9"/>
      <c r="Z55" s="73"/>
    </row>
    <row r="56" spans="1:40" x14ac:dyDescent="0.2">
      <c r="A56" s="17"/>
      <c r="B56" s="14"/>
      <c r="C56" s="14"/>
      <c r="D56" s="14"/>
      <c r="E56" s="14"/>
      <c r="F56" s="14"/>
      <c r="H56" s="22" t="str">
        <f>IF(I51="","","Amostra")</f>
        <v/>
      </c>
      <c r="I56" s="2"/>
      <c r="J56" s="23" t="str">
        <f>IF(I56="","","Massa")</f>
        <v/>
      </c>
      <c r="K56" s="6" t="str">
        <f>IF(I56="","","Fdiluição")</f>
        <v/>
      </c>
      <c r="M56" s="22" t="str">
        <f>IF(K57="","","Amostra")</f>
        <v/>
      </c>
      <c r="N56" s="24" t="str">
        <f>IF(K57="","",I56)</f>
        <v/>
      </c>
      <c r="O56" s="23" t="str">
        <f>IF(N56="","","Massa")</f>
        <v/>
      </c>
      <c r="P56" s="6" t="str">
        <f>IF(N56="","","Fdiluição")</f>
        <v/>
      </c>
      <c r="R56" s="22" t="str">
        <f>IF(P57="","","Amostra")</f>
        <v/>
      </c>
      <c r="S56" s="24" t="str">
        <f>IF(P57="","",N56)</f>
        <v/>
      </c>
      <c r="T56" s="23" t="str">
        <f>IF(S56="","","Massa")</f>
        <v/>
      </c>
      <c r="U56" s="6" t="str">
        <f>IF(S56="","","Fdiluição")</f>
        <v/>
      </c>
      <c r="Y56" s="9"/>
      <c r="Z56" s="73"/>
    </row>
    <row r="57" spans="1:40" x14ac:dyDescent="0.2">
      <c r="A57" s="10"/>
      <c r="B57" s="14"/>
      <c r="C57" s="14"/>
      <c r="D57" s="14"/>
      <c r="E57" s="14"/>
      <c r="F57" s="14"/>
      <c r="H57" s="27" t="str">
        <f>IF(I56="","","Frasco")</f>
        <v/>
      </c>
      <c r="I57" s="5"/>
      <c r="J57" s="23" t="str">
        <f>IF(I56="","","gramas")</f>
        <v/>
      </c>
      <c r="K57" s="28" t="str">
        <f>IFERROR(J59/J58,"")</f>
        <v/>
      </c>
      <c r="M57" s="27" t="str">
        <f>IF(N56="","","Frasco")</f>
        <v/>
      </c>
      <c r="N57" s="5"/>
      <c r="O57" s="23" t="str">
        <f>IF(N56="","","gramas")</f>
        <v/>
      </c>
      <c r="P57" s="28" t="str">
        <f>IFERROR(O59/O58,"")</f>
        <v/>
      </c>
      <c r="Q57" s="19"/>
      <c r="R57" s="27" t="str">
        <f>IF(S56="","","Frasco")</f>
        <v/>
      </c>
      <c r="S57" s="5"/>
      <c r="T57" s="23" t="str">
        <f>IF(S56="","","gramas")</f>
        <v/>
      </c>
      <c r="U57" s="28" t="str">
        <f>IFERROR(T59/T58,"")</f>
        <v/>
      </c>
      <c r="Y57" s="9"/>
      <c r="Z57" s="73"/>
    </row>
    <row r="58" spans="1:40" x14ac:dyDescent="0.2">
      <c r="A58" s="10"/>
      <c r="B58" s="14"/>
      <c r="C58" s="14"/>
      <c r="D58" s="14"/>
      <c r="E58" s="14"/>
      <c r="F58" s="14"/>
      <c r="H58" s="27" t="str">
        <f>IF(I56="","","Frasco + Amostra")</f>
        <v/>
      </c>
      <c r="I58" s="5"/>
      <c r="J58" s="23" t="str">
        <f>IF(I57="","",I58-I57)</f>
        <v/>
      </c>
      <c r="K58" s="19" t="str">
        <f>IF(I56="","","Amostra")</f>
        <v/>
      </c>
      <c r="L58" s="19"/>
      <c r="M58" s="27" t="str">
        <f>IF(N56="","","Frasco + Amostra")</f>
        <v/>
      </c>
      <c r="N58" s="5"/>
      <c r="O58" s="23" t="str">
        <f>IF(N57="","",N58-N57)</f>
        <v/>
      </c>
      <c r="P58" s="19" t="str">
        <f>IF(N56="","","Amostra")</f>
        <v/>
      </c>
      <c r="Q58" s="28"/>
      <c r="R58" s="27" t="str">
        <f>IF(S56="","","Frasco + Amostra")</f>
        <v/>
      </c>
      <c r="S58" s="5"/>
      <c r="T58" s="23" t="str">
        <f>IF(S57="","",S58-S57)</f>
        <v/>
      </c>
      <c r="U58" s="19" t="str">
        <f>IF(S56="","","Amostra")</f>
        <v/>
      </c>
      <c r="Y58" s="9"/>
      <c r="Z58" s="73"/>
    </row>
    <row r="59" spans="1:40" x14ac:dyDescent="0.2">
      <c r="B59" s="14"/>
      <c r="C59" s="14"/>
      <c r="D59" s="14"/>
      <c r="E59" s="14"/>
      <c r="F59" s="14"/>
      <c r="H59" s="34" t="str">
        <f>IF(I56="","","Massa final")</f>
        <v/>
      </c>
      <c r="I59" s="5"/>
      <c r="J59" s="23" t="str">
        <f>IF(I57="","",I59-I57)</f>
        <v/>
      </c>
      <c r="K59" s="19" t="str">
        <f>IF(I56="","","Solução")</f>
        <v/>
      </c>
      <c r="L59" s="28"/>
      <c r="M59" s="34" t="str">
        <f>IF(N56="","","Massa final")</f>
        <v/>
      </c>
      <c r="N59" s="5"/>
      <c r="O59" s="23" t="str">
        <f>IF(N57="","",N59-N57)</f>
        <v/>
      </c>
      <c r="P59" s="19" t="str">
        <f>IF(N56="","","Solução")</f>
        <v/>
      </c>
      <c r="Q59" s="19"/>
      <c r="R59" s="34" t="str">
        <f>IF(S56="","","Massa final")</f>
        <v/>
      </c>
      <c r="S59" s="5"/>
      <c r="T59" s="23" t="str">
        <f>IF(S57="","",S59-S57)</f>
        <v/>
      </c>
      <c r="U59" s="19" t="str">
        <f>IF(S56="","","Solução")</f>
        <v/>
      </c>
      <c r="V59" s="19"/>
      <c r="W59" s="19"/>
      <c r="Y59" s="9"/>
      <c r="Z59" s="73"/>
    </row>
    <row r="60" spans="1:40" x14ac:dyDescent="0.2">
      <c r="B60" s="14"/>
      <c r="C60" s="14"/>
      <c r="D60" s="14"/>
      <c r="E60" s="14"/>
      <c r="F60" s="14"/>
      <c r="I60" s="19"/>
      <c r="J60" s="23"/>
      <c r="L60" s="19"/>
      <c r="N60" s="19"/>
      <c r="O60" s="23"/>
      <c r="P60" s="6"/>
      <c r="S60" s="19"/>
      <c r="T60" s="23"/>
      <c r="V60" s="19"/>
      <c r="W60" s="19"/>
      <c r="Y60" s="9"/>
      <c r="Z60" s="73"/>
    </row>
    <row r="61" spans="1:40" x14ac:dyDescent="0.2">
      <c r="B61" s="14"/>
      <c r="C61" s="14"/>
      <c r="D61" s="14"/>
      <c r="E61" s="14"/>
      <c r="F61" s="14"/>
      <c r="H61" s="22" t="str">
        <f>IF(I56="","","Amostra")</f>
        <v/>
      </c>
      <c r="I61" s="306"/>
      <c r="J61" s="23" t="str">
        <f>IF(I61="","","Massa")</f>
        <v/>
      </c>
      <c r="K61" s="6" t="str">
        <f>IF(I61="","","Fdiluição")</f>
        <v/>
      </c>
      <c r="M61" s="22" t="str">
        <f>IF(K62="","","Amostra")</f>
        <v/>
      </c>
      <c r="N61" s="24" t="str">
        <f>IF(K62="","",I61)</f>
        <v/>
      </c>
      <c r="O61" s="23" t="str">
        <f>IF(N61="","","Massa")</f>
        <v/>
      </c>
      <c r="P61" s="6" t="str">
        <f>IF(N61="","","Fdiluição")</f>
        <v/>
      </c>
      <c r="R61" s="22" t="str">
        <f>IF(P62="","","Amostra")</f>
        <v/>
      </c>
      <c r="S61" s="24" t="str">
        <f>IF(P62="","",N61)</f>
        <v/>
      </c>
      <c r="T61" s="23" t="str">
        <f>IF(S61="","","Massa")</f>
        <v/>
      </c>
      <c r="U61" s="6" t="str">
        <f>IF(S61="","","Fdiluição")</f>
        <v/>
      </c>
      <c r="V61" s="19"/>
      <c r="W61" s="19"/>
      <c r="Y61" s="9"/>
      <c r="Z61" s="73"/>
    </row>
    <row r="62" spans="1:40" x14ac:dyDescent="0.2">
      <c r="A62" s="75"/>
      <c r="B62" s="10"/>
      <c r="C62" s="10"/>
      <c r="D62" s="10"/>
      <c r="E62" s="10"/>
      <c r="F62" s="10"/>
      <c r="H62" s="27" t="str">
        <f>IF(I61="","","Frasco")</f>
        <v/>
      </c>
      <c r="I62" s="5"/>
      <c r="J62" s="23" t="str">
        <f>IF(I61="","","gramas")</f>
        <v/>
      </c>
      <c r="K62" s="28" t="str">
        <f>IFERROR(J64/J63,"")</f>
        <v/>
      </c>
      <c r="M62" s="27" t="str">
        <f>IF(N61="","","Frasco")</f>
        <v/>
      </c>
      <c r="N62" s="5"/>
      <c r="O62" s="23" t="str">
        <f>IF(N61="","","gramas")</f>
        <v/>
      </c>
      <c r="P62" s="28" t="str">
        <f>IFERROR(O64/O63,"")</f>
        <v/>
      </c>
      <c r="Q62" s="19"/>
      <c r="R62" s="27" t="str">
        <f>IF(S61="","","Frasco")</f>
        <v/>
      </c>
      <c r="S62" s="5"/>
      <c r="T62" s="23" t="str">
        <f>IF(S61="","","gramas")</f>
        <v/>
      </c>
      <c r="U62" s="28" t="str">
        <f>IFERROR(T64/T63,"")</f>
        <v/>
      </c>
      <c r="V62" s="19"/>
      <c r="W62" s="19"/>
      <c r="Y62" s="9"/>
      <c r="Z62" s="73"/>
    </row>
    <row r="63" spans="1:40" x14ac:dyDescent="0.2">
      <c r="A63" s="75"/>
      <c r="B63" s="76"/>
      <c r="C63" s="10"/>
      <c r="D63" s="10"/>
      <c r="E63" s="10"/>
      <c r="F63" s="10"/>
      <c r="H63" s="27" t="str">
        <f>IF(I61="","","Frasco + Amostra")</f>
        <v/>
      </c>
      <c r="I63" s="5"/>
      <c r="J63" s="23" t="str">
        <f>IF(I62="","",I63-I62)</f>
        <v/>
      </c>
      <c r="K63" s="19" t="str">
        <f>IF(I61="","","Amostra")</f>
        <v/>
      </c>
      <c r="L63" s="19"/>
      <c r="M63" s="27" t="str">
        <f>IF(N61="","","Frasco + Amostra")</f>
        <v/>
      </c>
      <c r="N63" s="5"/>
      <c r="O63" s="23" t="str">
        <f>IF(N62="","",N63-N62)</f>
        <v/>
      </c>
      <c r="P63" s="19" t="str">
        <f>IF(N61="","","Amostra")</f>
        <v/>
      </c>
      <c r="Q63" s="28"/>
      <c r="R63" s="27" t="str">
        <f>IF(S61="","","Frasco + Amostra")</f>
        <v/>
      </c>
      <c r="S63" s="5"/>
      <c r="T63" s="23" t="str">
        <f>IF(S62="","",S63-S62)</f>
        <v/>
      </c>
      <c r="U63" s="19" t="str">
        <f>IF(S61="","","Amostra")</f>
        <v/>
      </c>
      <c r="V63" s="19"/>
      <c r="W63" s="19"/>
      <c r="Y63" s="9"/>
      <c r="Z63" s="73"/>
    </row>
    <row r="64" spans="1:40" x14ac:dyDescent="0.2">
      <c r="A64" s="75"/>
      <c r="B64" s="75"/>
      <c r="C64" s="75"/>
      <c r="D64" s="75"/>
      <c r="E64" s="75"/>
      <c r="F64" s="75"/>
      <c r="H64" s="34" t="str">
        <f>IF(I61="","","Massa final")</f>
        <v/>
      </c>
      <c r="I64" s="5"/>
      <c r="J64" s="23" t="str">
        <f>IF(I62="","",I64-I62)</f>
        <v/>
      </c>
      <c r="K64" s="19" t="str">
        <f>IF(I61="","","Solução")</f>
        <v/>
      </c>
      <c r="L64" s="28"/>
      <c r="M64" s="34" t="str">
        <f>IF(N61="","","Massa final")</f>
        <v/>
      </c>
      <c r="N64" s="5"/>
      <c r="O64" s="23" t="str">
        <f>IF(N62="","",N64-N62)</f>
        <v/>
      </c>
      <c r="P64" s="19" t="str">
        <f>IF(N61="","","Solução")</f>
        <v/>
      </c>
      <c r="Q64" s="19"/>
      <c r="R64" s="34" t="str">
        <f>IF(S61="","","Massa final")</f>
        <v/>
      </c>
      <c r="S64" s="5"/>
      <c r="T64" s="23" t="str">
        <f>IF(S62="","",S64-S62)</f>
        <v/>
      </c>
      <c r="U64" s="19" t="str">
        <f>IF(S61="","","Solução")</f>
        <v/>
      </c>
      <c r="V64" s="19"/>
      <c r="W64" s="19"/>
      <c r="Y64" s="9"/>
      <c r="Z64" s="73"/>
    </row>
    <row r="65" spans="1:26" x14ac:dyDescent="0.2">
      <c r="A65" s="75"/>
      <c r="B65" s="75"/>
      <c r="C65" s="75"/>
      <c r="D65" s="75"/>
      <c r="E65" s="75"/>
      <c r="F65" s="75"/>
      <c r="I65" s="19"/>
      <c r="J65" s="43"/>
      <c r="L65" s="19"/>
      <c r="N65" s="19"/>
      <c r="O65" s="23"/>
      <c r="P65" s="6"/>
      <c r="S65" s="19"/>
      <c r="T65" s="23"/>
      <c r="V65" s="19"/>
      <c r="W65" s="19"/>
      <c r="Y65" s="9"/>
      <c r="Z65" s="73"/>
    </row>
    <row r="66" spans="1:26" x14ac:dyDescent="0.2">
      <c r="A66" s="75"/>
      <c r="B66" s="75"/>
      <c r="C66" s="75"/>
      <c r="D66" s="75"/>
      <c r="E66" s="75"/>
      <c r="F66" s="75"/>
      <c r="H66" s="22" t="str">
        <f>IF(I61="","","Amostra")</f>
        <v/>
      </c>
      <c r="I66" s="306"/>
      <c r="J66" s="23" t="str">
        <f>IF(I66="","","Massa")</f>
        <v/>
      </c>
      <c r="K66" s="6" t="str">
        <f>IF(I66="","","Fdiluição")</f>
        <v/>
      </c>
      <c r="M66" s="22" t="str">
        <f>IF(K67="","","Amostra")</f>
        <v/>
      </c>
      <c r="N66" s="24" t="str">
        <f>IF(K67="","",I66)</f>
        <v/>
      </c>
      <c r="O66" s="23" t="str">
        <f>IF(N66="","","Massa")</f>
        <v/>
      </c>
      <c r="P66" s="6" t="str">
        <f>IF(N66="","","Fdiluição")</f>
        <v/>
      </c>
      <c r="R66" s="22" t="str">
        <f>IF(P67="","","Amostra")</f>
        <v/>
      </c>
      <c r="S66" s="24" t="str">
        <f>IF(P67="","",N66)</f>
        <v/>
      </c>
      <c r="T66" s="23" t="str">
        <f>IF(S66="","","Massa")</f>
        <v/>
      </c>
      <c r="U66" s="6" t="str">
        <f>IF(S66="","","Fdiluição")</f>
        <v/>
      </c>
      <c r="V66" s="19"/>
      <c r="W66" s="19"/>
      <c r="Y66" s="9"/>
      <c r="Z66" s="73"/>
    </row>
    <row r="67" spans="1:26" x14ac:dyDescent="0.2">
      <c r="A67" s="75"/>
      <c r="B67" s="75"/>
      <c r="C67" s="75"/>
      <c r="D67" s="75"/>
      <c r="E67" s="75"/>
      <c r="F67" s="75"/>
      <c r="H67" s="27" t="str">
        <f>IF(I66="","","Frasco")</f>
        <v/>
      </c>
      <c r="I67" s="5"/>
      <c r="J67" s="23" t="str">
        <f>IF(I66="","","gramas")</f>
        <v/>
      </c>
      <c r="K67" s="28" t="str">
        <f>IFERROR(J69/J68,"")</f>
        <v/>
      </c>
      <c r="M67" s="27" t="str">
        <f>IF(N66="","","Frasco")</f>
        <v/>
      </c>
      <c r="N67" s="5"/>
      <c r="O67" s="23" t="str">
        <f>IF(N66="","","gramas")</f>
        <v/>
      </c>
      <c r="P67" s="28" t="str">
        <f>IFERROR(O69/O68,"")</f>
        <v/>
      </c>
      <c r="Q67" s="19"/>
      <c r="R67" s="27" t="str">
        <f>IF(S66="","","Frasco")</f>
        <v/>
      </c>
      <c r="S67" s="5"/>
      <c r="T67" s="23" t="str">
        <f>IF(S66="","","gramas")</f>
        <v/>
      </c>
      <c r="U67" s="28" t="str">
        <f>IFERROR(T69/T68,"")</f>
        <v/>
      </c>
      <c r="V67" s="19"/>
      <c r="W67" s="19"/>
      <c r="Y67" s="9"/>
      <c r="Z67" s="73"/>
    </row>
    <row r="68" spans="1:26" x14ac:dyDescent="0.2">
      <c r="B68" s="75"/>
      <c r="C68" s="75"/>
      <c r="D68" s="75"/>
      <c r="E68" s="75"/>
      <c r="F68" s="75"/>
      <c r="H68" s="27" t="str">
        <f>IF(I66="","","Frasco + Amostra")</f>
        <v/>
      </c>
      <c r="I68" s="5"/>
      <c r="J68" s="23" t="str">
        <f>IF(I67="","",I68-I67)</f>
        <v/>
      </c>
      <c r="K68" s="19" t="str">
        <f>IF(I66="","","Amostra")</f>
        <v/>
      </c>
      <c r="L68" s="19"/>
      <c r="M68" s="27" t="str">
        <f>IF(N66="","","Frasco + Amostra")</f>
        <v/>
      </c>
      <c r="N68" s="5"/>
      <c r="O68" s="23" t="str">
        <f>IF(N67="","",N68-N67)</f>
        <v/>
      </c>
      <c r="P68" s="19" t="str">
        <f>IF(N66="","","Amostra")</f>
        <v/>
      </c>
      <c r="Q68" s="28"/>
      <c r="R68" s="27" t="str">
        <f>IF(S66="","","Frasco + Amostra")</f>
        <v/>
      </c>
      <c r="S68" s="5"/>
      <c r="T68" s="23" t="str">
        <f>IF(S67="","",S68-S67)</f>
        <v/>
      </c>
      <c r="U68" s="19" t="str">
        <f>IF(S66="","","Amostra")</f>
        <v/>
      </c>
      <c r="V68" s="19"/>
      <c r="W68" s="19"/>
      <c r="Y68" s="9"/>
      <c r="Z68" s="73"/>
    </row>
    <row r="69" spans="1:26" x14ac:dyDescent="0.2">
      <c r="B69" s="75"/>
      <c r="C69" s="75"/>
      <c r="D69" s="75"/>
      <c r="E69" s="75"/>
      <c r="F69" s="75"/>
      <c r="H69" s="34" t="str">
        <f>IF(I66="","","Massa final")</f>
        <v/>
      </c>
      <c r="I69" s="5"/>
      <c r="J69" s="23" t="str">
        <f>IF(I67="","",I69-I67)</f>
        <v/>
      </c>
      <c r="K69" s="19" t="str">
        <f>IF(I66="","","Solução")</f>
        <v/>
      </c>
      <c r="L69" s="28"/>
      <c r="M69" s="34" t="str">
        <f>IF(N66="","","Massa final")</f>
        <v/>
      </c>
      <c r="N69" s="5"/>
      <c r="O69" s="23" t="str">
        <f>IF(N67="","",N69-N67)</f>
        <v/>
      </c>
      <c r="P69" s="19" t="str">
        <f>IF(N66="","","Solução")</f>
        <v/>
      </c>
      <c r="Q69" s="19"/>
      <c r="R69" s="34" t="str">
        <f>IF(S66="","","Massa final")</f>
        <v/>
      </c>
      <c r="S69" s="5"/>
      <c r="T69" s="23" t="str">
        <f>IF(S67="","",S69-S67)</f>
        <v/>
      </c>
      <c r="U69" s="19" t="str">
        <f>IF(S66="","","Solução")</f>
        <v/>
      </c>
      <c r="V69" s="19"/>
      <c r="W69" s="19"/>
      <c r="Y69" s="9"/>
      <c r="Z69" s="73"/>
    </row>
    <row r="70" spans="1:26" x14ac:dyDescent="0.2">
      <c r="B70" s="75"/>
      <c r="C70" s="75"/>
      <c r="D70" s="75"/>
      <c r="E70" s="75"/>
      <c r="F70" s="75"/>
      <c r="I70" s="19"/>
      <c r="L70" s="19"/>
      <c r="N70" s="19"/>
      <c r="O70" s="23"/>
      <c r="P70" s="6"/>
      <c r="S70" s="19"/>
      <c r="T70" s="23"/>
      <c r="V70" s="19"/>
      <c r="W70" s="19"/>
      <c r="Y70" s="9"/>
      <c r="Z70" s="73"/>
    </row>
    <row r="71" spans="1:26" x14ac:dyDescent="0.2">
      <c r="B71" s="75"/>
      <c r="C71" s="75"/>
      <c r="D71" s="75"/>
      <c r="E71" s="75"/>
      <c r="F71" s="75"/>
      <c r="H71" s="22" t="str">
        <f>IF(I66="","","Amostra")</f>
        <v/>
      </c>
      <c r="I71" s="306"/>
      <c r="J71" s="23" t="str">
        <f>IF(I71="","","Massa")</f>
        <v/>
      </c>
      <c r="K71" s="6" t="str">
        <f>IF(I71="","","Fdiluição")</f>
        <v/>
      </c>
      <c r="M71" s="22" t="str">
        <f>IF(K72="","","Amostra")</f>
        <v/>
      </c>
      <c r="N71" s="24" t="str">
        <f>IF(K72="","",I71)</f>
        <v/>
      </c>
      <c r="O71" s="23" t="str">
        <f>IF(N71="","","Massa")</f>
        <v/>
      </c>
      <c r="P71" s="6" t="str">
        <f>IF(N71="","","Fdiluição")</f>
        <v/>
      </c>
      <c r="R71" s="22" t="str">
        <f>IF(P72="","","Amostra")</f>
        <v/>
      </c>
      <c r="S71" s="24" t="str">
        <f>IF(P72="","",N71)</f>
        <v/>
      </c>
      <c r="T71" s="23" t="str">
        <f>IF(S71="","","Massa")</f>
        <v/>
      </c>
      <c r="U71" s="6" t="str">
        <f>IF(S71="","","Fdiluição")</f>
        <v/>
      </c>
      <c r="V71" s="19"/>
      <c r="W71" s="19"/>
      <c r="Y71" s="9"/>
      <c r="Z71" s="73"/>
    </row>
    <row r="72" spans="1:26" x14ac:dyDescent="0.2">
      <c r="B72" s="75"/>
      <c r="C72" s="75"/>
      <c r="D72" s="75"/>
      <c r="E72" s="75"/>
      <c r="H72" s="27" t="str">
        <f>IF(I71="","","Frasco")</f>
        <v/>
      </c>
      <c r="I72" s="5"/>
      <c r="J72" s="23" t="str">
        <f>IF(I71="","","gramas")</f>
        <v/>
      </c>
      <c r="K72" s="28" t="str">
        <f>IFERROR(J74/J73,"")</f>
        <v/>
      </c>
      <c r="M72" s="27" t="str">
        <f>IF(N71="","","Frasco")</f>
        <v/>
      </c>
      <c r="N72" s="5"/>
      <c r="O72" s="23" t="str">
        <f>IF(N71="","","gramas")</f>
        <v/>
      </c>
      <c r="P72" s="28" t="str">
        <f>IFERROR(O74/O73,"")</f>
        <v/>
      </c>
      <c r="Q72" s="19"/>
      <c r="R72" s="27" t="str">
        <f>IF(S71="","","Frasco")</f>
        <v/>
      </c>
      <c r="S72" s="5"/>
      <c r="T72" s="23" t="str">
        <f>IF(S71="","","gramas")</f>
        <v/>
      </c>
      <c r="U72" s="28" t="str">
        <f>IFERROR(T74/T73,"")</f>
        <v/>
      </c>
      <c r="V72" s="19"/>
      <c r="W72" s="19"/>
      <c r="Y72" s="9"/>
      <c r="Z72" s="73"/>
    </row>
    <row r="73" spans="1:26" x14ac:dyDescent="0.2">
      <c r="H73" s="27" t="str">
        <f>IF(I71="","","Frasco + Amostra")</f>
        <v/>
      </c>
      <c r="I73" s="5"/>
      <c r="J73" s="23" t="str">
        <f>IF(I72="","",I73-I72)</f>
        <v/>
      </c>
      <c r="K73" s="19" t="str">
        <f>IF(I71="","","Amostra")</f>
        <v/>
      </c>
      <c r="L73" s="19"/>
      <c r="M73" s="27" t="str">
        <f>IF(N71="","","Frasco + Amostra")</f>
        <v/>
      </c>
      <c r="N73" s="5"/>
      <c r="O73" s="23" t="str">
        <f>IF(N72="","",N73-N72)</f>
        <v/>
      </c>
      <c r="P73" s="19" t="str">
        <f>IF(N71="","","Amostra")</f>
        <v/>
      </c>
      <c r="Q73" s="28"/>
      <c r="R73" s="27" t="str">
        <f>IF(S71="","","Frasco + Amostra")</f>
        <v/>
      </c>
      <c r="S73" s="5"/>
      <c r="T73" s="23" t="str">
        <f>IF(S72="","",S73-S72)</f>
        <v/>
      </c>
      <c r="U73" s="19" t="str">
        <f>IF(S71="","","Amostra")</f>
        <v/>
      </c>
      <c r="V73" s="19"/>
      <c r="W73" s="19"/>
      <c r="Y73" s="9"/>
      <c r="Z73" s="73"/>
    </row>
    <row r="74" spans="1:26" x14ac:dyDescent="0.2">
      <c r="H74" s="34" t="str">
        <f>IF(I71="","","Massa final")</f>
        <v/>
      </c>
      <c r="I74" s="5"/>
      <c r="J74" s="23" t="str">
        <f>IF(I72="","",I74-I72)</f>
        <v/>
      </c>
      <c r="K74" s="19" t="str">
        <f>IF(I71="","","Solução")</f>
        <v/>
      </c>
      <c r="L74" s="28"/>
      <c r="M74" s="34" t="str">
        <f>IF(N71="","","Massa final")</f>
        <v/>
      </c>
      <c r="N74" s="5"/>
      <c r="O74" s="23" t="str">
        <f>IF(N72="","",N74-N72)</f>
        <v/>
      </c>
      <c r="P74" s="19" t="str">
        <f>IF(N71="","","Solução")</f>
        <v/>
      </c>
      <c r="Q74" s="19"/>
      <c r="R74" s="34" t="str">
        <f>IF(S71="","","Massa final")</f>
        <v/>
      </c>
      <c r="S74" s="5"/>
      <c r="T74" s="23" t="str">
        <f>IF(S72="","",S74-S72)</f>
        <v/>
      </c>
      <c r="U74" s="19" t="str">
        <f>IF(S71="","","Solução")</f>
        <v/>
      </c>
      <c r="V74" s="19"/>
      <c r="W74" s="19"/>
      <c r="Y74" s="9"/>
      <c r="Z74" s="73"/>
    </row>
    <row r="75" spans="1:26" x14ac:dyDescent="0.2">
      <c r="I75" s="19"/>
      <c r="N75" s="19"/>
      <c r="O75" s="23"/>
      <c r="P75" s="6"/>
      <c r="S75" s="19"/>
      <c r="T75" s="23"/>
      <c r="V75" s="19"/>
      <c r="W75" s="19"/>
      <c r="Y75" s="9"/>
      <c r="Z75" s="73"/>
    </row>
    <row r="76" spans="1:26" x14ac:dyDescent="0.2">
      <c r="G76" s="75"/>
      <c r="H76" s="22" t="str">
        <f>IF(I71="","","Amostra")</f>
        <v/>
      </c>
      <c r="I76" s="2"/>
      <c r="J76" s="23" t="str">
        <f>IF(I76="","","Massa")</f>
        <v/>
      </c>
      <c r="K76" s="6" t="str">
        <f>IF(I76="","","Fdiluição")</f>
        <v/>
      </c>
      <c r="L76" s="75"/>
      <c r="M76" s="22" t="str">
        <f>IF(K77="","","Amostra")</f>
        <v/>
      </c>
      <c r="N76" s="24" t="str">
        <f>IF(K77="","",I76)</f>
        <v/>
      </c>
      <c r="O76" s="23" t="str">
        <f>IF(N76="","","Massa")</f>
        <v/>
      </c>
      <c r="P76" s="6" t="str">
        <f>IF(N76="","","Fdiluição")</f>
        <v/>
      </c>
      <c r="R76" s="22" t="str">
        <f>IF(P77="","","Amostra")</f>
        <v/>
      </c>
      <c r="S76" s="24" t="str">
        <f>IF(P77="","",N76)</f>
        <v/>
      </c>
      <c r="T76" s="23" t="str">
        <f>IF(S76="","","Massa")</f>
        <v/>
      </c>
      <c r="U76" s="6" t="str">
        <f>IF(S76="","","Fdiluição")</f>
        <v/>
      </c>
      <c r="V76" s="19"/>
      <c r="W76" s="19"/>
      <c r="Y76" s="9"/>
      <c r="Z76" s="73"/>
    </row>
    <row r="77" spans="1:26" x14ac:dyDescent="0.2">
      <c r="G77" s="75"/>
      <c r="H77" s="27" t="str">
        <f>IF(I76="","","Frasco")</f>
        <v/>
      </c>
      <c r="I77" s="5"/>
      <c r="J77" s="23" t="str">
        <f>IF(I76="","","gramas")</f>
        <v/>
      </c>
      <c r="K77" s="28" t="str">
        <f>IFERROR(J79/J78,"")</f>
        <v/>
      </c>
      <c r="L77" s="75"/>
      <c r="M77" s="27" t="str">
        <f>IF(N76="","","Frasco")</f>
        <v/>
      </c>
      <c r="N77" s="5"/>
      <c r="O77" s="23" t="str">
        <f>IF(N76="","","gramas")</f>
        <v/>
      </c>
      <c r="P77" s="28" t="str">
        <f>IFERROR(O79/O78,"")</f>
        <v/>
      </c>
      <c r="Q77" s="19"/>
      <c r="R77" s="27" t="str">
        <f>IF(S76="","","Frasco")</f>
        <v/>
      </c>
      <c r="S77" s="5"/>
      <c r="T77" s="23" t="str">
        <f>IF(S76="","","gramas")</f>
        <v/>
      </c>
      <c r="U77" s="28" t="str">
        <f>IFERROR(T79/T78,"")</f>
        <v/>
      </c>
      <c r="V77" s="19"/>
      <c r="W77" s="19"/>
      <c r="Y77" s="9"/>
      <c r="Z77" s="73"/>
    </row>
    <row r="78" spans="1:26" x14ac:dyDescent="0.2">
      <c r="G78" s="75"/>
      <c r="H78" s="27" t="str">
        <f>IF(I76="","","Frasco + Amostra")</f>
        <v/>
      </c>
      <c r="I78" s="5"/>
      <c r="J78" s="23" t="str">
        <f>IF(I77="","",I78-I77)</f>
        <v/>
      </c>
      <c r="K78" s="19" t="str">
        <f>IF(I76="","","Amostra")</f>
        <v/>
      </c>
      <c r="L78" s="77"/>
      <c r="M78" s="27" t="str">
        <f>IF(N76="","","Frasco + Amostra")</f>
        <v/>
      </c>
      <c r="N78" s="5"/>
      <c r="O78" s="23" t="str">
        <f>IF(N77="","",N78-N77)</f>
        <v/>
      </c>
      <c r="P78" s="19" t="str">
        <f>IF(N76="","","Amostra")</f>
        <v/>
      </c>
      <c r="Q78" s="28"/>
      <c r="R78" s="27" t="str">
        <f>IF(S76="","","Frasco + Amostra")</f>
        <v/>
      </c>
      <c r="S78" s="5"/>
      <c r="T78" s="23" t="str">
        <f>IF(S77="","",S78-S77)</f>
        <v/>
      </c>
      <c r="U78" s="19" t="str">
        <f>IF(S76="","","Amostra")</f>
        <v/>
      </c>
      <c r="V78" s="19"/>
      <c r="W78" s="19"/>
      <c r="Y78" s="9"/>
      <c r="Z78" s="73"/>
    </row>
    <row r="79" spans="1:26" x14ac:dyDescent="0.2">
      <c r="G79" s="75"/>
      <c r="H79" s="34" t="str">
        <f>IF(I76="","","Massa final")</f>
        <v/>
      </c>
      <c r="I79" s="5"/>
      <c r="J79" s="23" t="str">
        <f>IF(I77="","",I79-I77)</f>
        <v/>
      </c>
      <c r="K79" s="19" t="str">
        <f>IF(I76="","","Solução")</f>
        <v/>
      </c>
      <c r="L79" s="75"/>
      <c r="M79" s="34" t="str">
        <f>IF(N76="","","Massa final")</f>
        <v/>
      </c>
      <c r="N79" s="5"/>
      <c r="O79" s="23" t="str">
        <f>IF(N77="","",N79-N77)</f>
        <v/>
      </c>
      <c r="P79" s="19" t="str">
        <f>IF(N76="","","Solução")</f>
        <v/>
      </c>
      <c r="Q79" s="19"/>
      <c r="R79" s="34" t="str">
        <f>IF(S76="","","Massa final")</f>
        <v/>
      </c>
      <c r="S79" s="5"/>
      <c r="T79" s="23" t="str">
        <f>IF(S77="","",S79-S77)</f>
        <v/>
      </c>
      <c r="U79" s="19" t="str">
        <f>IF(S76="","","Solução")</f>
        <v/>
      </c>
      <c r="V79" s="19"/>
      <c r="W79" s="19"/>
      <c r="Y79" s="9"/>
      <c r="Z79" s="73"/>
    </row>
    <row r="80" spans="1:26" x14ac:dyDescent="0.2">
      <c r="G80" s="75"/>
      <c r="I80" s="19"/>
      <c r="J80" s="75"/>
      <c r="K80" s="75"/>
      <c r="L80" s="75"/>
      <c r="N80" s="19"/>
      <c r="O80" s="23"/>
      <c r="P80" s="6"/>
      <c r="S80" s="19"/>
      <c r="T80" s="23"/>
      <c r="V80" s="19"/>
      <c r="W80" s="19"/>
      <c r="Y80" s="9"/>
      <c r="Z80" s="73"/>
    </row>
    <row r="81" spans="6:26" x14ac:dyDescent="0.2">
      <c r="F81" s="75"/>
      <c r="G81" s="75"/>
      <c r="H81" s="22" t="str">
        <f>IF(I76="","","Amostra")</f>
        <v/>
      </c>
      <c r="I81" s="2"/>
      <c r="J81" s="23" t="str">
        <f>IF(I81="","","Massa")</f>
        <v/>
      </c>
      <c r="K81" s="6" t="str">
        <f>IF(I81="","","Fdiluição")</f>
        <v/>
      </c>
      <c r="L81" s="75"/>
      <c r="M81" s="22" t="str">
        <f>IF(K82="","","Amostra")</f>
        <v/>
      </c>
      <c r="N81" s="24" t="str">
        <f>IF(K82="","",I81)</f>
        <v/>
      </c>
      <c r="O81" s="23" t="str">
        <f>IF(N81="","","Massa")</f>
        <v/>
      </c>
      <c r="P81" s="6" t="str">
        <f>IF(N81="","","Fdiluição")</f>
        <v/>
      </c>
      <c r="R81" s="22" t="str">
        <f>IF(P82="","","Amostra")</f>
        <v/>
      </c>
      <c r="S81" s="24" t="str">
        <f>IF(P82="","",N81)</f>
        <v/>
      </c>
      <c r="T81" s="23" t="str">
        <f>IF(S81="","","Massa")</f>
        <v/>
      </c>
      <c r="U81" s="6" t="str">
        <f>IF(S81="","","Fdiluição")</f>
        <v/>
      </c>
      <c r="V81" s="19"/>
      <c r="W81" s="19"/>
      <c r="Y81" s="9"/>
      <c r="Z81" s="73"/>
    </row>
    <row r="82" spans="6:26" x14ac:dyDescent="0.2">
      <c r="F82" s="75"/>
      <c r="G82" s="75"/>
      <c r="H82" s="27" t="str">
        <f>IF(I81="","","Frasco")</f>
        <v/>
      </c>
      <c r="I82" s="5"/>
      <c r="J82" s="23" t="str">
        <f>IF(I81="","","gramas")</f>
        <v/>
      </c>
      <c r="K82" s="28" t="str">
        <f>IFERROR(J84/J83,"")</f>
        <v/>
      </c>
      <c r="L82" s="75"/>
      <c r="M82" s="27" t="str">
        <f>IF(N81="","","Frasco")</f>
        <v/>
      </c>
      <c r="N82" s="5"/>
      <c r="O82" s="23" t="str">
        <f>IF(N81="","","gramas")</f>
        <v/>
      </c>
      <c r="P82" s="28" t="str">
        <f>IFERROR(O84/O83,"")</f>
        <v/>
      </c>
      <c r="Q82" s="19"/>
      <c r="R82" s="27" t="str">
        <f>IF(S81="","","Frasco")</f>
        <v/>
      </c>
      <c r="S82" s="5"/>
      <c r="T82" s="23" t="str">
        <f>IF(S81="","","gramas")</f>
        <v/>
      </c>
      <c r="U82" s="28" t="str">
        <f>IFERROR(T84/T83,"")</f>
        <v/>
      </c>
      <c r="V82" s="19"/>
      <c r="W82" s="19"/>
      <c r="Y82" s="9"/>
      <c r="Z82" s="73"/>
    </row>
    <row r="83" spans="6:26" ht="15" x14ac:dyDescent="0.25">
      <c r="F83" s="75"/>
      <c r="G83" s="75"/>
      <c r="H83" s="27" t="str">
        <f>IF(I81="","","Frasco + Amostra")</f>
        <v/>
      </c>
      <c r="I83" s="285"/>
      <c r="J83" s="23" t="str">
        <f>IF(I82="","",I83-I82)</f>
        <v/>
      </c>
      <c r="K83" s="19" t="str">
        <f>IF(I81="","","Amostra")</f>
        <v/>
      </c>
      <c r="L83" s="75"/>
      <c r="M83" s="27" t="str">
        <f>IF(N81="","","Frasco + Amostra")</f>
        <v/>
      </c>
      <c r="N83" s="5"/>
      <c r="O83" s="23" t="str">
        <f>IF(N82="","",N83-N82)</f>
        <v/>
      </c>
      <c r="P83" s="19" t="str">
        <f>IF(N81="","","Amostra")</f>
        <v/>
      </c>
      <c r="Q83" s="28"/>
      <c r="R83" s="27" t="str">
        <f>IF(S81="","","Frasco + Amostra")</f>
        <v/>
      </c>
      <c r="S83" s="5"/>
      <c r="T83" s="23" t="str">
        <f>IF(S82="","",S83-S82)</f>
        <v/>
      </c>
      <c r="U83" s="19" t="str">
        <f>IF(S81="","","Amostra")</f>
        <v/>
      </c>
      <c r="V83" s="19"/>
      <c r="W83" s="19"/>
      <c r="Y83" s="9"/>
      <c r="Z83" s="73"/>
    </row>
    <row r="84" spans="6:26" ht="15" x14ac:dyDescent="0.25">
      <c r="F84" s="75"/>
      <c r="G84" s="75"/>
      <c r="H84" s="34" t="str">
        <f>IF(I81="","","Massa final")</f>
        <v/>
      </c>
      <c r="I84" s="285"/>
      <c r="J84" s="23" t="str">
        <f>IF(I82="","",I84-I82)</f>
        <v/>
      </c>
      <c r="K84" s="19" t="str">
        <f>IF(I81="","","Solução")</f>
        <v/>
      </c>
      <c r="L84" s="75"/>
      <c r="M84" s="34" t="str">
        <f>IF(N81="","","Massa final")</f>
        <v/>
      </c>
      <c r="N84" s="5"/>
      <c r="O84" s="23" t="str">
        <f>IF(N82="","",N84-N82)</f>
        <v/>
      </c>
      <c r="P84" s="19" t="str">
        <f>IF(N81="","","Solução")</f>
        <v/>
      </c>
      <c r="Q84" s="19"/>
      <c r="R84" s="34" t="str">
        <f>IF(S81="","","Massa final")</f>
        <v/>
      </c>
      <c r="S84" s="5"/>
      <c r="T84" s="23" t="str">
        <f>IF(S82="","",S84-S82)</f>
        <v/>
      </c>
      <c r="U84" s="19" t="str">
        <f>IF(S81="","","Solução")</f>
        <v/>
      </c>
      <c r="V84" s="19"/>
      <c r="W84" s="19"/>
      <c r="Y84" s="9"/>
      <c r="Z84" s="73"/>
    </row>
    <row r="85" spans="6:26" x14ac:dyDescent="0.2">
      <c r="F85" s="75"/>
      <c r="G85" s="75"/>
      <c r="I85" s="19"/>
      <c r="J85" s="75"/>
      <c r="K85" s="75"/>
      <c r="L85" s="75"/>
      <c r="N85" s="19"/>
      <c r="O85" s="23"/>
      <c r="P85" s="6"/>
      <c r="S85" s="19"/>
      <c r="T85" s="23"/>
      <c r="V85" s="19"/>
      <c r="W85" s="19"/>
      <c r="Y85" s="9"/>
      <c r="Z85" s="73"/>
    </row>
    <row r="86" spans="6:26" x14ac:dyDescent="0.2">
      <c r="F86" s="75"/>
      <c r="G86" s="75"/>
      <c r="H86" s="22" t="str">
        <f>IF(I81="","","Amostra")</f>
        <v/>
      </c>
      <c r="I86" s="2"/>
      <c r="J86" s="23" t="str">
        <f>IF(I86="","","Massa")</f>
        <v/>
      </c>
      <c r="K86" s="6" t="str">
        <f>IF(I86="","","Fdiluição")</f>
        <v/>
      </c>
      <c r="L86" s="75"/>
      <c r="M86" s="22" t="str">
        <f>IF(K87="","","Amostra")</f>
        <v/>
      </c>
      <c r="N86" s="24" t="str">
        <f>IF(K87="","",I86)</f>
        <v/>
      </c>
      <c r="O86" s="23" t="str">
        <f>IF(N86="","","Massa")</f>
        <v/>
      </c>
      <c r="P86" s="6" t="str">
        <f>IF(N86="","","Fdiluição")</f>
        <v/>
      </c>
      <c r="R86" s="22" t="str">
        <f>IF(P87="","","Amostra")</f>
        <v/>
      </c>
      <c r="S86" s="24" t="str">
        <f>IF(P87="","",N86)</f>
        <v/>
      </c>
      <c r="T86" s="23" t="str">
        <f>IF(S86="","","Massa")</f>
        <v/>
      </c>
      <c r="U86" s="6" t="str">
        <f>IF(S86="","","Fdiluição")</f>
        <v/>
      </c>
      <c r="V86" s="19"/>
      <c r="W86" s="19"/>
      <c r="Y86" s="9"/>
      <c r="Z86" s="73"/>
    </row>
    <row r="87" spans="6:26" x14ac:dyDescent="0.2">
      <c r="F87" s="75"/>
      <c r="G87" s="75"/>
      <c r="H87" s="27" t="str">
        <f>IF(I86="","","Frasco")</f>
        <v/>
      </c>
      <c r="I87" s="305"/>
      <c r="J87" s="23" t="str">
        <f>IF(I86="","","gramas")</f>
        <v/>
      </c>
      <c r="K87" s="28" t="str">
        <f>IFERROR(J89/J88,"")</f>
        <v/>
      </c>
      <c r="L87" s="75"/>
      <c r="M87" s="27" t="str">
        <f>IF(N86="","","Frasco")</f>
        <v/>
      </c>
      <c r="N87" s="5"/>
      <c r="O87" s="23" t="str">
        <f>IF(N86="","","gramas")</f>
        <v/>
      </c>
      <c r="P87" s="28" t="str">
        <f>IFERROR(O89/O88,"")</f>
        <v/>
      </c>
      <c r="Q87" s="19"/>
      <c r="R87" s="27" t="str">
        <f>IF(S86="","","Frasco")</f>
        <v/>
      </c>
      <c r="S87" s="5"/>
      <c r="T87" s="23" t="str">
        <f>IF(S86="","","gramas")</f>
        <v/>
      </c>
      <c r="U87" s="28" t="str">
        <f>IFERROR(T89/T88,"")</f>
        <v/>
      </c>
      <c r="V87" s="19"/>
      <c r="W87" s="19"/>
      <c r="Y87" s="9"/>
      <c r="Z87" s="73"/>
    </row>
    <row r="88" spans="6:26" ht="15" x14ac:dyDescent="0.25">
      <c r="G88" s="75"/>
      <c r="H88" s="27" t="str">
        <f>IF(I86="","","Frasco + Amostra")</f>
        <v/>
      </c>
      <c r="I88" s="285"/>
      <c r="J88" s="23" t="str">
        <f>IF(I87="","",I88-I87)</f>
        <v/>
      </c>
      <c r="K88" s="19" t="str">
        <f>IF(I86="","","Amostra")</f>
        <v/>
      </c>
      <c r="L88" s="75"/>
      <c r="M88" s="27" t="str">
        <f>IF(N86="","","Frasco + Amostra")</f>
        <v/>
      </c>
      <c r="N88" s="5"/>
      <c r="O88" s="23" t="str">
        <f>IF(N87="","",N88-N87)</f>
        <v/>
      </c>
      <c r="P88" s="19" t="str">
        <f>IF(N86="","","Amostra")</f>
        <v/>
      </c>
      <c r="Q88" s="28"/>
      <c r="R88" s="27" t="str">
        <f>IF(S86="","","Frasco + Amostra")</f>
        <v/>
      </c>
      <c r="S88" s="5"/>
      <c r="T88" s="23" t="str">
        <f>IF(S87="","",S88-S87)</f>
        <v/>
      </c>
      <c r="U88" s="19" t="str">
        <f>IF(S86="","","Amostra")</f>
        <v/>
      </c>
      <c r="V88" s="19"/>
      <c r="W88" s="19"/>
      <c r="Y88" s="9"/>
      <c r="Z88" s="73"/>
    </row>
    <row r="89" spans="6:26" x14ac:dyDescent="0.2">
      <c r="G89" s="75"/>
      <c r="H89" s="34" t="str">
        <f>IF(I86="","","Massa final")</f>
        <v/>
      </c>
      <c r="I89" s="5"/>
      <c r="J89" s="23" t="str">
        <f>IF(I87="","",I89-I87)</f>
        <v/>
      </c>
      <c r="K89" s="19" t="str">
        <f>IF(I86="","","Solução")</f>
        <v/>
      </c>
      <c r="L89" s="75"/>
      <c r="M89" s="34" t="str">
        <f>IF(N86="","","Massa final")</f>
        <v/>
      </c>
      <c r="N89" s="5"/>
      <c r="O89" s="23" t="str">
        <f>IF(N87="","",N89-N87)</f>
        <v/>
      </c>
      <c r="P89" s="19" t="str">
        <f>IF(N86="","","Solução")</f>
        <v/>
      </c>
      <c r="Q89" s="19"/>
      <c r="R89" s="34" t="str">
        <f>IF(S86="","","Massa final")</f>
        <v/>
      </c>
      <c r="S89" s="5"/>
      <c r="T89" s="23" t="str">
        <f>IF(S87="","",S89-S87)</f>
        <v/>
      </c>
      <c r="U89" s="19" t="str">
        <f>IF(S86="","","Solução")</f>
        <v/>
      </c>
      <c r="V89" s="19"/>
      <c r="W89" s="19"/>
      <c r="Y89" s="9"/>
      <c r="Z89" s="73"/>
    </row>
    <row r="90" spans="6:26" x14ac:dyDescent="0.2">
      <c r="F90" s="75"/>
      <c r="G90" s="75"/>
      <c r="I90" s="19"/>
      <c r="J90" s="75"/>
      <c r="K90" s="75"/>
      <c r="L90" s="75"/>
      <c r="N90" s="19"/>
      <c r="O90" s="23"/>
      <c r="P90" s="6"/>
      <c r="S90" s="19"/>
      <c r="T90" s="23"/>
      <c r="V90" s="19"/>
      <c r="W90" s="19"/>
      <c r="Y90" s="9"/>
      <c r="Z90" s="73"/>
    </row>
    <row r="91" spans="6:26" x14ac:dyDescent="0.2">
      <c r="F91" s="75"/>
      <c r="H91" s="22" t="str">
        <f>IF(I86="","","Amostra")</f>
        <v/>
      </c>
      <c r="I91" s="2"/>
      <c r="J91" s="23" t="str">
        <f>IF(I91="","","Massa")</f>
        <v/>
      </c>
      <c r="K91" s="6" t="str">
        <f>IF(I91="","","Fdiluição")</f>
        <v/>
      </c>
      <c r="M91" s="22" t="str">
        <f>IF(K92="","","Amostra")</f>
        <v/>
      </c>
      <c r="N91" s="24" t="str">
        <f>IF(K92="","",I91)</f>
        <v/>
      </c>
      <c r="O91" s="23" t="str">
        <f>IF(N91="","","Massa")</f>
        <v/>
      </c>
      <c r="P91" s="6" t="str">
        <f>IF(N91="","","Fdiluição")</f>
        <v/>
      </c>
      <c r="R91" s="22" t="str">
        <f>IF(P92="","","Amostra")</f>
        <v/>
      </c>
      <c r="S91" s="24" t="str">
        <f>IF(P92="","",N91)</f>
        <v/>
      </c>
      <c r="T91" s="23" t="str">
        <f>IF(S91="","","Massa")</f>
        <v/>
      </c>
      <c r="U91" s="6" t="str">
        <f>IF(S91="","","Fdiluição")</f>
        <v/>
      </c>
      <c r="V91" s="19"/>
      <c r="W91" s="19"/>
      <c r="Y91" s="9"/>
      <c r="Z91" s="73"/>
    </row>
    <row r="92" spans="6:26" x14ac:dyDescent="0.2">
      <c r="F92" s="75"/>
      <c r="H92" s="27" t="str">
        <f>IF(I91="","","Frasco")</f>
        <v/>
      </c>
      <c r="I92" s="5"/>
      <c r="J92" s="23" t="str">
        <f>IF(I91="","","gramas")</f>
        <v/>
      </c>
      <c r="K92" s="28" t="str">
        <f>IFERROR(J94/J93,"")</f>
        <v/>
      </c>
      <c r="M92" s="27" t="str">
        <f>IF(N91="","","Frasco")</f>
        <v/>
      </c>
      <c r="N92" s="5"/>
      <c r="O92" s="23" t="str">
        <f>IF(N91="","","gramas")</f>
        <v/>
      </c>
      <c r="P92" s="28" t="str">
        <f>IFERROR(O94/O93,"")</f>
        <v/>
      </c>
      <c r="Q92" s="19"/>
      <c r="R92" s="27" t="str">
        <f>IF(S91="","","Frasco")</f>
        <v/>
      </c>
      <c r="S92" s="5"/>
      <c r="T92" s="23" t="str">
        <f>IF(S91="","","gramas")</f>
        <v/>
      </c>
      <c r="U92" s="28" t="str">
        <f>IFERROR(T94/T93,"")</f>
        <v/>
      </c>
      <c r="V92" s="19"/>
      <c r="W92" s="19"/>
      <c r="Y92" s="9"/>
      <c r="Z92" s="73"/>
    </row>
    <row r="93" spans="6:26" x14ac:dyDescent="0.2">
      <c r="F93" s="75"/>
      <c r="H93" s="27" t="str">
        <f>IF(I91="","","Frasco + Amostra")</f>
        <v/>
      </c>
      <c r="I93" s="5"/>
      <c r="J93" s="23" t="str">
        <f>IF(I92="","",I93-I92)</f>
        <v/>
      </c>
      <c r="K93" s="19" t="str">
        <f>IF(I91="","","Amostra")</f>
        <v/>
      </c>
      <c r="M93" s="27" t="str">
        <f>IF(N91="","","Frasco + Amostra")</f>
        <v/>
      </c>
      <c r="N93" s="5"/>
      <c r="O93" s="23" t="str">
        <f>IF(N92="","",N93-N92)</f>
        <v/>
      </c>
      <c r="P93" s="19" t="str">
        <f>IF(N91="","","Amostra")</f>
        <v/>
      </c>
      <c r="Q93" s="28"/>
      <c r="R93" s="27" t="str">
        <f>IF(S91="","","Frasco + Amostra")</f>
        <v/>
      </c>
      <c r="S93" s="5"/>
      <c r="T93" s="23" t="str">
        <f>IF(S92="","",S93-S92)</f>
        <v/>
      </c>
      <c r="U93" s="19" t="str">
        <f>IF(S91="","","Amostra")</f>
        <v/>
      </c>
      <c r="V93" s="19"/>
      <c r="W93" s="19"/>
      <c r="Y93" s="9"/>
      <c r="Z93" s="73"/>
    </row>
    <row r="94" spans="6:26" x14ac:dyDescent="0.2">
      <c r="F94" s="75"/>
      <c r="H94" s="34" t="str">
        <f>IF(I91="","","Massa final")</f>
        <v/>
      </c>
      <c r="I94" s="5"/>
      <c r="J94" s="23" t="str">
        <f>IF(I92="","",I94-I92)</f>
        <v/>
      </c>
      <c r="K94" s="19" t="str">
        <f>IF(I91="","","Solução")</f>
        <v/>
      </c>
      <c r="M94" s="34" t="str">
        <f>IF(N91="","","Massa final")</f>
        <v/>
      </c>
      <c r="N94" s="5"/>
      <c r="O94" s="23" t="str">
        <f>IF(N92="","",N94-N92)</f>
        <v/>
      </c>
      <c r="P94" s="19" t="str">
        <f>IF(N91="","","Solução")</f>
        <v/>
      </c>
      <c r="Q94" s="19"/>
      <c r="R94" s="34" t="str">
        <f>IF(S91="","","Massa final")</f>
        <v/>
      </c>
      <c r="S94" s="5"/>
      <c r="T94" s="23" t="str">
        <f>IF(S92="","",S94-S92)</f>
        <v/>
      </c>
      <c r="U94" s="19" t="str">
        <f>IF(S91="","","Solução")</f>
        <v/>
      </c>
      <c r="V94" s="19"/>
      <c r="W94" s="19"/>
      <c r="Y94" s="9"/>
      <c r="Z94" s="73"/>
    </row>
    <row r="95" spans="6:26" x14ac:dyDescent="0.2">
      <c r="F95" s="75"/>
      <c r="I95" s="19"/>
      <c r="J95" s="75"/>
      <c r="K95" s="75"/>
      <c r="L95" s="75"/>
      <c r="N95" s="19"/>
      <c r="O95" s="23"/>
      <c r="P95" s="6"/>
      <c r="S95" s="19"/>
      <c r="T95" s="23"/>
      <c r="V95" s="19"/>
      <c r="W95" s="19"/>
      <c r="Y95" s="9"/>
      <c r="Z95" s="73"/>
    </row>
    <row r="96" spans="6:26" x14ac:dyDescent="0.2">
      <c r="H96" s="22" t="str">
        <f>IF(I91="","","Amostra")</f>
        <v/>
      </c>
      <c r="I96" s="2"/>
      <c r="J96" s="23" t="str">
        <f>IF(I96="","","Massa")</f>
        <v/>
      </c>
      <c r="K96" s="6" t="str">
        <f>IF(I96="","","Fdiluição")</f>
        <v/>
      </c>
      <c r="L96" s="75"/>
      <c r="M96" s="22" t="str">
        <f>IF(K97="","","Amostra")</f>
        <v/>
      </c>
      <c r="N96" s="24" t="str">
        <f>IF(K97="","",I96)</f>
        <v/>
      </c>
      <c r="O96" s="23" t="str">
        <f>IF(N96="","","Massa")</f>
        <v/>
      </c>
      <c r="P96" s="6" t="str">
        <f>IF(N96="","","Fdiluição")</f>
        <v/>
      </c>
      <c r="R96" s="22" t="str">
        <f>IF(P97="","","Amostra")</f>
        <v/>
      </c>
      <c r="S96" s="24" t="str">
        <f>IF(P97="","",N96)</f>
        <v/>
      </c>
      <c r="T96" s="23" t="str">
        <f>IF(S96="","","Massa")</f>
        <v/>
      </c>
      <c r="U96" s="6" t="str">
        <f>IF(S96="","","Fdiluição")</f>
        <v/>
      </c>
      <c r="V96" s="19"/>
      <c r="W96" s="19"/>
      <c r="Y96" s="9"/>
      <c r="Z96" s="73"/>
    </row>
    <row r="97" spans="7:26" x14ac:dyDescent="0.2">
      <c r="H97" s="27" t="str">
        <f>IF(I96="","","Frasco")</f>
        <v/>
      </c>
      <c r="I97" s="5"/>
      <c r="J97" s="23" t="str">
        <f>IF(I96="","","gramas")</f>
        <v/>
      </c>
      <c r="K97" s="28" t="str">
        <f>IFERROR(J99/J98,"")</f>
        <v/>
      </c>
      <c r="L97" s="75"/>
      <c r="M97" s="27" t="str">
        <f>IF(N96="","","Frasco")</f>
        <v/>
      </c>
      <c r="N97" s="5"/>
      <c r="O97" s="23" t="str">
        <f>IF(N96="","","gramas")</f>
        <v/>
      </c>
      <c r="P97" s="28" t="str">
        <f>IFERROR(O99/O98,"")</f>
        <v/>
      </c>
      <c r="Q97" s="19"/>
      <c r="R97" s="27" t="str">
        <f>IF(S96="","","Frasco")</f>
        <v/>
      </c>
      <c r="S97" s="5"/>
      <c r="T97" s="23" t="str">
        <f>IF(S96="","","gramas")</f>
        <v/>
      </c>
      <c r="U97" s="28" t="str">
        <f>IFERROR(T99/T98,"")</f>
        <v/>
      </c>
      <c r="V97" s="19"/>
      <c r="W97" s="19"/>
      <c r="Y97" s="9"/>
      <c r="Z97" s="73"/>
    </row>
    <row r="98" spans="7:26" x14ac:dyDescent="0.2">
      <c r="H98" s="27" t="str">
        <f>IF(I96="","","Frasco + Amostra")</f>
        <v/>
      </c>
      <c r="I98" s="5"/>
      <c r="J98" s="23" t="str">
        <f>IF(I97="","",I98-I97)</f>
        <v/>
      </c>
      <c r="K98" s="19" t="str">
        <f>IF(I96="","","Amostra")</f>
        <v/>
      </c>
      <c r="L98" s="75"/>
      <c r="M98" s="27" t="str">
        <f>IF(N96="","","Frasco + Amostra")</f>
        <v/>
      </c>
      <c r="N98" s="5"/>
      <c r="O98" s="23" t="str">
        <f>IF(N97="","",N98-N97)</f>
        <v/>
      </c>
      <c r="P98" s="19" t="str">
        <f>IF(N96="","","Amostra")</f>
        <v/>
      </c>
      <c r="Q98" s="28"/>
      <c r="R98" s="27" t="str">
        <f>IF(S96="","","Frasco + Amostra")</f>
        <v/>
      </c>
      <c r="S98" s="5"/>
      <c r="T98" s="23" t="str">
        <f>IF(S97="","",S98-S97)</f>
        <v/>
      </c>
      <c r="U98" s="19" t="str">
        <f>IF(S96="","","Amostra")</f>
        <v/>
      </c>
      <c r="V98" s="19"/>
      <c r="W98" s="19"/>
      <c r="Y98" s="9"/>
      <c r="Z98" s="73"/>
    </row>
    <row r="99" spans="7:26" x14ac:dyDescent="0.2">
      <c r="H99" s="34" t="str">
        <f>IF(I96="","","Massa final")</f>
        <v/>
      </c>
      <c r="I99" s="5"/>
      <c r="J99" s="23" t="str">
        <f>IF(I97="","",I99-I97)</f>
        <v/>
      </c>
      <c r="K99" s="19" t="str">
        <f>IF(I96="","","Solução")</f>
        <v/>
      </c>
      <c r="L99" s="75"/>
      <c r="M99" s="34" t="str">
        <f>IF(N96="","","Massa final")</f>
        <v/>
      </c>
      <c r="N99" s="5"/>
      <c r="O99" s="23" t="str">
        <f>IF(N97="","",N99-N97)</f>
        <v/>
      </c>
      <c r="P99" s="19" t="str">
        <f>IF(N96="","","Solução")</f>
        <v/>
      </c>
      <c r="Q99" s="19"/>
      <c r="R99" s="34" t="str">
        <f>IF(S96="","","Massa final")</f>
        <v/>
      </c>
      <c r="S99" s="5"/>
      <c r="T99" s="23" t="str">
        <f>IF(S97="","",S99-S97)</f>
        <v/>
      </c>
      <c r="U99" s="19" t="str">
        <f>IF(S96="","","Solução")</f>
        <v/>
      </c>
      <c r="V99" s="19"/>
      <c r="W99" s="19"/>
      <c r="Y99" s="9"/>
      <c r="Z99" s="73"/>
    </row>
    <row r="100" spans="7:26" x14ac:dyDescent="0.2">
      <c r="I100" s="19"/>
      <c r="J100" s="75"/>
      <c r="K100" s="75"/>
      <c r="L100" s="75"/>
      <c r="N100" s="19"/>
      <c r="O100" s="23"/>
      <c r="P100" s="6"/>
      <c r="S100" s="19"/>
      <c r="T100" s="23"/>
      <c r="V100" s="19"/>
      <c r="W100" s="19"/>
      <c r="Y100" s="9"/>
      <c r="Z100" s="73"/>
    </row>
    <row r="101" spans="7:26" x14ac:dyDescent="0.2">
      <c r="H101" s="22" t="str">
        <f>IF(I96="","","Amostra")</f>
        <v/>
      </c>
      <c r="I101" s="306"/>
      <c r="J101" s="23" t="str">
        <f>IF(I101="","","Massa")</f>
        <v/>
      </c>
      <c r="K101" s="6" t="str">
        <f>IF(I101="","","Fdiluição")</f>
        <v/>
      </c>
      <c r="L101" s="75"/>
      <c r="M101" s="22" t="str">
        <f>IF(K102="","","Amostra")</f>
        <v/>
      </c>
      <c r="N101" s="24" t="str">
        <f>IF(K102="","",I101)</f>
        <v/>
      </c>
      <c r="O101" s="23" t="str">
        <f>IF(N101="","","Massa")</f>
        <v/>
      </c>
      <c r="P101" s="6" t="str">
        <f>IF(N101="","","Fdiluição")</f>
        <v/>
      </c>
      <c r="R101" s="22" t="str">
        <f>IF(P102="","","Amostra")</f>
        <v/>
      </c>
      <c r="S101" s="24" t="str">
        <f>IF(P102="","",N101)</f>
        <v/>
      </c>
      <c r="T101" s="23" t="str">
        <f>IF(S101="","","Massa")</f>
        <v/>
      </c>
      <c r="U101" s="6" t="str">
        <f>IF(S101="","","Fdiluição")</f>
        <v/>
      </c>
      <c r="V101" s="19"/>
      <c r="W101" s="19"/>
      <c r="Y101" s="9"/>
      <c r="Z101" s="73"/>
    </row>
    <row r="102" spans="7:26" x14ac:dyDescent="0.2">
      <c r="H102" s="27" t="str">
        <f>IF(I101="","","Frasco")</f>
        <v/>
      </c>
      <c r="I102" s="5"/>
      <c r="J102" s="23" t="str">
        <f>IF(I101="","","gramas")</f>
        <v/>
      </c>
      <c r="K102" s="28" t="str">
        <f>IFERROR(J104/J103,"")</f>
        <v/>
      </c>
      <c r="M102" s="27" t="str">
        <f>IF(N101="","","Frasco")</f>
        <v/>
      </c>
      <c r="N102" s="5"/>
      <c r="O102" s="23" t="str">
        <f>IF(N101="","","gramas")</f>
        <v/>
      </c>
      <c r="P102" s="28" t="str">
        <f>IFERROR(O104/O103,"")</f>
        <v/>
      </c>
      <c r="Q102" s="19"/>
      <c r="R102" s="27" t="str">
        <f>IF(S101="","","Frasco")</f>
        <v/>
      </c>
      <c r="S102" s="5"/>
      <c r="T102" s="23" t="str">
        <f>IF(S101="","","gramas")</f>
        <v/>
      </c>
      <c r="U102" s="28" t="str">
        <f>IFERROR(T104/T103,"")</f>
        <v/>
      </c>
      <c r="V102" s="19"/>
      <c r="W102" s="19"/>
      <c r="Y102" s="9"/>
      <c r="Z102" s="73"/>
    </row>
    <row r="103" spans="7:26" x14ac:dyDescent="0.2">
      <c r="H103" s="27" t="str">
        <f>IF(I101="","","Frasco + Amostra")</f>
        <v/>
      </c>
      <c r="I103" s="5"/>
      <c r="J103" s="23" t="str">
        <f>IF(I102="","",I103-I102)</f>
        <v/>
      </c>
      <c r="K103" s="19" t="str">
        <f>IF(I101="","","Amostra")</f>
        <v/>
      </c>
      <c r="M103" s="27" t="str">
        <f>IF(N101="","","Frasco + Amostra")</f>
        <v/>
      </c>
      <c r="N103" s="5"/>
      <c r="O103" s="23" t="str">
        <f>IF(N102="","",N103-N102)</f>
        <v/>
      </c>
      <c r="P103" s="19" t="str">
        <f>IF(N101="","","Amostra")</f>
        <v/>
      </c>
      <c r="Q103" s="28"/>
      <c r="R103" s="27" t="str">
        <f>IF(S101="","","Frasco + Amostra")</f>
        <v/>
      </c>
      <c r="S103" s="5"/>
      <c r="T103" s="23" t="str">
        <f>IF(S102="","",S103-S102)</f>
        <v/>
      </c>
      <c r="U103" s="19" t="str">
        <f>IF(S101="","","Amostra")</f>
        <v/>
      </c>
      <c r="V103" s="19"/>
      <c r="W103" s="19"/>
      <c r="Y103" s="9"/>
      <c r="Z103" s="73"/>
    </row>
    <row r="104" spans="7:26" x14ac:dyDescent="0.2">
      <c r="H104" s="34" t="str">
        <f>IF(I101="","","Massa final")</f>
        <v/>
      </c>
      <c r="I104" s="5"/>
      <c r="J104" s="23" t="str">
        <f>IF(I102="","",I104-I102)</f>
        <v/>
      </c>
      <c r="K104" s="19" t="str">
        <f>IF(I101="","","Solução")</f>
        <v/>
      </c>
      <c r="M104" s="34" t="str">
        <f>IF(N101="","","Massa final")</f>
        <v/>
      </c>
      <c r="N104" s="5"/>
      <c r="O104" s="23" t="str">
        <f>IF(N102="","",N104-N102)</f>
        <v/>
      </c>
      <c r="P104" s="19" t="str">
        <f>IF(N101="","","Solução")</f>
        <v/>
      </c>
      <c r="Q104" s="19"/>
      <c r="R104" s="34" t="str">
        <f>IF(S101="","","Massa final")</f>
        <v/>
      </c>
      <c r="S104" s="5"/>
      <c r="T104" s="23" t="str">
        <f>IF(S102="","",S104-S102)</f>
        <v/>
      </c>
      <c r="U104" s="19" t="str">
        <f>IF(S101="","","Solução")</f>
        <v/>
      </c>
      <c r="V104" s="19"/>
      <c r="W104" s="19"/>
      <c r="Y104" s="9"/>
      <c r="Z104" s="73"/>
    </row>
    <row r="105" spans="7:26" x14ac:dyDescent="0.2">
      <c r="I105" s="19"/>
      <c r="J105" s="43"/>
      <c r="N105" s="19"/>
      <c r="O105" s="23"/>
      <c r="P105" s="6"/>
      <c r="S105" s="19"/>
      <c r="T105" s="23"/>
      <c r="V105" s="19"/>
      <c r="W105" s="19"/>
      <c r="Y105" s="9"/>
      <c r="Z105" s="73"/>
    </row>
    <row r="106" spans="7:26" x14ac:dyDescent="0.2">
      <c r="H106" s="22" t="str">
        <f>IF(I101="","","Amostra")</f>
        <v/>
      </c>
      <c r="I106" s="306"/>
      <c r="J106" s="23" t="str">
        <f>IF(I106="","","Massa")</f>
        <v/>
      </c>
      <c r="K106" s="6" t="str">
        <f>IF(I106="","","Fdiluição")</f>
        <v/>
      </c>
      <c r="M106" s="22" t="str">
        <f>IF(K107="","","Amostra")</f>
        <v/>
      </c>
      <c r="N106" s="24" t="str">
        <f>IF(K107="","",I106)</f>
        <v/>
      </c>
      <c r="O106" s="23" t="str">
        <f>IF(N106="","","Massa")</f>
        <v/>
      </c>
      <c r="P106" s="6" t="str">
        <f>IF(N106="","","Fdiluição")</f>
        <v/>
      </c>
      <c r="R106" s="22" t="str">
        <f>IF(P107="","","Amostra")</f>
        <v/>
      </c>
      <c r="S106" s="24" t="str">
        <f>IF(P107="","",N106)</f>
        <v/>
      </c>
      <c r="T106" s="23" t="str">
        <f>IF(S106="","","Massa")</f>
        <v/>
      </c>
      <c r="U106" s="6" t="str">
        <f>IF(S106="","","Fdiluição")</f>
        <v/>
      </c>
      <c r="V106" s="19"/>
      <c r="W106" s="19"/>
      <c r="Y106" s="9"/>
      <c r="Z106" s="73"/>
    </row>
    <row r="107" spans="7:26" x14ac:dyDescent="0.2">
      <c r="H107" s="27" t="str">
        <f>IF(I106="","","Frasco")</f>
        <v/>
      </c>
      <c r="I107" s="5"/>
      <c r="J107" s="23" t="str">
        <f>IF(I106="","","gramas")</f>
        <v/>
      </c>
      <c r="K107" s="28" t="str">
        <f>IFERROR(J109/J108,"")</f>
        <v/>
      </c>
      <c r="M107" s="27" t="str">
        <f>IF(N106="","","Frasco")</f>
        <v/>
      </c>
      <c r="N107" s="5"/>
      <c r="O107" s="23" t="str">
        <f>IF(N106="","","gramas")</f>
        <v/>
      </c>
      <c r="P107" s="28" t="str">
        <f>IFERROR(O109/O108,"")</f>
        <v/>
      </c>
      <c r="Q107" s="19"/>
      <c r="R107" s="27" t="str">
        <f>IF(S106="","","Frasco")</f>
        <v/>
      </c>
      <c r="S107" s="5"/>
      <c r="T107" s="23" t="str">
        <f>IF(S106="","","gramas")</f>
        <v/>
      </c>
      <c r="U107" s="28" t="str">
        <f>IFERROR(T109/T108,"")</f>
        <v/>
      </c>
      <c r="V107" s="19"/>
      <c r="W107" s="19"/>
    </row>
    <row r="108" spans="7:26" x14ac:dyDescent="0.2">
      <c r="H108" s="27" t="str">
        <f>IF(I106="","","Frasco + Amostra")</f>
        <v/>
      </c>
      <c r="I108" s="5"/>
      <c r="J108" s="23" t="str">
        <f>IF(I107="","",I108-I107)</f>
        <v/>
      </c>
      <c r="K108" s="19" t="str">
        <f>IF(I106="","","Amostra")</f>
        <v/>
      </c>
      <c r="M108" s="27" t="str">
        <f>IF(N106="","","Frasco + Amostra")</f>
        <v/>
      </c>
      <c r="N108" s="5"/>
      <c r="O108" s="23" t="str">
        <f>IF(N107="","",N108-N107)</f>
        <v/>
      </c>
      <c r="P108" s="19" t="str">
        <f>IF(N106="","","Amostra")</f>
        <v/>
      </c>
      <c r="Q108" s="28"/>
      <c r="R108" s="27" t="str">
        <f>IF(S106="","","Frasco + Amostra")</f>
        <v/>
      </c>
      <c r="S108" s="5"/>
      <c r="T108" s="23" t="str">
        <f>IF(S107="","",S108-S107)</f>
        <v/>
      </c>
      <c r="U108" s="19" t="str">
        <f>IF(S106="","","Amostra")</f>
        <v/>
      </c>
    </row>
    <row r="109" spans="7:26" x14ac:dyDescent="0.2">
      <c r="G109" s="43"/>
      <c r="H109" s="34" t="str">
        <f>IF(I106="","","Massa final")</f>
        <v/>
      </c>
      <c r="I109" s="5"/>
      <c r="J109" s="23" t="str">
        <f>IF(I107="","",I109-I107)</f>
        <v/>
      </c>
      <c r="K109" s="19" t="str">
        <f>IF(I106="","","Solução")</f>
        <v/>
      </c>
      <c r="L109" s="43"/>
      <c r="M109" s="34" t="str">
        <f>IF(N106="","","Massa final")</f>
        <v/>
      </c>
      <c r="N109" s="5"/>
      <c r="O109" s="23" t="str">
        <f>IF(N107="","",N109-N107)</f>
        <v/>
      </c>
      <c r="P109" s="19" t="str">
        <f>IF(N106="","","Solução")</f>
        <v/>
      </c>
      <c r="Q109" s="19"/>
      <c r="R109" s="34" t="str">
        <f>IF(S106="","","Massa final")</f>
        <v/>
      </c>
      <c r="S109" s="5"/>
      <c r="T109" s="23" t="str">
        <f>IF(S107="","",S109-S107)</f>
        <v/>
      </c>
      <c r="U109" s="19" t="str">
        <f>IF(S106="","","Solução")</f>
        <v/>
      </c>
    </row>
    <row r="110" spans="7:26" x14ac:dyDescent="0.2">
      <c r="G110" s="23"/>
      <c r="I110" s="19"/>
      <c r="J110" s="43"/>
      <c r="L110" s="23"/>
      <c r="N110" s="19"/>
      <c r="O110" s="23"/>
      <c r="P110" s="6"/>
      <c r="S110" s="19"/>
      <c r="T110" s="23"/>
    </row>
    <row r="111" spans="7:26" x14ac:dyDescent="0.2">
      <c r="G111" s="23"/>
      <c r="H111" s="22" t="str">
        <f>IF(I106="","","Amostra")</f>
        <v/>
      </c>
      <c r="I111" s="306"/>
      <c r="J111" s="23" t="str">
        <f>IF(I111="","","Massa")</f>
        <v/>
      </c>
      <c r="K111" s="6" t="str">
        <f>IF(I111="","","Fdiluição")</f>
        <v/>
      </c>
      <c r="L111" s="23"/>
      <c r="M111" s="22" t="str">
        <f>IF(K112="","","Amostra")</f>
        <v/>
      </c>
      <c r="N111" s="24" t="str">
        <f>IF(K112="","",I111)</f>
        <v/>
      </c>
      <c r="O111" s="23" t="str">
        <f>IF(N111="","","Massa")</f>
        <v/>
      </c>
      <c r="P111" s="6" t="str">
        <f>IF(N111="","","Fdiluição")</f>
        <v/>
      </c>
      <c r="R111" s="22" t="str">
        <f>IF(P112="","","Amostra")</f>
        <v/>
      </c>
      <c r="S111" s="24" t="str">
        <f>IF(P112="","",N111)</f>
        <v/>
      </c>
      <c r="T111" s="23" t="str">
        <f>IF(S111="","","Massa")</f>
        <v/>
      </c>
      <c r="U111" s="6" t="str">
        <f>IF(S111="","","Fdiluição")</f>
        <v/>
      </c>
    </row>
    <row r="112" spans="7:26" x14ac:dyDescent="0.2">
      <c r="G112" s="23"/>
      <c r="H112" s="27" t="str">
        <f>IF(I111="","","Frasco")</f>
        <v/>
      </c>
      <c r="I112" s="5"/>
      <c r="J112" s="23" t="str">
        <f>IF(I111="","","gramas")</f>
        <v/>
      </c>
      <c r="K112" s="28" t="str">
        <f>IFERROR(J114/J113,"")</f>
        <v/>
      </c>
      <c r="L112" s="23"/>
      <c r="M112" s="27" t="str">
        <f>IF(N111="","","Frasco")</f>
        <v/>
      </c>
      <c r="N112" s="5"/>
      <c r="O112" s="23" t="str">
        <f>IF(N111="","","gramas")</f>
        <v/>
      </c>
      <c r="P112" s="28" t="str">
        <f>IFERROR(O114/O113,"")</f>
        <v/>
      </c>
      <c r="Q112" s="19"/>
      <c r="R112" s="27" t="str">
        <f>IF(S111="","","Frasco")</f>
        <v/>
      </c>
      <c r="S112" s="5"/>
      <c r="T112" s="23" t="str">
        <f>IF(S111="","","gramas")</f>
        <v/>
      </c>
      <c r="U112" s="28" t="str">
        <f>IFERROR(T114/T113,"")</f>
        <v/>
      </c>
    </row>
    <row r="113" spans="3:21" x14ac:dyDescent="0.2">
      <c r="G113" s="43"/>
      <c r="H113" s="27" t="str">
        <f>IF(I111="","","Frasco + Amostra")</f>
        <v/>
      </c>
      <c r="I113" s="5"/>
      <c r="J113" s="23" t="str">
        <f>IF(I112="","",I113-I112)</f>
        <v/>
      </c>
      <c r="K113" s="19" t="str">
        <f>IF(I111="","","Amostra")</f>
        <v/>
      </c>
      <c r="L113" s="43"/>
      <c r="M113" s="27" t="str">
        <f>IF(N111="","","Frasco + Amostra")</f>
        <v/>
      </c>
      <c r="N113" s="5"/>
      <c r="O113" s="23" t="str">
        <f>IF(N112="","",N113-N112)</f>
        <v/>
      </c>
      <c r="P113" s="19" t="str">
        <f>IF(N111="","","Amostra")</f>
        <v/>
      </c>
      <c r="Q113" s="28"/>
      <c r="R113" s="27" t="str">
        <f>IF(S111="","","Frasco + Amostra")</f>
        <v/>
      </c>
      <c r="S113" s="5"/>
      <c r="T113" s="23" t="str">
        <f>IF(S112="","",S113-S112)</f>
        <v/>
      </c>
      <c r="U113" s="19" t="str">
        <f>IF(S111="","","Amostra")</f>
        <v/>
      </c>
    </row>
    <row r="114" spans="3:21" x14ac:dyDescent="0.2">
      <c r="C114" s="19"/>
      <c r="F114" s="19"/>
      <c r="G114" s="43"/>
      <c r="H114" s="34" t="str">
        <f>IF(I111="","","Massa final")</f>
        <v/>
      </c>
      <c r="I114" s="5"/>
      <c r="J114" s="23" t="str">
        <f>IF(I112="","",I114-I112)</f>
        <v/>
      </c>
      <c r="K114" s="19" t="str">
        <f>IF(I111="","","Solução")</f>
        <v/>
      </c>
      <c r="L114" s="43"/>
      <c r="M114" s="34" t="str">
        <f>IF(N111="","","Massa final")</f>
        <v/>
      </c>
      <c r="N114" s="5"/>
      <c r="O114" s="23" t="str">
        <f>IF(N112="","",N114-N112)</f>
        <v/>
      </c>
      <c r="P114" s="19" t="str">
        <f>IF(N111="","","Solução")</f>
        <v/>
      </c>
      <c r="Q114" s="19"/>
      <c r="R114" s="34" t="str">
        <f>IF(S111="","","Massa final")</f>
        <v/>
      </c>
      <c r="S114" s="5"/>
      <c r="T114" s="23" t="str">
        <f>IF(S112="","",S114-S112)</f>
        <v/>
      </c>
      <c r="U114" s="19" t="str">
        <f>IF(S111="","","Solução")</f>
        <v/>
      </c>
    </row>
    <row r="115" spans="3:21" x14ac:dyDescent="0.2">
      <c r="C115" s="19"/>
      <c r="D115" s="43"/>
      <c r="F115" s="19"/>
      <c r="G115" s="23"/>
      <c r="I115" s="19"/>
      <c r="J115" s="17"/>
      <c r="L115" s="23"/>
      <c r="N115" s="19"/>
      <c r="O115" s="23"/>
      <c r="P115" s="6"/>
      <c r="S115" s="19"/>
      <c r="T115" s="23"/>
    </row>
    <row r="116" spans="3:21" x14ac:dyDescent="0.2">
      <c r="C116" s="23"/>
      <c r="D116" s="23"/>
      <c r="F116" s="19"/>
      <c r="G116" s="23"/>
      <c r="H116" s="22" t="str">
        <f>IF(I111="","","Amostra")</f>
        <v/>
      </c>
      <c r="I116" s="2"/>
      <c r="J116" s="23" t="str">
        <f>IF(I116="","","Massa")</f>
        <v/>
      </c>
      <c r="K116" s="6" t="str">
        <f>IF(I116="","","Fdiluição")</f>
        <v/>
      </c>
      <c r="L116" s="23"/>
      <c r="M116" s="22" t="str">
        <f>IF(K117="","","Amostra")</f>
        <v/>
      </c>
      <c r="N116" s="24" t="str">
        <f>IF(K117="","",I116)</f>
        <v/>
      </c>
      <c r="O116" s="23" t="str">
        <f>IF(N116="","","Massa")</f>
        <v/>
      </c>
      <c r="P116" s="6" t="str">
        <f>IF(N116="","","Fdiluição")</f>
        <v/>
      </c>
      <c r="R116" s="22" t="str">
        <f>IF(P117="","","Amostra")</f>
        <v/>
      </c>
      <c r="S116" s="24" t="str">
        <f>IF(P117="","",N116)</f>
        <v/>
      </c>
      <c r="T116" s="23" t="str">
        <f>IF(S116="","","Massa")</f>
        <v/>
      </c>
      <c r="U116" s="6" t="str">
        <f>IF(S116="","","Fdiluição")</f>
        <v/>
      </c>
    </row>
    <row r="117" spans="3:21" x14ac:dyDescent="0.2">
      <c r="C117" s="19"/>
      <c r="D117" s="23"/>
      <c r="E117" s="78"/>
      <c r="F117" s="23"/>
      <c r="G117" s="23"/>
      <c r="H117" s="27" t="str">
        <f>IF(I116="","","Frasco")</f>
        <v/>
      </c>
      <c r="I117" s="5"/>
      <c r="J117" s="23" t="str">
        <f>IF(I116="","","gramas")</f>
        <v/>
      </c>
      <c r="K117" s="28" t="str">
        <f>IFERROR(J119/J118,"")</f>
        <v/>
      </c>
      <c r="L117" s="23"/>
      <c r="M117" s="27" t="str">
        <f>IF(N116="","","Frasco")</f>
        <v/>
      </c>
      <c r="N117" s="5"/>
      <c r="O117" s="23" t="str">
        <f>IF(N116="","","gramas")</f>
        <v/>
      </c>
      <c r="P117" s="28" t="str">
        <f>IFERROR(O119/O118,"")</f>
        <v/>
      </c>
      <c r="Q117" s="19"/>
      <c r="R117" s="27" t="str">
        <f>IF(S116="","","Frasco")</f>
        <v/>
      </c>
      <c r="S117" s="5"/>
      <c r="T117" s="23" t="str">
        <f>IF(S116="","","gramas")</f>
        <v/>
      </c>
      <c r="U117" s="28" t="str">
        <f>IFERROR(T119/T118,"")</f>
        <v/>
      </c>
    </row>
    <row r="118" spans="3:21" x14ac:dyDescent="0.2">
      <c r="C118" s="19"/>
      <c r="D118" s="23"/>
      <c r="E118" s="79"/>
      <c r="F118" s="19"/>
      <c r="H118" s="27" t="str">
        <f>IF(I116="","","Frasco + Amostra")</f>
        <v/>
      </c>
      <c r="I118" s="5"/>
      <c r="J118" s="23" t="str">
        <f>IF(I117="","",I118-I117)</f>
        <v/>
      </c>
      <c r="K118" s="19" t="str">
        <f>IF(I116="","","Amostra")</f>
        <v/>
      </c>
      <c r="M118" s="27" t="str">
        <f>IF(N116="","","Frasco + Amostra")</f>
        <v/>
      </c>
      <c r="N118" s="5"/>
      <c r="O118" s="23" t="str">
        <f>IF(N117="","",N118-N117)</f>
        <v/>
      </c>
      <c r="P118" s="19" t="str">
        <f>IF(N116="","","Amostra")</f>
        <v/>
      </c>
      <c r="Q118" s="28"/>
      <c r="R118" s="27" t="str">
        <f>IF(S116="","","Frasco + Amostra")</f>
        <v/>
      </c>
      <c r="S118" s="5"/>
      <c r="T118" s="23" t="str">
        <f>IF(S117="","",S118-S117)</f>
        <v/>
      </c>
      <c r="U118" s="19" t="str">
        <f>IF(S116="","","Amostra")</f>
        <v/>
      </c>
    </row>
    <row r="119" spans="3:21" x14ac:dyDescent="0.2">
      <c r="C119" s="19"/>
      <c r="D119" s="43"/>
      <c r="F119" s="19"/>
      <c r="G119" s="43"/>
      <c r="H119" s="34" t="str">
        <f>IF(I116="","","Massa final")</f>
        <v/>
      </c>
      <c r="I119" s="5"/>
      <c r="J119" s="23" t="str">
        <f>IF(I117="","",I119-I117)</f>
        <v/>
      </c>
      <c r="K119" s="19" t="str">
        <f>IF(I116="","","Solução")</f>
        <v/>
      </c>
      <c r="L119" s="43"/>
      <c r="M119" s="34" t="str">
        <f>IF(N116="","","Massa final")</f>
        <v/>
      </c>
      <c r="N119" s="5"/>
      <c r="O119" s="23" t="str">
        <f>IF(N117="","",N119-N117)</f>
        <v/>
      </c>
      <c r="P119" s="19" t="str">
        <f>IF(N116="","","Solução")</f>
        <v/>
      </c>
      <c r="Q119" s="19"/>
      <c r="R119" s="34" t="str">
        <f>IF(S116="","","Massa final")</f>
        <v/>
      </c>
      <c r="S119" s="5"/>
      <c r="T119" s="23" t="str">
        <f>IF(S117="","",S119-S117)</f>
        <v/>
      </c>
      <c r="U119" s="19" t="str">
        <f>IF(S116="","","Solução")</f>
        <v/>
      </c>
    </row>
    <row r="120" spans="3:21" x14ac:dyDescent="0.2">
      <c r="C120" s="19"/>
      <c r="D120" s="43"/>
      <c r="F120" s="19"/>
      <c r="G120" s="23"/>
      <c r="I120" s="19"/>
      <c r="L120" s="23"/>
      <c r="N120" s="19"/>
      <c r="O120" s="23"/>
      <c r="P120" s="6"/>
      <c r="S120" s="19"/>
      <c r="T120" s="23"/>
    </row>
    <row r="121" spans="3:21" x14ac:dyDescent="0.2">
      <c r="C121" s="23"/>
      <c r="D121" s="23"/>
      <c r="F121" s="19"/>
      <c r="G121" s="23"/>
      <c r="H121" s="22" t="str">
        <f>IF(I116="","","Amostra")</f>
        <v/>
      </c>
      <c r="I121" s="2"/>
      <c r="J121" s="23" t="str">
        <f>IF(I121="","","Massa")</f>
        <v/>
      </c>
      <c r="K121" s="6" t="str">
        <f>IF(I121="","","Fdiluição")</f>
        <v/>
      </c>
      <c r="L121" s="23"/>
      <c r="M121" s="22" t="str">
        <f>IF(K122="","","Amostra")</f>
        <v/>
      </c>
      <c r="N121" s="24" t="str">
        <f>IF(K122="","",I121)</f>
        <v/>
      </c>
      <c r="O121" s="23" t="str">
        <f>IF(N121="","","Massa")</f>
        <v/>
      </c>
      <c r="P121" s="6" t="str">
        <f>IF(N121="","","Fdiluição")</f>
        <v/>
      </c>
      <c r="R121" s="22" t="str">
        <f>IF(P122="","","Amostra")</f>
        <v/>
      </c>
      <c r="S121" s="24" t="str">
        <f>IF(P122="","",N121)</f>
        <v/>
      </c>
      <c r="T121" s="23" t="str">
        <f>IF(S121="","","Massa")</f>
        <v/>
      </c>
      <c r="U121" s="6" t="str">
        <f>IF(S121="","","Fdiluição")</f>
        <v/>
      </c>
    </row>
    <row r="122" spans="3:21" x14ac:dyDescent="0.2">
      <c r="C122" s="19"/>
      <c r="D122" s="23"/>
      <c r="E122" s="78"/>
      <c r="F122" s="23"/>
      <c r="G122" s="23"/>
      <c r="H122" s="27" t="str">
        <f>IF(I121="","","Frasco")</f>
        <v/>
      </c>
      <c r="I122" s="5"/>
      <c r="J122" s="23" t="str">
        <f>IF(I121="","","gramas")</f>
        <v/>
      </c>
      <c r="K122" s="28" t="str">
        <f>IFERROR(J124/J123,"")</f>
        <v/>
      </c>
      <c r="L122" s="23"/>
      <c r="M122" s="27" t="str">
        <f>IF(N121="","","Frasco")</f>
        <v/>
      </c>
      <c r="N122" s="5"/>
      <c r="O122" s="23" t="str">
        <f>IF(N121="","","gramas")</f>
        <v/>
      </c>
      <c r="P122" s="28" t="str">
        <f>IFERROR(O124/O123,"")</f>
        <v/>
      </c>
      <c r="Q122" s="19"/>
      <c r="R122" s="27" t="str">
        <f>IF(S121="","","Frasco")</f>
        <v/>
      </c>
      <c r="S122" s="5"/>
      <c r="T122" s="23" t="str">
        <f>IF(S121="","","gramas")</f>
        <v/>
      </c>
      <c r="U122" s="28" t="str">
        <f>IFERROR(T124/T123,"")</f>
        <v/>
      </c>
    </row>
    <row r="123" spans="3:21" x14ac:dyDescent="0.2">
      <c r="C123" s="19"/>
      <c r="D123" s="23"/>
      <c r="E123" s="79"/>
      <c r="F123" s="23"/>
      <c r="H123" s="27" t="str">
        <f>IF(I121="","","Frasco + Amostra")</f>
        <v/>
      </c>
      <c r="I123" s="5"/>
      <c r="J123" s="23" t="str">
        <f>IF(I122="","",I123-I122)</f>
        <v/>
      </c>
      <c r="K123" s="19" t="str">
        <f>IF(I121="","","Amostra")</f>
        <v/>
      </c>
      <c r="M123" s="27" t="str">
        <f>IF(N121="","","Frasco + Amostra")</f>
        <v/>
      </c>
      <c r="N123" s="5"/>
      <c r="O123" s="23" t="str">
        <f>IF(N122="","",N123-N122)</f>
        <v/>
      </c>
      <c r="P123" s="19" t="str">
        <f>IF(N121="","","Amostra")</f>
        <v/>
      </c>
      <c r="Q123" s="28"/>
      <c r="R123" s="27" t="str">
        <f>IF(S121="","","Frasco + Amostra")</f>
        <v/>
      </c>
      <c r="S123" s="5"/>
      <c r="T123" s="23" t="str">
        <f>IF(S122="","",S123-S122)</f>
        <v/>
      </c>
      <c r="U123" s="19" t="str">
        <f>IF(S121="","","Amostra")</f>
        <v/>
      </c>
    </row>
    <row r="124" spans="3:21" x14ac:dyDescent="0.2">
      <c r="C124" s="19"/>
      <c r="F124" s="19"/>
      <c r="G124" s="43"/>
      <c r="H124" s="34" t="str">
        <f>IF(I121="","","Massa final")</f>
        <v/>
      </c>
      <c r="I124" s="5"/>
      <c r="J124" s="23" t="str">
        <f>IF(I122="","",I124-I122)</f>
        <v/>
      </c>
      <c r="K124" s="19" t="str">
        <f>IF(I121="","","Solução")</f>
        <v/>
      </c>
      <c r="L124" s="43"/>
      <c r="M124" s="34" t="str">
        <f>IF(N121="","","Massa final")</f>
        <v/>
      </c>
      <c r="N124" s="5"/>
      <c r="O124" s="23" t="str">
        <f>IF(N122="","",N124-N122)</f>
        <v/>
      </c>
      <c r="P124" s="19" t="str">
        <f>IF(N121="","","Solução")</f>
        <v/>
      </c>
      <c r="Q124" s="19"/>
      <c r="R124" s="34" t="str">
        <f>IF(S121="","","Massa final")</f>
        <v/>
      </c>
      <c r="S124" s="5"/>
      <c r="T124" s="23" t="str">
        <f>IF(S122="","",S124-S122)</f>
        <v/>
      </c>
      <c r="U124" s="19" t="str">
        <f>IF(S121="","","Solução")</f>
        <v/>
      </c>
    </row>
    <row r="125" spans="3:21" x14ac:dyDescent="0.2">
      <c r="C125" s="19"/>
      <c r="D125" s="43"/>
      <c r="F125" s="19"/>
      <c r="G125" s="23"/>
      <c r="I125" s="19"/>
      <c r="L125" s="23"/>
      <c r="N125" s="19"/>
      <c r="O125" s="23"/>
      <c r="P125" s="6"/>
      <c r="S125" s="19"/>
      <c r="T125" s="23"/>
    </row>
    <row r="126" spans="3:21" x14ac:dyDescent="0.2">
      <c r="C126" s="23"/>
      <c r="D126" s="23"/>
      <c r="F126" s="19"/>
      <c r="G126" s="23"/>
      <c r="H126" s="22" t="str">
        <f>IF(I121="","","Amostra")</f>
        <v/>
      </c>
      <c r="I126" s="2"/>
      <c r="J126" s="23" t="str">
        <f>IF(I126="","","Massa")</f>
        <v/>
      </c>
      <c r="K126" s="6" t="str">
        <f>IF(I126="","","Fdiluição")</f>
        <v/>
      </c>
      <c r="L126" s="23"/>
      <c r="M126" s="22" t="str">
        <f>IF(K127="","","Amostra")</f>
        <v/>
      </c>
      <c r="N126" s="24" t="str">
        <f>IF(K127="","",I126)</f>
        <v/>
      </c>
      <c r="O126" s="23" t="str">
        <f>IF(N126="","","Massa")</f>
        <v/>
      </c>
      <c r="P126" s="6" t="str">
        <f>IF(N126="","","Fdiluição")</f>
        <v/>
      </c>
      <c r="R126" s="22" t="str">
        <f>IF(P127="","","Amostra")</f>
        <v/>
      </c>
      <c r="S126" s="24" t="str">
        <f>IF(P127="","",N126)</f>
        <v/>
      </c>
      <c r="T126" s="23" t="str">
        <f>IF(S126="","","Massa")</f>
        <v/>
      </c>
      <c r="U126" s="6" t="str">
        <f>IF(S126="","","Fdiluição")</f>
        <v/>
      </c>
    </row>
    <row r="127" spans="3:21" x14ac:dyDescent="0.2">
      <c r="C127" s="19"/>
      <c r="D127" s="23"/>
      <c r="E127" s="78"/>
      <c r="F127" s="19"/>
      <c r="G127" s="23"/>
      <c r="H127" s="27" t="str">
        <f>IF(I126="","","Frasco")</f>
        <v/>
      </c>
      <c r="I127" s="5"/>
      <c r="J127" s="23" t="str">
        <f>IF(I126="","","gramas")</f>
        <v/>
      </c>
      <c r="K127" s="28" t="str">
        <f>IFERROR(J129/J128,"")</f>
        <v/>
      </c>
      <c r="L127" s="23"/>
      <c r="M127" s="27" t="str">
        <f>IF(N126="","","Frasco")</f>
        <v/>
      </c>
      <c r="N127" s="5"/>
      <c r="O127" s="23" t="str">
        <f>IF(N126="","","gramas")</f>
        <v/>
      </c>
      <c r="P127" s="28" t="str">
        <f>IFERROR(O129/O128,"")</f>
        <v/>
      </c>
      <c r="Q127" s="19"/>
      <c r="R127" s="27" t="str">
        <f>IF(S126="","","Frasco")</f>
        <v/>
      </c>
      <c r="S127" s="5"/>
      <c r="T127" s="23" t="str">
        <f>IF(S126="","","gramas")</f>
        <v/>
      </c>
      <c r="U127" s="28" t="str">
        <f>IFERROR(T129/T128,"")</f>
        <v/>
      </c>
    </row>
    <row r="128" spans="3:21" x14ac:dyDescent="0.2">
      <c r="C128" s="19"/>
      <c r="D128" s="23"/>
      <c r="E128" s="79"/>
      <c r="F128" s="19"/>
      <c r="H128" s="27" t="str">
        <f>IF(I126="","","Frasco + Amostra")</f>
        <v/>
      </c>
      <c r="I128" s="5"/>
      <c r="J128" s="23" t="str">
        <f>IF(I127="","",I128-I127)</f>
        <v/>
      </c>
      <c r="K128" s="19" t="str">
        <f>IF(I126="","","Amostra")</f>
        <v/>
      </c>
      <c r="M128" s="27" t="str">
        <f>IF(N126="","","Frasco + Amostra")</f>
        <v/>
      </c>
      <c r="N128" s="5"/>
      <c r="O128" s="23" t="str">
        <f>IF(N127="","",N128-N127)</f>
        <v/>
      </c>
      <c r="P128" s="19" t="str">
        <f>IF(N126="","","Amostra")</f>
        <v/>
      </c>
      <c r="Q128" s="28"/>
      <c r="R128" s="27" t="str">
        <f>IF(S126="","","Frasco + Amostra")</f>
        <v/>
      </c>
      <c r="S128" s="5"/>
      <c r="T128" s="23" t="str">
        <f>IF(S127="","",S128-S127)</f>
        <v/>
      </c>
      <c r="U128" s="19" t="str">
        <f>IF(S126="","","Amostra")</f>
        <v/>
      </c>
    </row>
    <row r="129" spans="3:21" x14ac:dyDescent="0.2">
      <c r="H129" s="34" t="str">
        <f>IF(I126="","","Massa final")</f>
        <v/>
      </c>
      <c r="I129" s="5"/>
      <c r="J129" s="23" t="str">
        <f>IF(I127="","",I129-I127)</f>
        <v/>
      </c>
      <c r="K129" s="19" t="str">
        <f>IF(I126="","","Solução")</f>
        <v/>
      </c>
      <c r="M129" s="34" t="str">
        <f>IF(N126="","","Massa final")</f>
        <v/>
      </c>
      <c r="N129" s="5"/>
      <c r="O129" s="23" t="str">
        <f>IF(N127="","",N129-N127)</f>
        <v/>
      </c>
      <c r="P129" s="19" t="str">
        <f>IF(N126="","","Solução")</f>
        <v/>
      </c>
      <c r="Q129" s="19"/>
      <c r="R129" s="34" t="str">
        <f>IF(S126="","","Massa final")</f>
        <v/>
      </c>
      <c r="S129" s="5"/>
      <c r="T129" s="23" t="str">
        <f>IF(S127="","",S129-S127)</f>
        <v/>
      </c>
      <c r="U129" s="19" t="str">
        <f>IF(S126="","","Solução")</f>
        <v/>
      </c>
    </row>
    <row r="130" spans="3:21" x14ac:dyDescent="0.2">
      <c r="C130" s="19"/>
      <c r="D130" s="43"/>
      <c r="F130" s="19"/>
      <c r="G130" s="19"/>
      <c r="I130" s="19"/>
      <c r="J130" s="23"/>
      <c r="L130" s="19"/>
      <c r="N130" s="19"/>
      <c r="O130" s="23"/>
      <c r="P130" s="6"/>
      <c r="S130" s="19"/>
      <c r="T130" s="23"/>
    </row>
    <row r="131" spans="3:21" x14ac:dyDescent="0.2">
      <c r="C131" s="23"/>
      <c r="D131" s="23"/>
      <c r="F131" s="19"/>
      <c r="G131" s="23"/>
      <c r="H131" s="22" t="str">
        <f>IF(I126="","","Amostra")</f>
        <v/>
      </c>
      <c r="I131" s="2"/>
      <c r="J131" s="23" t="str">
        <f>IF(I131="","","Massa")</f>
        <v/>
      </c>
      <c r="K131" s="6" t="str">
        <f>IF(I131="","","Fdiluição")</f>
        <v/>
      </c>
      <c r="L131" s="23"/>
      <c r="M131" s="22" t="str">
        <f>IF(K132="","","Amostra")</f>
        <v/>
      </c>
      <c r="N131" s="24" t="str">
        <f>IF(K132="","",I131)</f>
        <v/>
      </c>
      <c r="O131" s="23" t="str">
        <f>IF(N131="","","Massa")</f>
        <v/>
      </c>
      <c r="P131" s="6" t="str">
        <f>IF(N131="","","Fdiluição")</f>
        <v/>
      </c>
      <c r="R131" s="22" t="str">
        <f>IF(P132="","","Amostra")</f>
        <v/>
      </c>
      <c r="S131" s="24" t="str">
        <f>IF(P132="","",N131)</f>
        <v/>
      </c>
      <c r="T131" s="23" t="str">
        <f>IF(S131="","","Massa")</f>
        <v/>
      </c>
      <c r="U131" s="6" t="str">
        <f>IF(S131="","","Fdiluição")</f>
        <v/>
      </c>
    </row>
    <row r="132" spans="3:21" x14ac:dyDescent="0.2">
      <c r="C132" s="19"/>
      <c r="D132" s="23"/>
      <c r="E132" s="78"/>
      <c r="F132" s="19"/>
      <c r="G132" s="23"/>
      <c r="H132" s="27" t="str">
        <f>IF(I131="","","Frasco")</f>
        <v/>
      </c>
      <c r="I132" s="5"/>
      <c r="J132" s="23" t="str">
        <f>IF(I131="","","gramas")</f>
        <v/>
      </c>
      <c r="K132" s="28" t="str">
        <f>IFERROR(J134/J133,"")</f>
        <v/>
      </c>
      <c r="L132" s="23"/>
      <c r="M132" s="27" t="str">
        <f>IF(N131="","","Frasco")</f>
        <v/>
      </c>
      <c r="N132" s="5"/>
      <c r="O132" s="23" t="str">
        <f>IF(N131="","","gramas")</f>
        <v/>
      </c>
      <c r="P132" s="28" t="str">
        <f>IFERROR(O134/O133,"")</f>
        <v/>
      </c>
      <c r="Q132" s="19"/>
      <c r="R132" s="27" t="str">
        <f>IF(S131="","","Frasco")</f>
        <v/>
      </c>
      <c r="S132" s="5"/>
      <c r="T132" s="23" t="str">
        <f>IF(S131="","","gramas")</f>
        <v/>
      </c>
      <c r="U132" s="28" t="str">
        <f>IFERROR(T134/T133,"")</f>
        <v/>
      </c>
    </row>
    <row r="133" spans="3:21" x14ac:dyDescent="0.2">
      <c r="C133" s="19"/>
      <c r="D133" s="23"/>
      <c r="E133" s="79"/>
      <c r="F133" s="19"/>
      <c r="H133" s="27" t="str">
        <f>IF(I131="","","Frasco + Amostra")</f>
        <v/>
      </c>
      <c r="I133" s="5"/>
      <c r="J133" s="23" t="str">
        <f>IF(I132="","",I133-I132)</f>
        <v/>
      </c>
      <c r="K133" s="19" t="str">
        <f>IF(I131="","","Amostra")</f>
        <v/>
      </c>
      <c r="M133" s="27" t="str">
        <f>IF(N131="","","Frasco + Amostra")</f>
        <v/>
      </c>
      <c r="N133" s="5"/>
      <c r="O133" s="23" t="str">
        <f>IF(N132="","",N133-N132)</f>
        <v/>
      </c>
      <c r="P133" s="19" t="str">
        <f>IF(N131="","","Amostra")</f>
        <v/>
      </c>
      <c r="Q133" s="28"/>
      <c r="R133" s="27" t="str">
        <f>IF(S131="","","Frasco + Amostra")</f>
        <v/>
      </c>
      <c r="S133" s="5"/>
      <c r="T133" s="23" t="str">
        <f>IF(S132="","",S133-S132)</f>
        <v/>
      </c>
      <c r="U133" s="19" t="str">
        <f>IF(S131="","","Amostra")</f>
        <v/>
      </c>
    </row>
    <row r="134" spans="3:21" x14ac:dyDescent="0.2">
      <c r="H134" s="34" t="str">
        <f>IF(I131="","","Massa final")</f>
        <v/>
      </c>
      <c r="I134" s="5"/>
      <c r="J134" s="23" t="str">
        <f>IF(I132="","",I134-I132)</f>
        <v/>
      </c>
      <c r="K134" s="19" t="str">
        <f>IF(I131="","","Solução")</f>
        <v/>
      </c>
      <c r="M134" s="34" t="str">
        <f>IF(N131="","","Massa final")</f>
        <v/>
      </c>
      <c r="N134" s="5"/>
      <c r="O134" s="23" t="str">
        <f>IF(N132="","",N134-N132)</f>
        <v/>
      </c>
      <c r="P134" s="19" t="str">
        <f>IF(N131="","","Solução")</f>
        <v/>
      </c>
      <c r="Q134" s="19"/>
      <c r="R134" s="34" t="str">
        <f>IF(S131="","","Massa final")</f>
        <v/>
      </c>
      <c r="S134" s="5"/>
      <c r="T134" s="23" t="str">
        <f>IF(S132="","",S134-S132)</f>
        <v/>
      </c>
      <c r="U134" s="19" t="str">
        <f>IF(S131="","","Solução")</f>
        <v/>
      </c>
    </row>
    <row r="135" spans="3:21" x14ac:dyDescent="0.2">
      <c r="C135" s="19"/>
      <c r="F135" s="19"/>
      <c r="I135" s="19"/>
      <c r="J135" s="43"/>
      <c r="N135" s="19"/>
      <c r="O135" s="23"/>
      <c r="P135" s="6"/>
      <c r="S135" s="19"/>
      <c r="T135" s="23"/>
    </row>
    <row r="136" spans="3:21" x14ac:dyDescent="0.2">
      <c r="C136" s="23"/>
      <c r="D136" s="19"/>
      <c r="F136" s="19"/>
      <c r="H136" s="22" t="str">
        <f>IF(I131="","","Amostra")</f>
        <v/>
      </c>
      <c r="I136" s="306"/>
      <c r="J136" s="23" t="str">
        <f>IF(I136="","","Massa")</f>
        <v/>
      </c>
      <c r="K136" s="6" t="str">
        <f>IF(I136="","","Fdiluição")</f>
        <v/>
      </c>
      <c r="M136" s="22" t="str">
        <f>IF(K137="","","Amostra")</f>
        <v/>
      </c>
      <c r="N136" s="24" t="str">
        <f>IF(K137="","",I136)</f>
        <v/>
      </c>
      <c r="O136" s="23" t="str">
        <f>IF(N136="","","Massa")</f>
        <v/>
      </c>
      <c r="P136" s="6" t="str">
        <f>IF(N136="","","Fdiluição")</f>
        <v/>
      </c>
      <c r="R136" s="22" t="str">
        <f>IF(P137="","","Amostra")</f>
        <v/>
      </c>
      <c r="S136" s="24" t="str">
        <f>IF(P137="","",N136)</f>
        <v/>
      </c>
      <c r="T136" s="23" t="str">
        <f>IF(S136="","","Massa")</f>
        <v/>
      </c>
      <c r="U136" s="6" t="str">
        <f>IF(S136="","","Fdiluição")</f>
        <v/>
      </c>
    </row>
    <row r="137" spans="3:21" x14ac:dyDescent="0.2">
      <c r="C137" s="19"/>
      <c r="D137" s="23"/>
      <c r="E137" s="78"/>
      <c r="F137" s="19"/>
      <c r="H137" s="27" t="str">
        <f>IF(I136="","","Frasco")</f>
        <v/>
      </c>
      <c r="I137" s="5"/>
      <c r="J137" s="23" t="str">
        <f>IF(I136="","","gramas")</f>
        <v/>
      </c>
      <c r="K137" s="28" t="str">
        <f>IFERROR(J139/J138,"")</f>
        <v/>
      </c>
      <c r="M137" s="27" t="str">
        <f>IF(N136="","","Frasco")</f>
        <v/>
      </c>
      <c r="N137" s="5"/>
      <c r="O137" s="23" t="str">
        <f>IF(N136="","","gramas")</f>
        <v/>
      </c>
      <c r="P137" s="28" t="str">
        <f>IFERROR(O139/O138,"")</f>
        <v/>
      </c>
      <c r="Q137" s="19"/>
      <c r="R137" s="27" t="str">
        <f>IF(S136="","","Frasco")</f>
        <v/>
      </c>
      <c r="S137" s="5"/>
      <c r="T137" s="23" t="str">
        <f>IF(S136="","","gramas")</f>
        <v/>
      </c>
      <c r="U137" s="28" t="str">
        <f>IFERROR(T139/T138,"")</f>
        <v/>
      </c>
    </row>
    <row r="138" spans="3:21" x14ac:dyDescent="0.2">
      <c r="C138" s="19"/>
      <c r="D138" s="23"/>
      <c r="E138" s="79"/>
      <c r="F138" s="19"/>
      <c r="H138" s="27" t="str">
        <f>IF(I136="","","Frasco + Amostra")</f>
        <v/>
      </c>
      <c r="I138" s="5"/>
      <c r="J138" s="23" t="str">
        <f>IF(I137="","",I138-I137)</f>
        <v/>
      </c>
      <c r="K138" s="19" t="str">
        <f>IF(I136="","","Amostra")</f>
        <v/>
      </c>
      <c r="M138" s="27" t="str">
        <f>IF(N136="","","Frasco + Amostra")</f>
        <v/>
      </c>
      <c r="N138" s="5"/>
      <c r="O138" s="23" t="str">
        <f>IF(N137="","",N138-N137)</f>
        <v/>
      </c>
      <c r="P138" s="19" t="str">
        <f>IF(N136="","","Amostra")</f>
        <v/>
      </c>
      <c r="Q138" s="28"/>
      <c r="R138" s="27" t="str">
        <f>IF(S136="","","Frasco + Amostra")</f>
        <v/>
      </c>
      <c r="S138" s="5"/>
      <c r="T138" s="23" t="str">
        <f>IF(S137="","",S138-S137)</f>
        <v/>
      </c>
      <c r="U138" s="19" t="str">
        <f>IF(S136="","","Amostra")</f>
        <v/>
      </c>
    </row>
    <row r="139" spans="3:21" x14ac:dyDescent="0.2">
      <c r="H139" s="34" t="str">
        <f>IF(I136="","","Massa final")</f>
        <v/>
      </c>
      <c r="I139" s="5"/>
      <c r="J139" s="23" t="str">
        <f>IF(I137="","",I139-I137)</f>
        <v/>
      </c>
      <c r="K139" s="19" t="str">
        <f>IF(I136="","","Solução")</f>
        <v/>
      </c>
      <c r="M139" s="34" t="str">
        <f>IF(N136="","","Massa final")</f>
        <v/>
      </c>
      <c r="N139" s="5"/>
      <c r="O139" s="23" t="str">
        <f>IF(N137="","",N139-N137)</f>
        <v/>
      </c>
      <c r="P139" s="19" t="str">
        <f>IF(N136="","","Solução")</f>
        <v/>
      </c>
      <c r="Q139" s="19"/>
      <c r="R139" s="34" t="str">
        <f>IF(S136="","","Massa final")</f>
        <v/>
      </c>
      <c r="S139" s="5"/>
      <c r="T139" s="23" t="str">
        <f>IF(S137="","",S139-S137)</f>
        <v/>
      </c>
      <c r="U139" s="19" t="str">
        <f>IF(S136="","","Solução")</f>
        <v/>
      </c>
    </row>
    <row r="140" spans="3:21" x14ac:dyDescent="0.2">
      <c r="I140" s="19"/>
      <c r="N140" s="19"/>
      <c r="O140" s="23"/>
      <c r="P140" s="6"/>
      <c r="S140" s="19"/>
      <c r="T140" s="23"/>
    </row>
    <row r="141" spans="3:21" x14ac:dyDescent="0.2">
      <c r="H141" s="22" t="str">
        <f>IF(I136="","","Amostra")</f>
        <v/>
      </c>
      <c r="I141" s="306"/>
      <c r="J141" s="23" t="str">
        <f>IF(I141="","","Massa")</f>
        <v/>
      </c>
      <c r="K141" s="6" t="str">
        <f>IF(I141="","","Fdiluição")</f>
        <v/>
      </c>
      <c r="M141" s="22" t="str">
        <f>IF(K142="","","Amostra")</f>
        <v/>
      </c>
      <c r="N141" s="24" t="str">
        <f>IF(K142="","",I141)</f>
        <v/>
      </c>
      <c r="O141" s="23" t="str">
        <f>IF(N141="","","Massa")</f>
        <v/>
      </c>
      <c r="P141" s="6" t="str">
        <f>IF(N141="","","Fdiluição")</f>
        <v/>
      </c>
      <c r="R141" s="22" t="str">
        <f>IF(P142="","","Amostra")</f>
        <v/>
      </c>
      <c r="S141" s="24" t="str">
        <f>IF(P142="","",N141)</f>
        <v/>
      </c>
      <c r="T141" s="23" t="str">
        <f>IF(S141="","","Massa")</f>
        <v/>
      </c>
      <c r="U141" s="6" t="str">
        <f>IF(S141="","","Fdiluição")</f>
        <v/>
      </c>
    </row>
    <row r="142" spans="3:21" x14ac:dyDescent="0.2">
      <c r="H142" s="27" t="str">
        <f>IF(I141="","","Frasco")</f>
        <v/>
      </c>
      <c r="I142" s="5"/>
      <c r="J142" s="23" t="str">
        <f>IF(I141="","","gramas")</f>
        <v/>
      </c>
      <c r="K142" s="28" t="str">
        <f>IFERROR(J144/J143,"")</f>
        <v/>
      </c>
      <c r="M142" s="27" t="str">
        <f>IF(N141="","","Frasco")</f>
        <v/>
      </c>
      <c r="N142" s="5"/>
      <c r="O142" s="23" t="str">
        <f>IF(N141="","","gramas")</f>
        <v/>
      </c>
      <c r="P142" s="28" t="str">
        <f>IFERROR(O144/O143,"")</f>
        <v/>
      </c>
      <c r="Q142" s="19"/>
      <c r="R142" s="27" t="str">
        <f>IF(S141="","","Frasco")</f>
        <v/>
      </c>
      <c r="S142" s="5"/>
      <c r="T142" s="23" t="str">
        <f>IF(S141="","","gramas")</f>
        <v/>
      </c>
      <c r="U142" s="28" t="str">
        <f>IFERROR(T144/T143,"")</f>
        <v/>
      </c>
    </row>
    <row r="143" spans="3:21" x14ac:dyDescent="0.2">
      <c r="H143" s="27" t="str">
        <f>IF(I141="","","Frasco + Amostra")</f>
        <v/>
      </c>
      <c r="I143" s="5"/>
      <c r="J143" s="23" t="str">
        <f>IF(I142="","",I143-I142)</f>
        <v/>
      </c>
      <c r="K143" s="19" t="str">
        <f>IF(I141="","","Amostra")</f>
        <v/>
      </c>
      <c r="M143" s="27" t="str">
        <f>IF(N141="","","Frasco + Amostra")</f>
        <v/>
      </c>
      <c r="N143" s="5"/>
      <c r="O143" s="23" t="str">
        <f>IF(N142="","",N143-N142)</f>
        <v/>
      </c>
      <c r="P143" s="19" t="str">
        <f>IF(N141="","","Amostra")</f>
        <v/>
      </c>
      <c r="Q143" s="28"/>
      <c r="R143" s="27" t="str">
        <f>IF(S141="","","Frasco + Amostra")</f>
        <v/>
      </c>
      <c r="S143" s="5"/>
      <c r="T143" s="23" t="str">
        <f>IF(S142="","",S143-S142)</f>
        <v/>
      </c>
      <c r="U143" s="19" t="str">
        <f>IF(S141="","","Amostra")</f>
        <v/>
      </c>
    </row>
    <row r="144" spans="3:21" x14ac:dyDescent="0.2">
      <c r="H144" s="34" t="str">
        <f>IF(I141="","","Massa final")</f>
        <v/>
      </c>
      <c r="I144" s="5"/>
      <c r="J144" s="23" t="str">
        <f>IF(I142="","",I144-I142)</f>
        <v/>
      </c>
      <c r="K144" s="19" t="str">
        <f>IF(I141="","","Solução")</f>
        <v/>
      </c>
      <c r="M144" s="34" t="str">
        <f>IF(N141="","","Massa final")</f>
        <v/>
      </c>
      <c r="N144" s="5"/>
      <c r="O144" s="23" t="str">
        <f>IF(N142="","",N144-N142)</f>
        <v/>
      </c>
      <c r="P144" s="19" t="str">
        <f>IF(N141="","","Solução")</f>
        <v/>
      </c>
      <c r="Q144" s="19"/>
      <c r="R144" s="34" t="str">
        <f>IF(S141="","","Massa final")</f>
        <v/>
      </c>
      <c r="S144" s="5"/>
      <c r="T144" s="23" t="str">
        <f>IF(S142="","",S144-S142)</f>
        <v/>
      </c>
      <c r="U144" s="19" t="str">
        <f>IF(S141="","","Solução")</f>
        <v/>
      </c>
    </row>
    <row r="145" spans="8:21" x14ac:dyDescent="0.2">
      <c r="I145" s="19"/>
      <c r="N145" s="19"/>
      <c r="O145" s="23"/>
      <c r="P145" s="6"/>
      <c r="S145" s="19"/>
      <c r="T145" s="23"/>
    </row>
    <row r="146" spans="8:21" x14ac:dyDescent="0.2">
      <c r="H146" s="22" t="str">
        <f>IF(I141="","","Amostra")</f>
        <v/>
      </c>
      <c r="I146" s="306"/>
      <c r="J146" s="23" t="str">
        <f>IF(I146="","","Massa")</f>
        <v/>
      </c>
      <c r="K146" s="6" t="str">
        <f>IF(I146="","","Fdiluição")</f>
        <v/>
      </c>
      <c r="M146" s="22" t="str">
        <f>IF(K147="","","Amostra")</f>
        <v/>
      </c>
      <c r="N146" s="24" t="str">
        <f>IF(K147="","",I146)</f>
        <v/>
      </c>
      <c r="O146" s="23" t="str">
        <f>IF(N146="","","Massa")</f>
        <v/>
      </c>
      <c r="P146" s="6" t="str">
        <f>IF(N146="","","Fdiluição")</f>
        <v/>
      </c>
      <c r="R146" s="22" t="str">
        <f>IF(P147="","","Amostra")</f>
        <v/>
      </c>
      <c r="S146" s="24" t="str">
        <f>IF(P147="","",N146)</f>
        <v/>
      </c>
      <c r="T146" s="23" t="str">
        <f>IF(S146="","","Massa")</f>
        <v/>
      </c>
      <c r="U146" s="6" t="str">
        <f>IF(S146="","","Fdiluição")</f>
        <v/>
      </c>
    </row>
    <row r="147" spans="8:21" x14ac:dyDescent="0.2">
      <c r="H147" s="27" t="str">
        <f>IF(I146="","","Frasco")</f>
        <v/>
      </c>
      <c r="I147" s="5"/>
      <c r="J147" s="23" t="str">
        <f>IF(I146="","","gramas")</f>
        <v/>
      </c>
      <c r="K147" s="28" t="str">
        <f>IFERROR(J149/J148,"")</f>
        <v/>
      </c>
      <c r="M147" s="27" t="str">
        <f>IF(N146="","","Frasco")</f>
        <v/>
      </c>
      <c r="N147" s="5"/>
      <c r="O147" s="23" t="str">
        <f>IF(N146="","","gramas")</f>
        <v/>
      </c>
      <c r="P147" s="28" t="str">
        <f>IFERROR(O149/O148,"")</f>
        <v/>
      </c>
      <c r="Q147" s="19"/>
      <c r="R147" s="27" t="str">
        <f>IF(S146="","","Frasco")</f>
        <v/>
      </c>
      <c r="S147" s="5"/>
      <c r="T147" s="23" t="str">
        <f>IF(S146="","","gramas")</f>
        <v/>
      </c>
      <c r="U147" s="28" t="str">
        <f>IFERROR(T149/T148,"")</f>
        <v/>
      </c>
    </row>
    <row r="148" spans="8:21" x14ac:dyDescent="0.2">
      <c r="H148" s="27" t="str">
        <f>IF(I146="","","Frasco + Amostra")</f>
        <v/>
      </c>
      <c r="I148" s="5"/>
      <c r="J148" s="23" t="str">
        <f>IF(I147="","",I148-I147)</f>
        <v/>
      </c>
      <c r="K148" s="19" t="str">
        <f>IF(I146="","","Amostra")</f>
        <v/>
      </c>
      <c r="M148" s="27" t="str">
        <f>IF(N146="","","Frasco + Amostra")</f>
        <v/>
      </c>
      <c r="N148" s="5"/>
      <c r="O148" s="23" t="str">
        <f>IF(N147="","",N148-N147)</f>
        <v/>
      </c>
      <c r="P148" s="19" t="str">
        <f>IF(N146="","","Amostra")</f>
        <v/>
      </c>
      <c r="Q148" s="28"/>
      <c r="R148" s="27" t="str">
        <f>IF(S146="","","Frasco + Amostra")</f>
        <v/>
      </c>
      <c r="S148" s="5"/>
      <c r="T148" s="23" t="str">
        <f>IF(S147="","",S148-S147)</f>
        <v/>
      </c>
      <c r="U148" s="19" t="str">
        <f>IF(S146="","","Amostra")</f>
        <v/>
      </c>
    </row>
    <row r="149" spans="8:21" x14ac:dyDescent="0.2">
      <c r="H149" s="34" t="str">
        <f>IF(I146="","","Massa final")</f>
        <v/>
      </c>
      <c r="I149" s="5"/>
      <c r="J149" s="23" t="str">
        <f>IF(I147="","",I149-I147)</f>
        <v/>
      </c>
      <c r="K149" s="19" t="str">
        <f>IF(I146="","","Solução")</f>
        <v/>
      </c>
      <c r="M149" s="34" t="str">
        <f>IF(N146="","","Massa final")</f>
        <v/>
      </c>
      <c r="N149" s="5"/>
      <c r="O149" s="23" t="str">
        <f>IF(N147="","",N149-N147)</f>
        <v/>
      </c>
      <c r="P149" s="19" t="str">
        <f>IF(N146="","","Solução")</f>
        <v/>
      </c>
      <c r="Q149" s="19"/>
      <c r="R149" s="34" t="str">
        <f>IF(S146="","","Massa final")</f>
        <v/>
      </c>
      <c r="S149" s="5"/>
      <c r="T149" s="23" t="str">
        <f>IF(S147="","",S149-S147)</f>
        <v/>
      </c>
      <c r="U149" s="19" t="str">
        <f>IF(S146="","","Solução")</f>
        <v/>
      </c>
    </row>
    <row r="150" spans="8:21" x14ac:dyDescent="0.2">
      <c r="I150" s="19"/>
      <c r="J150" s="75"/>
      <c r="K150" s="75"/>
      <c r="N150" s="19"/>
      <c r="O150" s="23"/>
      <c r="P150" s="6"/>
      <c r="S150" s="19"/>
      <c r="T150" s="23"/>
    </row>
    <row r="151" spans="8:21" x14ac:dyDescent="0.2">
      <c r="H151" s="22" t="str">
        <f>IF(I146="","","Amostra")</f>
        <v/>
      </c>
      <c r="I151" s="2"/>
      <c r="J151" s="23" t="str">
        <f>IF(I151="","","Massa")</f>
        <v/>
      </c>
      <c r="K151" s="6" t="str">
        <f>IF(I151="","","Fdiluição")</f>
        <v/>
      </c>
      <c r="M151" s="22" t="str">
        <f>IF(K152="","","Amostra")</f>
        <v/>
      </c>
      <c r="N151" s="24" t="str">
        <f>IF(K152="","",I151)</f>
        <v/>
      </c>
      <c r="O151" s="23" t="str">
        <f>IF(N151="","","Massa")</f>
        <v/>
      </c>
      <c r="P151" s="6" t="str">
        <f>IF(N151="","","Fdiluição")</f>
        <v/>
      </c>
      <c r="R151" s="22" t="str">
        <f>IF(P152="","","Amostra")</f>
        <v/>
      </c>
      <c r="S151" s="24" t="str">
        <f>IF(P152="","",N151)</f>
        <v/>
      </c>
      <c r="T151" s="23" t="str">
        <f>IF(S151="","","Massa")</f>
        <v/>
      </c>
      <c r="U151" s="6" t="str">
        <f>IF(S151="","","Fdiluição")</f>
        <v/>
      </c>
    </row>
    <row r="152" spans="8:21" x14ac:dyDescent="0.2">
      <c r="H152" s="27" t="str">
        <f>IF(I151="","","Frasco")</f>
        <v/>
      </c>
      <c r="I152" s="5"/>
      <c r="J152" s="23" t="str">
        <f>IF(I151="","","gramas")</f>
        <v/>
      </c>
      <c r="K152" s="28" t="str">
        <f>IFERROR(J154/J153,"")</f>
        <v/>
      </c>
      <c r="M152" s="27" t="str">
        <f>IF(N151="","","Frasco")</f>
        <v/>
      </c>
      <c r="N152" s="5"/>
      <c r="O152" s="23" t="str">
        <f>IF(N151="","","gramas")</f>
        <v/>
      </c>
      <c r="P152" s="28" t="str">
        <f>IFERROR(O154/O153,"")</f>
        <v/>
      </c>
      <c r="Q152" s="19"/>
      <c r="R152" s="27" t="str">
        <f>IF(S151="","","Frasco")</f>
        <v/>
      </c>
      <c r="S152" s="5"/>
      <c r="T152" s="23" t="str">
        <f>IF(S151="","","gramas")</f>
        <v/>
      </c>
      <c r="U152" s="28" t="str">
        <f>IFERROR(T154/T153,"")</f>
        <v/>
      </c>
    </row>
    <row r="153" spans="8:21" ht="15" x14ac:dyDescent="0.25">
      <c r="H153" s="27" t="str">
        <f>IF(I151="","","Frasco + Amostra")</f>
        <v/>
      </c>
      <c r="I153" s="285"/>
      <c r="J153" s="23" t="str">
        <f>IF(I152="","",I153-I152)</f>
        <v/>
      </c>
      <c r="K153" s="19" t="str">
        <f>IF(I151="","","Amostra")</f>
        <v/>
      </c>
      <c r="M153" s="27" t="str">
        <f>IF(N151="","","Frasco + Amostra")</f>
        <v/>
      </c>
      <c r="N153" s="5"/>
      <c r="O153" s="23" t="str">
        <f>IF(N152="","",N153-N152)</f>
        <v/>
      </c>
      <c r="P153" s="19" t="str">
        <f>IF(N151="","","Amostra")</f>
        <v/>
      </c>
      <c r="Q153" s="28"/>
      <c r="R153" s="27" t="str">
        <f>IF(S151="","","Frasco + Amostra")</f>
        <v/>
      </c>
      <c r="S153" s="5"/>
      <c r="T153" s="23" t="str">
        <f>IF(S152="","",S153-S152)</f>
        <v/>
      </c>
      <c r="U153" s="19" t="str">
        <f>IF(S151="","","Amostra")</f>
        <v/>
      </c>
    </row>
    <row r="154" spans="8:21" ht="15" x14ac:dyDescent="0.25">
      <c r="H154" s="34" t="str">
        <f>IF(I151="","","Massa final")</f>
        <v/>
      </c>
      <c r="I154" s="285"/>
      <c r="J154" s="23" t="str">
        <f>IF(I152="","",I154-I152)</f>
        <v/>
      </c>
      <c r="K154" s="19" t="str">
        <f>IF(I151="","","Solução")</f>
        <v/>
      </c>
      <c r="M154" s="34" t="str">
        <f>IF(N151="","","Massa final")</f>
        <v/>
      </c>
      <c r="N154" s="5"/>
      <c r="O154" s="23" t="str">
        <f>IF(N152="","",N154-N152)</f>
        <v/>
      </c>
      <c r="P154" s="19" t="str">
        <f>IF(N151="","","Solução")</f>
        <v/>
      </c>
      <c r="Q154" s="19"/>
      <c r="R154" s="34" t="str">
        <f>IF(S151="","","Massa final")</f>
        <v/>
      </c>
      <c r="S154" s="5"/>
      <c r="T154" s="23" t="str">
        <f>IF(S152="","",S154-S152)</f>
        <v/>
      </c>
      <c r="U154" s="19" t="str">
        <f>IF(S151="","","Solução")</f>
        <v/>
      </c>
    </row>
    <row r="155" spans="8:21" x14ac:dyDescent="0.2">
      <c r="H155" s="27"/>
    </row>
    <row r="156" spans="8:21" x14ac:dyDescent="0.2">
      <c r="H156" s="34"/>
    </row>
  </sheetData>
  <sheetProtection password="C7DA" sheet="1" objects="1" scenarios="1"/>
  <mergeCells count="15">
    <mergeCell ref="M4:P4"/>
    <mergeCell ref="R4:U4"/>
    <mergeCell ref="B6:F6"/>
    <mergeCell ref="B11:F11"/>
    <mergeCell ref="B21:F21"/>
    <mergeCell ref="B16:F16"/>
    <mergeCell ref="C1:D1"/>
    <mergeCell ref="C2:D2"/>
    <mergeCell ref="B46:F46"/>
    <mergeCell ref="B3:F3"/>
    <mergeCell ref="H4:K4"/>
    <mergeCell ref="B26:F26"/>
    <mergeCell ref="B31:F31"/>
    <mergeCell ref="B36:F36"/>
    <mergeCell ref="B41:F41"/>
  </mergeCells>
  <conditionalFormatting sqref="C12:C14 H6:U154 C47:C49 C42:C44 C37:C39 C32:C34 C27:C29">
    <cfRule type="notContainsBlanks" dxfId="734" priority="424" stopIfTrue="1">
      <formula>LEN(TRIM(C6))&gt;0</formula>
    </cfRule>
  </conditionalFormatting>
  <conditionalFormatting sqref="C27:C29">
    <cfRule type="notContainsBlanks" dxfId="733" priority="39" stopIfTrue="1">
      <formula>LEN(TRIM(C27))&gt;0</formula>
    </cfRule>
  </conditionalFormatting>
  <conditionalFormatting sqref="C32:C34">
    <cfRule type="notContainsBlanks" dxfId="732" priority="38" stopIfTrue="1">
      <formula>LEN(TRIM(C32))&gt;0</formula>
    </cfRule>
  </conditionalFormatting>
  <conditionalFormatting sqref="C37:C39">
    <cfRule type="notContainsBlanks" dxfId="731" priority="37" stopIfTrue="1">
      <formula>LEN(TRIM(C37))&gt;0</formula>
    </cfRule>
  </conditionalFormatting>
  <conditionalFormatting sqref="C42:C44">
    <cfRule type="notContainsBlanks" dxfId="730" priority="36" stopIfTrue="1">
      <formula>LEN(TRIM(C42))&gt;0</formula>
    </cfRule>
  </conditionalFormatting>
  <conditionalFormatting sqref="I6:I9">
    <cfRule type="notContainsBlanks" dxfId="729" priority="35" stopIfTrue="1">
      <formula>LEN(TRIM(I6))&gt;0</formula>
    </cfRule>
  </conditionalFormatting>
  <conditionalFormatting sqref="I11:I14">
    <cfRule type="notContainsBlanks" dxfId="728" priority="34" stopIfTrue="1">
      <formula>LEN(TRIM(I11))&gt;0</formula>
    </cfRule>
  </conditionalFormatting>
  <conditionalFormatting sqref="I16:I19">
    <cfRule type="notContainsBlanks" dxfId="727" priority="33" stopIfTrue="1">
      <formula>LEN(TRIM(I16))&gt;0</formula>
    </cfRule>
  </conditionalFormatting>
  <conditionalFormatting sqref="I21:I24">
    <cfRule type="notContainsBlanks" dxfId="726" priority="32" stopIfTrue="1">
      <formula>LEN(TRIM(I21))&gt;0</formula>
    </cfRule>
  </conditionalFormatting>
  <conditionalFormatting sqref="I26:I29">
    <cfRule type="notContainsBlanks" dxfId="725" priority="31" stopIfTrue="1">
      <formula>LEN(TRIM(I26))&gt;0</formula>
    </cfRule>
  </conditionalFormatting>
  <conditionalFormatting sqref="I31:I34">
    <cfRule type="notContainsBlanks" dxfId="724" priority="30" stopIfTrue="1">
      <formula>LEN(TRIM(I31))&gt;0</formula>
    </cfRule>
  </conditionalFormatting>
  <conditionalFormatting sqref="I36:I39">
    <cfRule type="notContainsBlanks" dxfId="723" priority="29" stopIfTrue="1">
      <formula>LEN(TRIM(I36))&gt;0</formula>
    </cfRule>
  </conditionalFormatting>
  <conditionalFormatting sqref="I41:I44">
    <cfRule type="notContainsBlanks" dxfId="722" priority="28" stopIfTrue="1">
      <formula>LEN(TRIM(I41))&gt;0</formula>
    </cfRule>
  </conditionalFormatting>
  <conditionalFormatting sqref="I46:I49">
    <cfRule type="notContainsBlanks" dxfId="721" priority="27" stopIfTrue="1">
      <formula>LEN(TRIM(I46))&gt;0</formula>
    </cfRule>
  </conditionalFormatting>
  <conditionalFormatting sqref="I51:I54">
    <cfRule type="notContainsBlanks" dxfId="720" priority="26" stopIfTrue="1">
      <formula>LEN(TRIM(I51))&gt;0</formula>
    </cfRule>
  </conditionalFormatting>
  <conditionalFormatting sqref="I56:I59">
    <cfRule type="notContainsBlanks" dxfId="719" priority="25" stopIfTrue="1">
      <formula>LEN(TRIM(I56))&gt;0</formula>
    </cfRule>
  </conditionalFormatting>
  <conditionalFormatting sqref="I61:I64">
    <cfRule type="notContainsBlanks" dxfId="718" priority="24" stopIfTrue="1">
      <formula>LEN(TRIM(I61))&gt;0</formula>
    </cfRule>
  </conditionalFormatting>
  <conditionalFormatting sqref="I66:I69">
    <cfRule type="notContainsBlanks" dxfId="717" priority="23" stopIfTrue="1">
      <formula>LEN(TRIM(I66))&gt;0</formula>
    </cfRule>
  </conditionalFormatting>
  <conditionalFormatting sqref="I71:I74">
    <cfRule type="notContainsBlanks" dxfId="716" priority="22" stopIfTrue="1">
      <formula>LEN(TRIM(I71))&gt;0</formula>
    </cfRule>
  </conditionalFormatting>
  <conditionalFormatting sqref="I76:I79">
    <cfRule type="notContainsBlanks" dxfId="715" priority="21" stopIfTrue="1">
      <formula>LEN(TRIM(I76))&gt;0</formula>
    </cfRule>
  </conditionalFormatting>
  <conditionalFormatting sqref="I81:I84">
    <cfRule type="notContainsBlanks" dxfId="714" priority="20" stopIfTrue="1">
      <formula>LEN(TRIM(I81))&gt;0</formula>
    </cfRule>
  </conditionalFormatting>
  <conditionalFormatting sqref="I86:I89">
    <cfRule type="notContainsBlanks" dxfId="713" priority="19" stopIfTrue="1">
      <formula>LEN(TRIM(I86))&gt;0</formula>
    </cfRule>
  </conditionalFormatting>
  <conditionalFormatting sqref="I91:I94">
    <cfRule type="notContainsBlanks" dxfId="712" priority="18" stopIfTrue="1">
      <formula>LEN(TRIM(I91))&gt;0</formula>
    </cfRule>
  </conditionalFormatting>
  <conditionalFormatting sqref="I96:I99">
    <cfRule type="notContainsBlanks" dxfId="711" priority="17" stopIfTrue="1">
      <formula>LEN(TRIM(I96))&gt;0</formula>
    </cfRule>
  </conditionalFormatting>
  <conditionalFormatting sqref="I101:I104">
    <cfRule type="notContainsBlanks" dxfId="710" priority="16" stopIfTrue="1">
      <formula>LEN(TRIM(I101))&gt;0</formula>
    </cfRule>
  </conditionalFormatting>
  <conditionalFormatting sqref="I106:I109">
    <cfRule type="notContainsBlanks" dxfId="709" priority="15" stopIfTrue="1">
      <formula>LEN(TRIM(I106))&gt;0</formula>
    </cfRule>
  </conditionalFormatting>
  <conditionalFormatting sqref="I111:I114">
    <cfRule type="notContainsBlanks" dxfId="708" priority="14" stopIfTrue="1">
      <formula>LEN(TRIM(I111))&gt;0</formula>
    </cfRule>
  </conditionalFormatting>
  <conditionalFormatting sqref="I116:I119">
    <cfRule type="notContainsBlanks" dxfId="707" priority="13" stopIfTrue="1">
      <formula>LEN(TRIM(I116))&gt;0</formula>
    </cfRule>
  </conditionalFormatting>
  <conditionalFormatting sqref="I121:I124">
    <cfRule type="notContainsBlanks" dxfId="706" priority="12" stopIfTrue="1">
      <formula>LEN(TRIM(I121))&gt;0</formula>
    </cfRule>
  </conditionalFormatting>
  <conditionalFormatting sqref="I126:I129">
    <cfRule type="notContainsBlanks" dxfId="705" priority="11" stopIfTrue="1">
      <formula>LEN(TRIM(I126))&gt;0</formula>
    </cfRule>
  </conditionalFormatting>
  <conditionalFormatting sqref="I131:I134">
    <cfRule type="notContainsBlanks" dxfId="704" priority="10" stopIfTrue="1">
      <formula>LEN(TRIM(I131))&gt;0</formula>
    </cfRule>
  </conditionalFormatting>
  <conditionalFormatting sqref="I136:I139">
    <cfRule type="notContainsBlanks" dxfId="703" priority="9" stopIfTrue="1">
      <formula>LEN(TRIM(I136))&gt;0</formula>
    </cfRule>
  </conditionalFormatting>
  <conditionalFormatting sqref="I141:I144">
    <cfRule type="notContainsBlanks" dxfId="702" priority="8" stopIfTrue="1">
      <formula>LEN(TRIM(I141))&gt;0</formula>
    </cfRule>
  </conditionalFormatting>
  <conditionalFormatting sqref="I146:I149">
    <cfRule type="notContainsBlanks" dxfId="701" priority="7" stopIfTrue="1">
      <formula>LEN(TRIM(I146))&gt;0</formula>
    </cfRule>
  </conditionalFormatting>
  <conditionalFormatting sqref="I37:I39">
    <cfRule type="notContainsBlanks" dxfId="700" priority="6" stopIfTrue="1">
      <formula>LEN(TRIM(I37))&gt;0</formula>
    </cfRule>
  </conditionalFormatting>
  <conditionalFormatting sqref="C47:C49">
    <cfRule type="notContainsBlanks" dxfId="699" priority="5" stopIfTrue="1">
      <formula>LEN(TRIM(C47))&gt;0</formula>
    </cfRule>
  </conditionalFormatting>
  <conditionalFormatting sqref="C42:C44">
    <cfRule type="notContainsBlanks" dxfId="698" priority="4" stopIfTrue="1">
      <formula>LEN(TRIM(C42))&gt;0</formula>
    </cfRule>
  </conditionalFormatting>
  <conditionalFormatting sqref="C37:C39">
    <cfRule type="notContainsBlanks" dxfId="697" priority="3" stopIfTrue="1">
      <formula>LEN(TRIM(C37))&gt;0</formula>
    </cfRule>
  </conditionalFormatting>
  <conditionalFormatting sqref="C32:C34">
    <cfRule type="notContainsBlanks" dxfId="696" priority="2" stopIfTrue="1">
      <formula>LEN(TRIM(C32))&gt;0</formula>
    </cfRule>
  </conditionalFormatting>
  <conditionalFormatting sqref="C27:C29">
    <cfRule type="notContainsBlanks" dxfId="695" priority="1" stopIfTrue="1">
      <formula>LEN(TRIM(C27))&gt;0</formula>
    </cfRule>
  </conditionalFormatting>
  <pageMargins left="0.78740157499999996" right="0.78740157499999996" top="0.984251969" bottom="0.984251969" header="0.49212598499999999" footer="0.49212598499999999"/>
  <pageSetup paperSize="9" orientation="portrait" horizontalDpi="1200" verticalDpi="1200"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AT185"/>
  <sheetViews>
    <sheetView topLeftCell="A22" zoomScaleNormal="100" workbookViewId="0">
      <selection activeCell="J27" sqref="J27"/>
    </sheetView>
  </sheetViews>
  <sheetFormatPr defaultColWidth="13.7109375" defaultRowHeight="12.75" x14ac:dyDescent="0.2"/>
  <cols>
    <col min="1" max="1" width="15.7109375" style="87" bestFit="1" customWidth="1"/>
    <col min="2" max="2" width="16.140625" style="87" bestFit="1" customWidth="1"/>
    <col min="3" max="3" width="24.5703125" style="87" bestFit="1" customWidth="1"/>
    <col min="4" max="4" width="40.140625" style="87" bestFit="1" customWidth="1"/>
    <col min="5" max="7" width="13.7109375" style="87"/>
    <col min="8" max="8" width="19.7109375" style="87" bestFit="1" customWidth="1"/>
    <col min="9" max="9" width="18.85546875" style="87" customWidth="1"/>
    <col min="10" max="10" width="14" style="87" customWidth="1"/>
    <col min="11" max="12" width="11.85546875" style="87" customWidth="1"/>
    <col min="13" max="13" width="13.7109375" style="87"/>
    <col min="14" max="14" width="14.42578125" style="87" customWidth="1"/>
    <col min="15" max="15" width="16.28515625" style="87" bestFit="1" customWidth="1"/>
    <col min="16" max="16" width="13.42578125" style="87" customWidth="1"/>
    <col min="17" max="19" width="13.7109375" style="87"/>
    <col min="20" max="20" width="13.7109375" style="88"/>
    <col min="21" max="21" width="12.28515625" style="87" bestFit="1" customWidth="1"/>
    <col min="22" max="22" width="16.28515625" style="87" bestFit="1" customWidth="1"/>
    <col min="23" max="23" width="18.28515625" style="87" bestFit="1" customWidth="1"/>
    <col min="24" max="27" width="13.7109375" style="87"/>
    <col min="28" max="28" width="13.7109375" style="89"/>
    <col min="29" max="29" width="15" style="89" bestFit="1" customWidth="1"/>
    <col min="30" max="30" width="10.28515625" style="89" customWidth="1"/>
    <col min="31" max="31" width="11" style="89" customWidth="1"/>
    <col min="32" max="32" width="12" style="89" customWidth="1"/>
    <col min="33" max="33" width="17.42578125" style="89" customWidth="1"/>
    <col min="34" max="38" width="13.7109375" style="89"/>
    <col min="39" max="16384" width="13.7109375" style="87"/>
  </cols>
  <sheetData>
    <row r="1" spans="2:17" ht="35.25" x14ac:dyDescent="0.5">
      <c r="G1" s="7" t="s">
        <v>109</v>
      </c>
      <c r="L1" s="289" t="s">
        <v>114</v>
      </c>
    </row>
    <row r="2" spans="2:17" ht="13.5" thickBot="1" x14ac:dyDescent="0.25">
      <c r="G2" s="578" t="s">
        <v>241</v>
      </c>
      <c r="H2" s="579"/>
      <c r="I2" s="282" t="s">
        <v>84</v>
      </c>
      <c r="J2" s="283"/>
      <c r="K2" s="283" t="s">
        <v>209</v>
      </c>
      <c r="M2" s="282" t="s">
        <v>84</v>
      </c>
      <c r="N2" s="283"/>
      <c r="O2" s="283" t="s">
        <v>210</v>
      </c>
    </row>
    <row r="3" spans="2:17" ht="13.5" thickBot="1" x14ac:dyDescent="0.25">
      <c r="B3" s="85" t="s">
        <v>113</v>
      </c>
      <c r="C3" s="86"/>
      <c r="D3" s="322" t="str">
        <f>IFERROR('Entrada das massas'!I1,"")</f>
        <v>PT006</v>
      </c>
      <c r="I3" s="282" t="s">
        <v>113</v>
      </c>
      <c r="J3" s="283"/>
      <c r="K3" s="283" t="s">
        <v>111</v>
      </c>
      <c r="L3" s="6"/>
      <c r="M3" s="282" t="s">
        <v>113</v>
      </c>
      <c r="N3" s="283"/>
      <c r="O3" s="283" t="s">
        <v>112</v>
      </c>
    </row>
    <row r="4" spans="2:17" ht="15.75" thickBot="1" x14ac:dyDescent="0.3">
      <c r="B4" s="86" t="s">
        <v>72</v>
      </c>
      <c r="C4" s="86" t="s">
        <v>73</v>
      </c>
      <c r="D4" s="86" t="s">
        <v>79</v>
      </c>
      <c r="E4" s="90" t="s">
        <v>69</v>
      </c>
      <c r="F4" s="284">
        <v>2</v>
      </c>
      <c r="I4" s="283" t="s">
        <v>72</v>
      </c>
      <c r="J4" s="283" t="s">
        <v>115</v>
      </c>
      <c r="K4" s="283" t="s">
        <v>116</v>
      </c>
      <c r="L4" s="6"/>
      <c r="M4" s="283" t="s">
        <v>72</v>
      </c>
      <c r="N4" s="283" t="s">
        <v>115</v>
      </c>
      <c r="O4" s="283" t="s">
        <v>116</v>
      </c>
    </row>
    <row r="5" spans="2:17" hidden="1" x14ac:dyDescent="0.2">
      <c r="B5" s="91"/>
      <c r="C5" s="91"/>
      <c r="D5" s="91"/>
      <c r="E5" s="91"/>
      <c r="F5" s="92"/>
      <c r="I5" s="15"/>
      <c r="J5" s="15"/>
      <c r="K5" s="15"/>
      <c r="L5" s="6"/>
      <c r="M5" s="15"/>
      <c r="N5" s="15"/>
      <c r="O5" s="15"/>
    </row>
    <row r="6" spans="2:17" x14ac:dyDescent="0.2">
      <c r="B6" s="93">
        <f>I6</f>
        <v>0.1</v>
      </c>
      <c r="C6" s="93">
        <f>IF($D$3=$K$3,J6/1,IF($D$3=$O$3,N6/1,""))</f>
        <v>0</v>
      </c>
      <c r="D6" s="94">
        <f>IF($D$3=$K$3,K6/2,IF($D$3=$O$3,O6/2,""))</f>
        <v>1.0000000000000001E-5</v>
      </c>
      <c r="E6" s="93"/>
      <c r="I6" s="17">
        <v>0.1</v>
      </c>
      <c r="J6" s="17">
        <v>-2.0000000000000002E-5</v>
      </c>
      <c r="K6" s="17">
        <v>2.0000000000000002E-5</v>
      </c>
      <c r="L6" s="6"/>
      <c r="M6" s="17">
        <v>0.1</v>
      </c>
      <c r="N6" s="37">
        <v>0</v>
      </c>
      <c r="O6" s="37">
        <v>2.0000000000000002E-5</v>
      </c>
    </row>
    <row r="7" spans="2:17" x14ac:dyDescent="0.2">
      <c r="B7" s="93">
        <f t="shared" ref="B7:B20" si="0">I7</f>
        <v>1</v>
      </c>
      <c r="C7" s="93">
        <f t="shared" ref="C7:C20" si="1">IF($D$3=$K$3,J7/1,IF($D$3=$O$3,N7/1,""))</f>
        <v>-1.0000000000000001E-5</v>
      </c>
      <c r="D7" s="94">
        <f t="shared" ref="D7:D20" si="2">IF($D$3=$K$3,K7/2,IF($D$3=$O$3,O7/2,""))</f>
        <v>1.0000000000000001E-5</v>
      </c>
      <c r="E7" s="93"/>
      <c r="F7" s="92"/>
      <c r="I7" s="17">
        <v>1</v>
      </c>
      <c r="J7" s="37">
        <v>0</v>
      </c>
      <c r="K7" s="17">
        <v>1.0000000000000001E-5</v>
      </c>
      <c r="L7" s="6"/>
      <c r="M7" s="17">
        <v>1</v>
      </c>
      <c r="N7" s="37">
        <v>-1.0000000000000001E-5</v>
      </c>
      <c r="O7" s="17">
        <v>2.0000000000000002E-5</v>
      </c>
    </row>
    <row r="8" spans="2:17" x14ac:dyDescent="0.2">
      <c r="B8" s="93">
        <f t="shared" si="0"/>
        <v>5</v>
      </c>
      <c r="C8" s="93">
        <f t="shared" si="1"/>
        <v>0</v>
      </c>
      <c r="D8" s="94">
        <f t="shared" si="2"/>
        <v>5.0000000000000004E-6</v>
      </c>
      <c r="E8" s="93"/>
      <c r="F8" s="92"/>
      <c r="I8" s="17">
        <v>5</v>
      </c>
      <c r="J8" s="37">
        <v>-1.0000000000000001E-5</v>
      </c>
      <c r="K8" s="17">
        <v>1.0000000000000001E-5</v>
      </c>
      <c r="L8" s="6"/>
      <c r="M8" s="17">
        <v>5</v>
      </c>
      <c r="N8" s="37">
        <v>0</v>
      </c>
      <c r="O8" s="17">
        <v>1.0000000000000001E-5</v>
      </c>
    </row>
    <row r="9" spans="2:17" x14ac:dyDescent="0.2">
      <c r="B9" s="93">
        <f t="shared" si="0"/>
        <v>10</v>
      </c>
      <c r="C9" s="93">
        <f t="shared" si="1"/>
        <v>-2.0000000000000002E-5</v>
      </c>
      <c r="D9" s="94">
        <f t="shared" si="2"/>
        <v>1.0000000000000001E-5</v>
      </c>
      <c r="E9" s="93"/>
      <c r="F9" s="92"/>
      <c r="I9" s="17">
        <v>10</v>
      </c>
      <c r="J9" s="37">
        <v>-2.0000000000000002E-5</v>
      </c>
      <c r="K9" s="17">
        <v>2.0000000000000002E-5</v>
      </c>
      <c r="L9" s="6"/>
      <c r="M9" s="17">
        <v>10</v>
      </c>
      <c r="N9" s="37">
        <v>-2.0000000000000002E-5</v>
      </c>
      <c r="O9" s="17">
        <v>2.0000000000000002E-5</v>
      </c>
    </row>
    <row r="10" spans="2:17" x14ac:dyDescent="0.2">
      <c r="B10" s="93">
        <f t="shared" si="0"/>
        <v>15</v>
      </c>
      <c r="C10" s="93">
        <f t="shared" si="1"/>
        <v>-1.0000000000000001E-5</v>
      </c>
      <c r="D10" s="94">
        <f t="shared" si="2"/>
        <v>1.0000000000000001E-5</v>
      </c>
      <c r="E10" s="93"/>
      <c r="F10" s="92"/>
      <c r="I10" s="17">
        <v>15</v>
      </c>
      <c r="J10" s="37">
        <v>0</v>
      </c>
      <c r="K10" s="17">
        <v>2.0000000000000002E-5</v>
      </c>
      <c r="L10" s="6"/>
      <c r="M10" s="17">
        <v>15</v>
      </c>
      <c r="N10" s="37">
        <v>-1.0000000000000001E-5</v>
      </c>
      <c r="O10" s="37">
        <v>2.0000000000000002E-5</v>
      </c>
    </row>
    <row r="11" spans="2:17" x14ac:dyDescent="0.2">
      <c r="B11" s="93">
        <f t="shared" si="0"/>
        <v>20</v>
      </c>
      <c r="C11" s="93">
        <f t="shared" si="1"/>
        <v>0</v>
      </c>
      <c r="D11" s="94">
        <f t="shared" si="2"/>
        <v>1.0000000000000001E-5</v>
      </c>
      <c r="E11" s="93"/>
      <c r="F11" s="92"/>
      <c r="I11" s="17">
        <v>20</v>
      </c>
      <c r="J11" s="17">
        <v>-1.0000000000000001E-5</v>
      </c>
      <c r="K11" s="17">
        <v>2.0000000000000002E-5</v>
      </c>
      <c r="L11" s="6"/>
      <c r="M11" s="17">
        <v>20</v>
      </c>
      <c r="N11" s="37">
        <v>0</v>
      </c>
      <c r="O11" s="17">
        <v>2.0000000000000002E-5</v>
      </c>
    </row>
    <row r="12" spans="2:17" x14ac:dyDescent="0.2">
      <c r="B12" s="121">
        <f t="shared" si="0"/>
        <v>30</v>
      </c>
      <c r="C12" s="121">
        <f t="shared" si="1"/>
        <v>2.0000000000000002E-5</v>
      </c>
      <c r="D12" s="290">
        <f t="shared" si="2"/>
        <v>1.4999999999999999E-5</v>
      </c>
      <c r="E12" s="121"/>
      <c r="F12" s="291"/>
      <c r="G12" s="165"/>
      <c r="H12" s="165"/>
      <c r="I12" s="17">
        <v>30</v>
      </c>
      <c r="J12" s="17">
        <v>-1.0000000000000001E-5</v>
      </c>
      <c r="K12" s="17">
        <v>2.9999999999999997E-5</v>
      </c>
      <c r="L12" s="293"/>
      <c r="M12" s="17">
        <v>30</v>
      </c>
      <c r="N12" s="292">
        <v>2.0000000000000002E-5</v>
      </c>
      <c r="O12" s="292">
        <v>2.9999999999999997E-5</v>
      </c>
      <c r="P12" s="165"/>
      <c r="Q12" s="165"/>
    </row>
    <row r="13" spans="2:17" x14ac:dyDescent="0.2">
      <c r="B13" s="121">
        <f t="shared" si="0"/>
        <v>40</v>
      </c>
      <c r="C13" s="121">
        <f t="shared" si="1"/>
        <v>1.0000000000000001E-5</v>
      </c>
      <c r="D13" s="290">
        <f t="shared" si="2"/>
        <v>2.0000000000000002E-5</v>
      </c>
      <c r="E13" s="121"/>
      <c r="F13" s="291"/>
      <c r="G13" s="165"/>
      <c r="H13" s="165"/>
      <c r="I13" s="17">
        <v>40</v>
      </c>
      <c r="J13" s="17">
        <v>-1.0000000000000001E-5</v>
      </c>
      <c r="K13" s="17">
        <v>4.0000000000000003E-5</v>
      </c>
      <c r="L13" s="293"/>
      <c r="M13" s="17">
        <v>40</v>
      </c>
      <c r="N13" s="292">
        <v>1.0000000000000001E-5</v>
      </c>
      <c r="O13" s="292">
        <v>4.0000000000000003E-5</v>
      </c>
      <c r="P13" s="165"/>
      <c r="Q13" s="165"/>
    </row>
    <row r="14" spans="2:17" x14ac:dyDescent="0.2">
      <c r="B14" s="121">
        <f t="shared" si="0"/>
        <v>50</v>
      </c>
      <c r="C14" s="121">
        <f t="shared" si="1"/>
        <v>-5.0000000000000002E-5</v>
      </c>
      <c r="D14" s="290">
        <f t="shared" si="2"/>
        <v>2.0000000000000002E-5</v>
      </c>
      <c r="E14" s="121"/>
      <c r="F14" s="291"/>
      <c r="G14" s="165"/>
      <c r="H14" s="165"/>
      <c r="I14" s="17">
        <v>50</v>
      </c>
      <c r="J14" s="17">
        <v>-4.0000000000000003E-5</v>
      </c>
      <c r="K14" s="17">
        <v>2.9999999999999997E-5</v>
      </c>
      <c r="L14" s="293"/>
      <c r="M14" s="17">
        <v>50</v>
      </c>
      <c r="N14" s="292">
        <v>-5.0000000000000002E-5</v>
      </c>
      <c r="O14" s="292">
        <v>4.0000000000000003E-5</v>
      </c>
      <c r="P14" s="165"/>
      <c r="Q14" s="165"/>
    </row>
    <row r="15" spans="2:17" x14ac:dyDescent="0.2">
      <c r="B15" s="121">
        <f t="shared" si="0"/>
        <v>60</v>
      </c>
      <c r="C15" s="121">
        <f t="shared" si="1"/>
        <v>-2.9999999999999997E-5</v>
      </c>
      <c r="D15" s="290">
        <f t="shared" si="2"/>
        <v>2.5000000000000001E-5</v>
      </c>
      <c r="E15" s="165"/>
      <c r="F15" s="165"/>
      <c r="G15" s="294"/>
      <c r="H15" s="165"/>
      <c r="I15" s="17">
        <v>60</v>
      </c>
      <c r="J15" s="17">
        <v>-2.9999999999999997E-5</v>
      </c>
      <c r="K15" s="17">
        <v>4.0000000000000003E-5</v>
      </c>
      <c r="L15" s="293"/>
      <c r="M15" s="17">
        <v>60</v>
      </c>
      <c r="N15" s="323">
        <v>-2.9999999999999997E-5</v>
      </c>
      <c r="O15" s="292">
        <v>5.0000000000000002E-5</v>
      </c>
      <c r="P15" s="165"/>
      <c r="Q15" s="165"/>
    </row>
    <row r="16" spans="2:17" x14ac:dyDescent="0.2">
      <c r="B16" s="121">
        <f t="shared" si="0"/>
        <v>70</v>
      </c>
      <c r="C16" s="121">
        <f t="shared" si="1"/>
        <v>-4.0000000000000003E-5</v>
      </c>
      <c r="D16" s="290">
        <f t="shared" si="2"/>
        <v>2.5000000000000001E-5</v>
      </c>
      <c r="E16" s="165"/>
      <c r="F16" s="165"/>
      <c r="G16" s="294"/>
      <c r="H16" s="165"/>
      <c r="I16" s="17">
        <v>70</v>
      </c>
      <c r="J16" s="17">
        <v>-5.9999999999999995E-5</v>
      </c>
      <c r="K16" s="37">
        <v>5.0000000000000002E-5</v>
      </c>
      <c r="L16" s="293"/>
      <c r="M16" s="17">
        <v>70</v>
      </c>
      <c r="N16" s="292">
        <v>-4.0000000000000003E-5</v>
      </c>
      <c r="O16" s="292">
        <v>5.0000000000000002E-5</v>
      </c>
      <c r="P16" s="165"/>
      <c r="Q16" s="165"/>
    </row>
    <row r="17" spans="1:46" x14ac:dyDescent="0.2">
      <c r="B17" s="121">
        <f t="shared" si="0"/>
        <v>100</v>
      </c>
      <c r="C17" s="121">
        <f t="shared" si="1"/>
        <v>-2.9999999999999997E-5</v>
      </c>
      <c r="D17" s="290">
        <f t="shared" si="2"/>
        <v>3.5000000000000004E-5</v>
      </c>
      <c r="E17" s="165"/>
      <c r="F17" s="165"/>
      <c r="G17" s="294"/>
      <c r="H17" s="165"/>
      <c r="I17" s="17">
        <v>100</v>
      </c>
      <c r="J17" s="37">
        <v>-2.0000000000000002E-5</v>
      </c>
      <c r="K17" s="17">
        <v>5.9999999999999995E-5</v>
      </c>
      <c r="L17" s="293"/>
      <c r="M17" s="17">
        <v>100</v>
      </c>
      <c r="N17" s="292">
        <v>-2.9999999999999997E-5</v>
      </c>
      <c r="O17" s="292">
        <v>7.0000000000000007E-5</v>
      </c>
      <c r="P17" s="165"/>
      <c r="Q17" s="165"/>
    </row>
    <row r="18" spans="1:46" x14ac:dyDescent="0.2">
      <c r="B18" s="121">
        <f t="shared" si="0"/>
        <v>150</v>
      </c>
      <c r="C18" s="121">
        <f t="shared" si="1"/>
        <v>-1.4000000000000001E-4</v>
      </c>
      <c r="D18" s="290">
        <f t="shared" si="2"/>
        <v>5.0000000000000002E-5</v>
      </c>
      <c r="E18" s="165"/>
      <c r="F18" s="165"/>
      <c r="G18" s="294"/>
      <c r="H18" s="165"/>
      <c r="I18" s="17">
        <v>150</v>
      </c>
      <c r="J18" s="17">
        <v>-1E-4</v>
      </c>
      <c r="K18" s="17">
        <v>1E-4</v>
      </c>
      <c r="L18" s="293"/>
      <c r="M18" s="17">
        <v>150</v>
      </c>
      <c r="N18" s="292">
        <v>-1.4000000000000001E-4</v>
      </c>
      <c r="O18" s="292">
        <v>1E-4</v>
      </c>
      <c r="P18" s="165"/>
      <c r="Q18" s="165"/>
    </row>
    <row r="19" spans="1:46" x14ac:dyDescent="0.2">
      <c r="B19" s="121">
        <f t="shared" si="0"/>
        <v>200</v>
      </c>
      <c r="C19" s="121">
        <f t="shared" si="1"/>
        <v>-1.4000000000000001E-4</v>
      </c>
      <c r="D19" s="290">
        <f t="shared" si="2"/>
        <v>5.9999999999999995E-5</v>
      </c>
      <c r="E19" s="165"/>
      <c r="F19" s="165"/>
      <c r="G19" s="294"/>
      <c r="H19" s="165"/>
      <c r="I19" s="17">
        <v>200</v>
      </c>
      <c r="J19" s="17">
        <v>-4.0000000000000003E-5</v>
      </c>
      <c r="K19" s="17">
        <v>1.1999999999999999E-4</v>
      </c>
      <c r="L19" s="293"/>
      <c r="M19" s="17">
        <v>200</v>
      </c>
      <c r="N19" s="292">
        <v>-1.4000000000000001E-4</v>
      </c>
      <c r="O19" s="292">
        <v>1.1999999999999999E-4</v>
      </c>
      <c r="P19" s="165"/>
      <c r="Q19" s="165"/>
    </row>
    <row r="20" spans="1:46" ht="13.5" thickBot="1" x14ac:dyDescent="0.25">
      <c r="B20" s="295">
        <f t="shared" si="0"/>
        <v>220</v>
      </c>
      <c r="C20" s="295">
        <f t="shared" si="1"/>
        <v>-1.9000000000000001E-4</v>
      </c>
      <c r="D20" s="295">
        <f t="shared" si="2"/>
        <v>7.0000000000000007E-5</v>
      </c>
      <c r="E20" s="295"/>
      <c r="F20" s="295"/>
      <c r="G20" s="294"/>
      <c r="H20" s="165"/>
      <c r="I20" s="299">
        <v>220</v>
      </c>
      <c r="J20" s="324">
        <v>-8.0000000000000007E-5</v>
      </c>
      <c r="K20" s="299">
        <v>1.4000000000000001E-4</v>
      </c>
      <c r="L20" s="293"/>
      <c r="M20" s="299">
        <v>220</v>
      </c>
      <c r="N20" s="296">
        <v>-1.9000000000000001E-4</v>
      </c>
      <c r="O20" s="296">
        <v>1.4000000000000001E-4</v>
      </c>
      <c r="P20" s="165"/>
      <c r="Q20" s="165"/>
    </row>
    <row r="21" spans="1:46" x14ac:dyDescent="0.2">
      <c r="B21" s="93"/>
      <c r="G21" s="96"/>
    </row>
    <row r="22" spans="1:46" x14ac:dyDescent="0.2">
      <c r="I22" s="97" t="s">
        <v>71</v>
      </c>
    </row>
    <row r="23" spans="1:46" ht="13.5" thickBot="1" x14ac:dyDescent="0.25">
      <c r="A23" s="580"/>
      <c r="B23" s="580"/>
      <c r="C23" s="580"/>
      <c r="D23" s="580"/>
      <c r="E23" s="580"/>
      <c r="F23" s="580"/>
      <c r="G23" s="98"/>
      <c r="H23" s="99"/>
      <c r="I23" s="99"/>
      <c r="J23" s="99"/>
      <c r="K23" s="99"/>
      <c r="L23" s="99"/>
      <c r="M23" s="99"/>
      <c r="N23" s="99"/>
      <c r="O23" s="99"/>
      <c r="P23" s="99"/>
      <c r="Q23" s="99"/>
      <c r="R23" s="99"/>
      <c r="S23" s="99"/>
      <c r="T23" s="99"/>
      <c r="U23" s="99"/>
      <c r="V23" s="99"/>
      <c r="W23" s="99"/>
      <c r="X23" s="99"/>
      <c r="Y23" s="99"/>
      <c r="Z23" s="99"/>
      <c r="AA23" s="99"/>
      <c r="AB23" s="100"/>
      <c r="AC23" s="318"/>
      <c r="AD23" s="318"/>
      <c r="AE23" s="318"/>
      <c r="AF23" s="318"/>
      <c r="AG23" s="318"/>
      <c r="AH23" s="318"/>
      <c r="AI23" s="318"/>
      <c r="AJ23" s="318"/>
      <c r="AK23" s="318"/>
      <c r="AL23" s="101"/>
      <c r="AM23" s="98"/>
      <c r="AN23" s="98"/>
      <c r="AO23" s="98"/>
      <c r="AP23" s="98"/>
      <c r="AQ23" s="98"/>
      <c r="AR23" s="98"/>
      <c r="AS23" s="98"/>
      <c r="AT23" s="98"/>
    </row>
    <row r="24" spans="1:46" ht="13.5" thickBot="1" x14ac:dyDescent="0.25">
      <c r="A24" s="572" t="s">
        <v>31</v>
      </c>
      <c r="B24" s="573"/>
      <c r="C24" s="573"/>
      <c r="D24" s="573"/>
      <c r="E24" s="573"/>
      <c r="F24" s="574"/>
      <c r="H24" s="572" t="s">
        <v>63</v>
      </c>
      <c r="I24" s="573"/>
      <c r="J24" s="573"/>
      <c r="K24" s="573"/>
      <c r="L24" s="573"/>
      <c r="M24" s="574"/>
      <c r="O24" s="572" t="str">
        <f>IF(P26="","","Segunda diluição da amostra")</f>
        <v>Segunda diluição da amostra</v>
      </c>
      <c r="P24" s="573"/>
      <c r="Q24" s="573"/>
      <c r="R24" s="573"/>
      <c r="S24" s="573"/>
      <c r="T24" s="574"/>
      <c r="V24" s="572" t="str">
        <f>IF(W26="","","Terceira diluição da amostra")</f>
        <v/>
      </c>
      <c r="W24" s="573"/>
      <c r="X24" s="573"/>
      <c r="Y24" s="573"/>
      <c r="Z24" s="573"/>
      <c r="AA24" s="574"/>
      <c r="AB24" s="100"/>
      <c r="AC24" s="102"/>
      <c r="AD24" s="93"/>
      <c r="AE24" s="103"/>
      <c r="AF24" s="101"/>
      <c r="AG24" s="101"/>
      <c r="AH24" s="101"/>
      <c r="AI24" s="101"/>
      <c r="AJ24" s="101"/>
      <c r="AK24" s="101"/>
      <c r="AL24" s="101"/>
      <c r="AM24" s="98"/>
      <c r="AN24" s="98"/>
      <c r="AO24" s="98"/>
      <c r="AP24" s="98"/>
      <c r="AQ24" s="98"/>
      <c r="AR24" s="98"/>
      <c r="AS24" s="98"/>
      <c r="AT24" s="98"/>
    </row>
    <row r="25" spans="1:46" ht="13.5" thickBot="1" x14ac:dyDescent="0.25">
      <c r="J25" s="104"/>
      <c r="K25" s="104"/>
      <c r="L25" s="104"/>
      <c r="P25" s="105"/>
      <c r="Q25" s="104"/>
      <c r="R25" s="104"/>
      <c r="S25" s="104"/>
      <c r="T25" s="87"/>
      <c r="W25" s="105"/>
      <c r="AB25" s="106"/>
      <c r="AC25" s="102"/>
      <c r="AD25" s="93"/>
      <c r="AE25" s="102"/>
      <c r="AF25" s="102"/>
      <c r="AG25" s="101"/>
      <c r="AH25" s="101"/>
      <c r="AI25" s="101"/>
      <c r="AJ25" s="101"/>
      <c r="AK25" s="101"/>
      <c r="AL25" s="101"/>
      <c r="AM25" s="98"/>
      <c r="AN25" s="98"/>
      <c r="AO25" s="98"/>
      <c r="AP25" s="98"/>
      <c r="AQ25" s="98"/>
      <c r="AR25" s="98"/>
      <c r="AS25" s="98"/>
      <c r="AT25" s="98"/>
    </row>
    <row r="26" spans="1:46" x14ac:dyDescent="0.2">
      <c r="A26" s="575" t="s">
        <v>56</v>
      </c>
      <c r="B26" s="576"/>
      <c r="C26" s="576"/>
      <c r="D26" s="576"/>
      <c r="E26" s="576"/>
      <c r="F26" s="577"/>
      <c r="H26" s="107" t="s">
        <v>60</v>
      </c>
      <c r="I26" s="108" t="str">
        <f>IF('Entrada das massas'!I6="","",'Entrada das massas'!I6)</f>
        <v>AMA</v>
      </c>
      <c r="J26" s="109" t="str">
        <f>IF(I26="","","uc(g)")</f>
        <v>uc(g)</v>
      </c>
      <c r="K26" s="109" t="str">
        <f>IF(J26="","","Massa (g)")</f>
        <v>Massa (g)</v>
      </c>
      <c r="L26" s="109" t="str">
        <f>IF(K26="","","ucomb (g)")</f>
        <v>ucomb (g)</v>
      </c>
      <c r="M26" s="87" t="str">
        <f>IF(I26="","","Fdiluição")</f>
        <v>Fdiluição</v>
      </c>
      <c r="O26" s="107" t="str">
        <f>IF(M27="","","Amostra")</f>
        <v>Amostra</v>
      </c>
      <c r="P26" s="108" t="str">
        <f>IF('Entrada das massas'!N6="","",'Entrada das massas'!N6)</f>
        <v>AMA</v>
      </c>
      <c r="Q26" s="109" t="str">
        <f>IF(P26="","","uc(g)")</f>
        <v>uc(g)</v>
      </c>
      <c r="R26" s="109" t="str">
        <f>IF(Q26="","","Massa (g)")</f>
        <v>Massa (g)</v>
      </c>
      <c r="S26" s="109" t="str">
        <f>IF(R26="","","ucomb (g)")</f>
        <v>ucomb (g)</v>
      </c>
      <c r="T26" s="87" t="str">
        <f>IF(P26="","","Fdiluição")</f>
        <v>Fdiluição</v>
      </c>
      <c r="V26" s="107" t="str">
        <f>IF(T27="","","Amostra")</f>
        <v/>
      </c>
      <c r="W26" s="108" t="str">
        <f>IF('Entrada das massas'!S6="","",'Entrada das massas'!S6)</f>
        <v/>
      </c>
      <c r="X26" s="109" t="str">
        <f>IF(W26="","","uc(g)")</f>
        <v/>
      </c>
      <c r="Y26" s="109" t="str">
        <f>IF(X26="","","Massa (g)")</f>
        <v/>
      </c>
      <c r="Z26" s="109" t="str">
        <f>IF(Y26="","","ucomb (g)")</f>
        <v/>
      </c>
      <c r="AA26" s="87" t="str">
        <f>IF(W26="","","Fdiluição")</f>
        <v/>
      </c>
      <c r="AB26" s="106"/>
      <c r="AC26" s="102"/>
      <c r="AD26" s="93"/>
      <c r="AE26" s="101"/>
      <c r="AF26" s="102"/>
      <c r="AG26" s="101"/>
      <c r="AH26" s="101"/>
      <c r="AI26" s="101"/>
      <c r="AJ26" s="101"/>
      <c r="AK26" s="101"/>
      <c r="AL26" s="101"/>
      <c r="AM26" s="98"/>
      <c r="AN26" s="98"/>
      <c r="AO26" s="98"/>
      <c r="AP26" s="98"/>
      <c r="AQ26" s="98"/>
      <c r="AR26" s="98"/>
      <c r="AS26" s="98"/>
      <c r="AT26" s="98"/>
    </row>
    <row r="27" spans="1:46" ht="15.75" x14ac:dyDescent="0.3">
      <c r="A27" s="110" t="s">
        <v>57</v>
      </c>
      <c r="B27" s="111">
        <f>IF(AND('Entrada das massas'!C7&lt;=$B$20,'Entrada das massas'!C7&gt;$B$19),'Entrada das massas'!C7-((($C$20-$C$19)*($B$20-'Entrada das massas'!C7)+($B$19*$C$20)-($B$20*$C$20))/($B$19-$B$20)),IF(AND('Entrada das massas'!C7&lt;=$B$19,'Entrada das massas'!C7&gt;$B$18),'Entrada das massas'!C7-((($C$19-$C$18)*($B$19-'Entrada das massas'!C7)+($B$18*$C$19)-($B$19*$C$19))/($B$18-$B$19)),IF(AND('Entrada das massas'!C7&lt;=$B$18,'Entrada das massas'!C7&gt;$B$17),'Entrada das massas'!C7-((($C$18-$C$17)*($B$18-'Entrada das massas'!C7)+($B$17*$C$18)-($B$18*$C$18))/($B$17-$B$18)),IF(AND('Entrada das massas'!C7&lt;=$B$17,'Entrada das massas'!C7&gt;$B$16),'Entrada das massas'!C7-((($C$17-$C$16)*($B$17-'Entrada das massas'!C7)+($B$16*$C$17)-($B$17*$C$17))/($B$16-$B$17)),IF(AND('Entrada das massas'!C7&lt;=$B$16,'Entrada das massas'!C7&gt;$B$15),'Entrada das massas'!C7-((($C$16-$C$15)*($B$16-'Entrada das massas'!C7)+($B$15*$C$16)-($B$16*$C$16))/($B$15-$B$16)),IF(AND('Entrada das massas'!C7&lt;=$B$15,'Entrada das massas'!C7&gt;$B$14),'Entrada das massas'!C7-((($C$15-$C$14)*($B$15-'Entrada das massas'!C7)+($B$14*$C$15)-($B$15*$C$15))/($B$14-$B$15)),IF(AND('Entrada das massas'!C7&lt;=$B$14,'Entrada das massas'!C7&gt;$B$13),'Entrada das massas'!C7-((($C$14-$C$13)*($B$14-'Entrada das massas'!C7)+($B$13*$C$14)-($B$14*$C$14))/($B$13-$B$14)),IF(AND('Entrada das massas'!C7&lt;=$B$13,'Entrada das massas'!C7&gt;$B$12),'Entrada das massas'!C7-((($C$13-$C$12)*($B$13-'Entrada das massas'!C7)+($B$12*$C$13)-($B$13*$C$13))/($B$12-$B$13)),IF(AND('Entrada das massas'!C7&lt;=$B$12,'Entrada das massas'!C7&gt;$B$11),'Entrada das massas'!C7-((($C$12-$C$11)*($B$12-'Entrada das massas'!C7)+($B$11*$C$12)-($B$12*$C$12))/($B$11-$B$12)), IF(AND('Entrada das massas'!C7&lt;=$B$11,'Entrada das massas'!C7&gt;$B$10),'Entrada das massas'!C7-((($C$11-$C$10)*($B$11-'Entrada das massas'!C7)+($B$10*$C$11)-($B$11*$C$11))/($B$10-$B$11)),IF(AND('Entrada das massas'!C7&lt;=$B$10,'Entrada das massas'!C7&gt;$B$9),'Entrada das massas'!C7-((($C$10-$C$9)*($B$10-'Entrada das massas'!C7)+($B$9*$C$10)-($B$10*$C$10))/($B$9-$B$10)),IF(AND('Entrada das massas'!C7&lt;=$B$9,'Entrada das massas'!C7&gt;$B$8),'Entrada das massas'!C7-((($C$9-$C$8)*($B$9-'Entrada das massas'!C7)+($B$8*$C$9)-($B$9*$C$9))/($B$8-$B$9)),IF(AND('Entrada das massas'!C7&lt;=$B$8,'Entrada das massas'!C7&gt;$B$7),'Entrada das massas'!C7-((($C$8-$C$7)*($B$8-'Entrada das massas'!C7)+($B$7*$C$8)-($B$8*$C$8))/($B$7-$B$8)),IF(AND('Entrada das massas'!C7&lt;=$B$7,'Entrada das massas'!C7&gt;$B$6),'Entrada das massas'!C7-((($C$7-$C$6)*($B$7-'Entrada das massas'!C7)+($B$6*$C$7)-($B$7*$C$7))/($B$6-$B$7)),IF(AND('Entrada das massas'!C7&lt;=$B$6,'Entrada das massas'!C7&gt;$B$5),'Entrada das massas'!C7-((($C$6-$C$5)*($B$6-'Entrada das massas'!C7)+($B$5*$C$6)-($B$6*$C$6))/($B$5-$B$6)),IF('Entrada das massas'!C7&lt;=$B$5,'Entrada das massas'!C7-$C$5))))))))))))))))</f>
        <v>15.090319819380001</v>
      </c>
      <c r="C27" s="112">
        <f>(IF(AND(B27&lt;=$B$20,B27&gt;$B$19),$D$19+($B$19-B27)/($B$19-$B$20)*($D$20-$D$19),IF(AND(B27&lt;=$B$19,B27&gt;$B$18),$D$18+($B$18-B27)/($B$18-$B$19)*($D$19-$D$18),IF(AND(B27&lt;=$B$18,B27&gt;$B$17),$D$17+($B$17-B27)/($B$17-$B$18)*($D$18-$D$17),IF(AND(B27&lt;=$B$17,B27&gt;$B$16),$D$16+($B$16-B27)/($B$16-$B$17)*($D$17-$D$16),IF(AND(B27&lt;=$B$16,B27&gt;$B$15),$D$15+($B$15-B27)/($B$15-$B$16)*($D$16-$D$15),IF(AND(B27&lt;=$B$15,B27&gt;$B$14),$D$14+($B$14-B27)/($B$14-$B$15)*($D$15-$D$14),IF(AND(B27&lt;=$B$14,B27&gt;$B$13),$D$13+($B$13-B27)/($B$13-$B$14)*($D$14-$D$13),IF(AND(B27&lt;=$B$13,B27&gt;$B$12),$D$12+($B$12-B27)/($B$12-$B$13)*($D$13-$D$12),IF(AND(B27&lt;=$B$12,B27&gt;$B$11),$D$11+($B$11-B27)/($B$11-$B$12)*($D$12-$D$11),IF(AND(B27&lt;=$B$11,B27&gt;$B$10),$D$10+($B$10-B27)/($B$10-$B$11)*($D$11-$D$10),IF(AND(B27&lt;=$B$10,B27&gt;$B$9),$D$9+($B$9-B27)/($B$9-$B$10)*($D$10-$D$9),IF(AND(B27&lt;=$B$9,B27&gt;$B$8),$D$8+($B$8-B27)/($B$8-$B$9)*($D$9-$D$8),IF(AND(B27&lt;=$B$8,B27&gt;$B$7),$D$7+($B$7-B27)/($B$7-$B$8)*($D$8-$D$7),IF(AND(B27&lt;=$B$7,B27&gt;$B$6),$D$6+($B$6-B27)/($B$6-$B$7)*($D$7-$D$6),IF(B27&lt;=$B$6,$D$6))))))))))))))))</f>
        <v>1.0000000000000001E-5</v>
      </c>
      <c r="D27" s="113"/>
      <c r="E27" s="113"/>
      <c r="F27" s="114" t="s">
        <v>70</v>
      </c>
      <c r="H27" s="115" t="str">
        <f>IF(I26="","","Frasco")</f>
        <v>Frasco</v>
      </c>
      <c r="I27" s="116">
        <f>IF('Entrada das massas'!I7="","",IF(AND('Entrada das massas'!I7&lt;=$B$20,'Entrada das massas'!I7&gt;$B$19),'Entrada das massas'!I7-((($C$20-$C$19)*($B$20-'Entrada das massas'!I7)+($B$19*$C$20)-($B$20*$C$20))/($B$19-$B$20)),IF(AND('Entrada das massas'!I7&lt;=$B$19,'Entrada das massas'!I7&gt;$B$18),'Entrada das massas'!I7-((($C$19-$C$18)*($B$19-'Entrada das massas'!I7)+($B$18*$C$19)-($B$19*$C$19))/($B$18-$B$19)),IF(AND('Entrada das massas'!I7&lt;=$B$18,'Entrada das massas'!I7&gt;$B$17),'Entrada das massas'!I7-((($C$18-$C$17)*($B$18-'Entrada das massas'!I7)+($B$17*$C$18)-($B$18*$C$18))/($B$17-$B$18)),IF(AND('Entrada das massas'!I7&lt;=$B$17,'Entrada das massas'!I7&gt;$B$16),'Entrada das massas'!I7-((($C$17-$C$16)*($B$17-'Entrada das massas'!I7)+($B$16*$C$17)-($B$17*$C$17))/($B$16-$B$17)),IF(AND('Entrada das massas'!I7&lt;=$B$16,'Entrada das massas'!I7&gt;$B$15),'Entrada das massas'!I7-((($C$16-$C$15)*($B$16-'Entrada das massas'!I7)+($B$15*$C$16)-($B$16*$C$16))/($B$15-$B$16)),IF(AND('Entrada das massas'!I7&lt;=$B$15,'Entrada das massas'!I7&gt;$B$14),'Entrada das massas'!I7-((($C$15-$C$14)*($B$15-'Entrada das massas'!I7)+($B$14*$C$15)-($B$15*$C$15))/($B$14-$B$15)),IF(AND('Entrada das massas'!I7&lt;=$B$14,'Entrada das massas'!I7&gt;$B$13),'Entrada das massas'!I7-((($C$14-$C$13)*($B$14-'Entrada das massas'!I7)+($B$13*$C$14)-($B$14*$C$14))/($B$13-$B$14)),IF(AND('Entrada das massas'!I7&lt;=$B$13,'Entrada das massas'!I7&gt;$B$12),'Entrada das massas'!I7-((($C$13-$C$12)*($B$13-'Entrada das massas'!I7)+($B$12*$C$13)-($B$13*$C$13))/($B$12-$B$13)),IF(AND('Entrada das massas'!I7&lt;=$B$12,'Entrada das massas'!I7&gt;$B$11),'Entrada das massas'!I7-((($C$12-$C$11)*($B$12-'Entrada das massas'!I7)+($B$11*$C$12)-($B$12*$C$12))/($B$11-$B$12)),IF(AND('Entrada das massas'!I7&lt;=$B$11,'Entrada das massas'!I7&gt;$B$10),'Entrada das massas'!I7-((($C$11-$C$10)*($B$11-'Entrada das massas'!I7)+($B$10*$C$11)-($B$11*$C$11))/($B$10-$B$11)),IF(AND('Entrada das massas'!I7&lt;=$B$10,'Entrada das massas'!I7&gt;$B$9),'Entrada das massas'!I7-((($C$10-$C$9)*($B$10-'Entrada das massas'!I7)+($B$9*$C$10)-($B$10*$C$10))/($B$9-$B$10)),IF(AND('Entrada das massas'!I7&lt;=$B$9,'Entrada das massas'!I7&gt;$B$8),'Entrada das massas'!I7-((($C$9-$C$8)*($B$9-'Entrada das massas'!I7)+($B$8*$C$9)-($B$9*$C$9))/($B$8-$B$9)),IF(AND('Entrada das massas'!I7&lt;=$B$8,'Entrada das massas'!I7&gt;$B$7),'Entrada das massas'!I7-((($C$8-$C$7)*($B$8-'Entrada das massas'!I7)+($B$7*$C$8)-($B$8*$C$8))/($B$7-$B$8)),IF(AND('Entrada das massas'!I7&lt;=$B$7,'Entrada das massas'!I7&gt;$B$6),'Entrada das massas'!I7-((($C$7-$C$6)*($B$7-'Entrada das massas'!I7)+($B$6*$C$7)-($B$7*$C$7))/($B$6-$B$7)),IF(AND('Entrada das massas'!I7&lt;=$B$6,'Entrada das massas'!I7&gt;$B$5),'Entrada das massas'!I7-((($C$6-$C$5)*($B$6-'Entrada das massas'!I7)+($B$5*$C$6)-($B$6*$C$6))/($B$5-$B$6)),IF('Entrada das massas'!I7&lt;=$B$5,'Entrada das massas'!I7-$C$5)))))))))))))))))</f>
        <v>12.1291157418</v>
      </c>
      <c r="J27" s="117">
        <f>IF(I27="","",(IF(AND(I27&lt;=$B$20,I27&gt;$B$19),$D$19+($B$19-I27)/($B$19-$B$20)*($D$20-$D$19),IF(AND(I27&lt;=$B$19,I27&gt;$B$18),$D$18+($B$18-I27)/($B$18-$B$19)*($D$19-$D$18),IF(AND(I27&lt;=$B$18,I27&gt;$B$17),$D$17+($B$17-I27)/($B$17-$B$18)*($D$18-$D$17),IF(AND(I27&lt;=$B$17,I27&gt;$B$16),$D$16+($B$16-I27)/($B$16-$B$17)*($D$17-$D$16),IF(AND(I27&lt;=$B$16,I27&gt;$B$15),$D$15+($B$15-I27)/($B$15-$B$16)*($D$16-$D$15),IF(AND(I27&lt;=$B$15,I27&gt;$B$14),$D$14+($B$14-I27)/($B$14-$B$15)*($D$15-$D$14),IF(AND(I27&lt;=$B$14,I27&gt;$B$13),$D$13+($B$13-I27)/($B$13-$B$14)*($D$14-$D$13),IF(AND(I27&lt;=$B$13,I27&gt;$B$12),$D$12+($B$12-I27)/($B$12-$B$13)*($D$13-$D$12),IF(AND(I27&lt;=$B$12,I27&gt;$B$11),$D$11+($B$11-I27)/($B$11-$B$12)*($D$12-$D$11),IF(AND(I27&lt;=$B$11,I27&gt;$B$10),$D$10+($B$10-I27)/($B$10-$B$11)*($D$11-$D$10),IF(AND(I27&lt;=$B$10,I27&gt;$B$9),$D$9+($B$9-I27)/($B$9-$B$10)*($D$10-$D$9),IF(AND(I27&lt;=$B$9,I27&gt;$B$8),$D$8+($B$8-I27)/($B$8-$B$9)*($D$9-$D$8),IF(AND(I27&lt;=$B$8,I27&gt;$B$7),$D$7+($B$7-I27)/($B$7-$B$8)*($D$8-$D$7),IF(AND(I27&lt;=$B$7,I27&gt;$B$6),$D$6+($B$6-I27)/($B$6-$B$7)*($D$7-$D$6),IF(I27&lt;=$B$6,$D$6)))))))))))))))))</f>
        <v>1.0000000000000001E-5</v>
      </c>
      <c r="K27" s="117"/>
      <c r="L27" s="117"/>
      <c r="M27" s="118">
        <f>IFERROR(K29/K28,"")</f>
        <v>166.77636071817932</v>
      </c>
      <c r="N27" s="116"/>
      <c r="O27" s="115" t="str">
        <f>IF(P26="","","Frasco")</f>
        <v>Frasco</v>
      </c>
      <c r="P27" s="95" t="str">
        <f>IF('Entrada das massas'!N7="","",IF(AND('Entrada das massas'!N7&lt;=$B$20,'Entrada das massas'!N7&gt;$B$19),'Entrada das massas'!N7-((($C$20-$C$19)*($B$20-'Entrada das massas'!N7)+($B$19*$C$20)-($B$20*$C$20))/($B$19-$B$20)),IF(AND('Entrada das massas'!N7&lt;=$B$19,'Entrada das massas'!N7&gt;$B$18),'Entrada das massas'!N7-((($C$19-$C$18)*($B$19-'Entrada das massas'!N7)+($B$18*$C$19)-($B$19*$C$19))/($B$18-$B$19)),IF(AND('Entrada das massas'!N7&lt;=$B$18,'Entrada das massas'!N7&gt;$B$17),'Entrada das massas'!N7-((($C$18-$C$17)*($B$18-'Entrada das massas'!N7)+($B$17*$C$18)-($B$18*$C$18))/($B$17-$B$18)),IF(AND('Entrada das massas'!N7&lt;=$B$17,'Entrada das massas'!N7&gt;$B$16),'Entrada das massas'!N7-((($C$17-$C$16)*($B$17-'Entrada das massas'!N7)+($B$16*$C$17)-($B$17*$C$17))/($B$16-$B$17)),IF(AND('Entrada das massas'!N7&lt;=$B$16,'Entrada das massas'!N7&gt;$B$15),'Entrada das massas'!N7-((($C$16-$C$15)*($B$16-'Entrada das massas'!N7)+($B$15*$C$16)-($B$16*$C$16))/($B$15-$B$16)),IF(AND('Entrada das massas'!N7&lt;=$B$15,'Entrada das massas'!N7&gt;$B$14),'Entrada das massas'!N7-((($C$15-$C$14)*($B$15-'Entrada das massas'!N7)+($B$14*$C$15)-($B$15*$C$15))/($B$14-$B$15)),IF(AND('Entrada das massas'!N7&lt;=$B$14,'Entrada das massas'!N7&gt;$B$13),'Entrada das massas'!N7-((($C$14-$C$13)*($B$14-'Entrada das massas'!N7)+($B$13*$C$14)-($B$14*$C$14))/($B$13-$B$14)),IF(AND('Entrada das massas'!N7&lt;=$B$13,'Entrada das massas'!N7&gt;$B$12),'Entrada das massas'!N7-((($C$13-$C$12)*($B$13-'Entrada das massas'!N7)+($B$12*$C$13)-($B$13*$C$13))/($B$12-$B$13)),IF(AND('Entrada das massas'!N7&lt;=$B$12,'Entrada das massas'!N7&gt;$B$11),'Entrada das massas'!N7-((($C$12-$C$11)*($B$12-'Entrada das massas'!N7)+($B$11*$C$12)-($B$12*$C$12))/($B$11-$B$12)),IF(AND('Entrada das massas'!N7&lt;=$B$11,'Entrada das massas'!N7&gt;$B$10),'Entrada das massas'!N7-((($C$11-$C$10)*($B$11-'Entrada das massas'!N7)+($B$10*$C$11)-($B$11*$C$11))/($B$10-$B$11)),IF(AND('Entrada das massas'!N7&lt;=$B$10,'Entrada das massas'!N7&gt;$B$9),'Entrada das massas'!N7-((($C$10-$C$9)*($B$10-'Entrada das massas'!N7)+($B$9*$C$10)-($B$10*$C$10))/($B$9-$B$10)),IF(AND('Entrada das massas'!N7&lt;=$B$9,'Entrada das massas'!N7&gt;$B$8),'Entrada das massas'!N7-((($C$9-$C$8)*($B$9-'Entrada das massas'!N7)+($B$8*$C$9)-($B$9*$C$9))/($B$8-$B$9)),IF(AND('Entrada das massas'!N7&lt;=$B$8,'Entrada das massas'!N7&gt;$B$7),'Entrada das massas'!N7-((($C$8-$C$7)*($B$8-'Entrada das massas'!N7)+($B$7*$C$8)-($B$8*$C$8))/($B$7-$B$8)),IF(AND('Entrada das massas'!N7&lt;=$B$7,'Entrada das massas'!N7&gt;$B$6),'Entrada das massas'!N7-((($C$7-$C$6)*($B$7-'Entrada das massas'!N7)+($B$6*$C$7)-($B$7*$C$7))/($B$6-$B$7)),IF(AND('Entrada das massas'!N7&lt;=$B$6,'Entrada das massas'!N7&gt;$B$5),'Entrada das massas'!N7-((($C$6-$C$5)*($B$6-'Entrada das massas'!N7)+($B$5*$C$6)-($B$6*$C$6))/($B$5-$B$6)),IF('Entrada das massas'!N7&lt;=$B$5,'Entrada das massas'!N7-$C$5)))))))))))))))))</f>
        <v/>
      </c>
      <c r="Q27" s="117" t="str">
        <f>IF(P27="","",(IF(AND(P27&lt;=$B$20,P27&gt;$B$19),$D$19+($B$19-P27)/($B$19-$B$20)*($D$20-$D$19),IF(AND(P27&lt;=$B$19,P27&gt;$B$18),$D$18+($B$18-P27)/($B$18-$B$19)*($D$19-$D$18),IF(AND(P27&lt;=$B$18,P27&gt;$B$17),$D$17+($B$17-P27)/($B$17-$B$18)*($D$18-$D$17),IF(AND(P27&lt;=$B$17,P27&gt;$B$16),$D$16+($B$16-P27)/($B$16-$B$17)*($D$17-$D$16),IF(AND(P27&lt;=$B$16,P27&gt;$B$15),$D$15+($B$15-P27)/($B$15-$B$16)*($D$16-$D$15),IF(AND(P27&lt;=$B$15,P27&gt;$B$14),$D$14+($B$14-P27)/($B$14-$B$15)*($D$15-$D$14),IF(AND(P27&lt;=$B$14,P27&gt;$B$13),$D$13+($B$13-P27)/($B$13-$B$14)*($D$14-$D$13),IF(AND(P27&lt;=$B$13,P27&gt;$B$12),$D$12+($B$12-P27)/($B$12-$B$13)*($D$13-$D$12),IF(AND(P27&lt;=$B$12,P27&gt;$B$11),$D$11+($B$11-P27)/($B$11-$B$12)*($D$12-$D$11),IF(AND(P27&lt;=$B$11,P27&gt;$B$10),$D$10+($B$10-P27)/($B$10-$B$11)*($D$11-$D$10),IF(AND(P27&lt;=$B$10,P27&gt;$B$9),$D$9+($B$9-P27)/($B$9-$B$10)*($D$10-$D$9),IF(AND(P27&lt;=$B$9,P27&gt;$B$8),$D$8+($B$8-P27)/($B$8-$B$9)*($D$9-$D$8),IF(AND(P27&lt;=$B$8,P27&gt;$B$7),$D$7+($B$7-P27)/($B$7-$B$8)*($D$8-$D$7),IF(AND(P27&lt;=$B$7,P27&gt;$B$6),$D$6+($B$6-P27)/($B$6-$B$7)*($D$7-$D$6),IF(P27&lt;=$B$6,$D$6)))))))))))))))))</f>
        <v/>
      </c>
      <c r="R27" s="117"/>
      <c r="S27" s="117"/>
      <c r="T27" s="118" t="str">
        <f>IFERROR(R29/R28,"")</f>
        <v/>
      </c>
      <c r="U27" s="95"/>
      <c r="V27" s="115" t="str">
        <f>IF(W26="","","Frasco")</f>
        <v/>
      </c>
      <c r="W27" s="95" t="str">
        <f>IF('Entrada das massas'!S7="","",IF(AND('Entrada das massas'!S7&lt;=$B$20,'Entrada das massas'!S7&gt;$B$19),'Entrada das massas'!S7-((($C$20-$C$19)*($B$20-'Entrada das massas'!S7)+($B$19*$C$20)-($B$20*$C$20))/($B$19-$B$20)),IF(AND('Entrada das massas'!S7&lt;=$B$19,'Entrada das massas'!S7&gt;$B$18),'Entrada das massas'!S7-((($C$19-$C$18)*($B$19-'Entrada das massas'!S7)+($B$18*$C$19)-($B$19*$C$19))/($B$18-$B$19)),IF(AND('Entrada das massas'!S7&lt;=$B$18,'Entrada das massas'!S7&gt;$B$17),'Entrada das massas'!S7-((($C$18-$C$17)*($B$18-'Entrada das massas'!S7)+($B$17*$C$18)-($B$18*$C$18))/($B$17-$B$18)),IF(AND('Entrada das massas'!S7&lt;=$B$17,'Entrada das massas'!S7&gt;$B$16),'Entrada das massas'!S7-((($C$17-$C$16)*($B$17-'Entrada das massas'!S7)+($B$16*$C$17)-($B$17*$C$17))/($B$16-$B$17)),IF(AND('Entrada das massas'!S7&lt;=$B$16,'Entrada das massas'!S7&gt;$B$15),'Entrada das massas'!S7-((($C$16-$C$15)*($B$16-'Entrada das massas'!S7)+($B$15*$C$16)-($B$16*$C$16))/($B$15-$B$16)),IF(AND('Entrada das massas'!S7&lt;=$B$15,'Entrada das massas'!S7&gt;$B$14),'Entrada das massas'!S7-((($C$15-$C$14)*($B$15-'Entrada das massas'!S7)+($B$14*$C$15)-($B$15*$C$15))/($B$14-$B$15)),IF(AND('Entrada das massas'!S7&lt;=$B$14,'Entrada das massas'!S7&gt;$B$13),'Entrada das massas'!S7-((($C$14-$C$13)*($B$14-'Entrada das massas'!S7)+($B$13*$C$14)-($B$14*$C$14))/($B$13-$B$14)),IF(AND('Entrada das massas'!S7&lt;=$B$13,'Entrada das massas'!S7&gt;$B$12),'Entrada das massas'!S7-((($C$13-$C$12)*($B$13-'Entrada das massas'!S7)+($B$12*$C$13)-($B$13*$C$13))/($B$12-$B$13)),IF(AND('Entrada das massas'!S7&lt;=$B$12,'Entrada das massas'!S7&gt;$B$11),'Entrada das massas'!S7-((($C$12-$C$11)*($B$12-'Entrada das massas'!S7)+($B$11*$C$12)-($B$12*$C$12))/($B$11-$B$12)),IF(AND('Entrada das massas'!S7&lt;=$B$11,'Entrada das massas'!S7&gt;$B$10),'Entrada das massas'!S7-((($C$11-$C$10)*($B$11-'Entrada das massas'!S7)+($B$10*$C$11)-($B$11*$C$11))/($B$10-$B$11)),IF(AND('Entrada das massas'!S7&lt;=$B$10,'Entrada das massas'!S7&gt;$B$9),'Entrada das massas'!S7-((($C$10-$C$9)*($B$10-'Entrada das massas'!S7)+($B$9*$C$10)-($B$10*$C$10))/($B$9-$B$10)),IF(AND('Entrada das massas'!S7&lt;=$B$9,'Entrada das massas'!S7&gt;$B$8),'Entrada das massas'!S7-((($C$9-$C$8)*($B$9-'Entrada das massas'!S7)+($B$8*$C$9)-($B$9*$C$9))/($B$8-$B$9)),IF(AND('Entrada das massas'!S7&lt;=$B$8,'Entrada das massas'!S7&gt;$B$7),'Entrada das massas'!S7-((($C$8-$C$7)*($B$8-'Entrada das massas'!S7)+($B$7*$C$8)-($B$8*$C$8))/($B$7-$B$8)),IF(AND('Entrada das massas'!S7&lt;=$B$7,'Entrada das massas'!S7&gt;$B$6),'Entrada das massas'!S7-((($C$7-$C$6)*($B$7-'Entrada das massas'!S7)+($B$6*$C$7)-($B$7*$C$7))/($B$6-$B$7)),IF(AND('Entrada das massas'!S7&lt;=$B$6,'Entrada das massas'!S7&gt;$B$5),'Entrada das massas'!S7-((($C$6-$C$5)*($B$6-'Entrada das massas'!S7)+($B$5*$C$6)-($B$6*$C$6))/($B$5-$B$6)),IF('Entrada das massas'!S7&lt;=$B$5,'Entrada das massas'!S7-$C$5)))))))))))))))))</f>
        <v/>
      </c>
      <c r="X27" s="117" t="str">
        <f>IF(W27="","",(IF(AND(W27&lt;=$B$20,W27&gt;$B$19),$D$19+($B$19-W27)/($B$19-$B$20)*($D$20-$D$19),IF(AND(W27&lt;=$B$19,W27&gt;$B$18),$D$18+($B$18-W27)/($B$18-$B$19)*($D$19-$D$18),IF(AND(W27&lt;=$B$18,W27&gt;$B$17),$D$17+($B$17-W27)/($B$17-$B$18)*($D$18-$D$17),IF(AND(W27&lt;=$B$17,W27&gt;$B$16),$D$16+($B$16-W27)/($B$16-$B$17)*($D$17-$D$16),IF(AND(W27&lt;=$B$16,W27&gt;$B$15),$D$15+($B$15-W27)/($B$15-$B$16)*($D$16-$D$15),IF(AND(W27&lt;=$B$15,W27&gt;$B$14),$D$14+($B$14-W27)/($B$14-$B$15)*($D$15-$D$14),IF(AND(W27&lt;=$B$14,W27&gt;$B$13),$D$13+($B$13-W27)/($B$13-$B$14)*($D$14-$D$13),IF(AND(W27&lt;=$B$13,W27&gt;$B$12),$D$12+($B$12-W27)/($B$12-$B$13)*($D$13-$D$12),IF(AND(W27&lt;=$B$12,W27&gt;$B$11),$D$11+($B$11-W27)/($B$11-$B$12)*($D$12-$D$11),IF(AND(W27&lt;=$B$11,W27&gt;$B$10),$D$10+($B$10-W27)/($B$10-$B$11)*($D$11-$D$10),IF(AND(W27&lt;=$B$10,W27&gt;$B$9),$D$9+($B$9-W27)/($B$9-$B$10)*($D$10-$D$9),IF(AND(W27&lt;=$B$9,W27&gt;$B$8),$D$8+($B$8-W27)/($B$8-$B$9)*($D$9-$D$8),IF(AND(W27&lt;=$B$8,W27&gt;$B$7),$D$7+($B$7-W27)/($B$7-$B$8)*($D$8-$D$7),IF(AND(W27&lt;=$B$7,W27&gt;$B$6),$D$6+($B$6-W27)/($B$6-$B$7)*($D$7-$D$6),IF(W27&lt;=$B$6,$D$6)))))))))))))))))</f>
        <v/>
      </c>
      <c r="Y27" s="117"/>
      <c r="Z27" s="117"/>
      <c r="AA27" s="118" t="str">
        <f>IFERROR(Y29/Y28,"")</f>
        <v/>
      </c>
      <c r="AB27" s="106"/>
      <c r="AC27" s="102"/>
      <c r="AD27" s="101"/>
      <c r="AE27" s="101"/>
      <c r="AF27" s="101"/>
      <c r="AG27" s="101"/>
      <c r="AH27" s="101"/>
      <c r="AI27" s="101"/>
      <c r="AJ27" s="101"/>
      <c r="AK27" s="101"/>
      <c r="AL27" s="101"/>
      <c r="AM27" s="98"/>
      <c r="AN27" s="98"/>
      <c r="AO27" s="98"/>
      <c r="AP27" s="98"/>
      <c r="AQ27" s="98"/>
      <c r="AR27" s="98"/>
      <c r="AS27" s="98"/>
      <c r="AT27" s="98"/>
    </row>
    <row r="28" spans="1:46" x14ac:dyDescent="0.2">
      <c r="A28" s="110" t="s">
        <v>59</v>
      </c>
      <c r="B28" s="111">
        <f>IF(AND('Entrada das massas'!C8&lt;=$B$20,'Entrada das massas'!C8&gt;$B$19),'Entrada das massas'!C8-((($C$20-$C$19)*($B$20-'Entrada das massas'!C8)+($B$19*$C$20)-($B$20*$C$20))/($B$19-$B$20)),IF(AND('Entrada das massas'!C8&lt;=$B$19,'Entrada das massas'!C8&gt;$B$18),'Entrada das massas'!C8-((($C$19-$C$18)*($B$19-'Entrada das massas'!C8)+($B$18*$C$19)-($B$19*$C$19))/($B$18-$B$19)),IF(AND('Entrada das massas'!C8&lt;=$B$18,'Entrada das massas'!C8&gt;$B$17),'Entrada das massas'!C8-((($C$18-$C$17)*($B$18-'Entrada das massas'!C8)+($B$17*$C$18)-($B$18*$C$18))/($B$17-$B$18)),IF(AND('Entrada das massas'!C8&lt;=$B$17,'Entrada das massas'!C8&gt;$B$16),'Entrada das massas'!C8-((($C$17-$C$16)*($B$17-'Entrada das massas'!C8)+($B$16*$C$17)-($B$17*$C$17))/($B$16-$B$17)),IF(AND('Entrada das massas'!C8&lt;=$B$16,'Entrada das massas'!C8&gt;$B$15),'Entrada das massas'!C8-((($C$16-$C$15)*($B$16-'Entrada das massas'!C8)+($B$15*$C$16)-($B$16*$C$16))/($B$15-$B$16)),IF(AND('Entrada das massas'!C8&lt;=$B$15,'Entrada das massas'!C8&gt;$B$14),'Entrada das massas'!C8-((($C$15-$C$14)*($B$15-'Entrada das massas'!C8)+($B$14*$C$15)-($B$15*$C$15))/($B$14-$B$15)),IF(AND('Entrada das massas'!C8&lt;=$B$14,'Entrada das massas'!C8&gt;$B$13),'Entrada das massas'!C8-((($C$14-$C$13)*($B$14-'Entrada das massas'!C8)+($B$13*$C$14)-($B$14*$C$14))/($B$13-$B$14)),IF(AND('Entrada das massas'!C8&lt;=$B$13,'Entrada das massas'!C8&gt;$B$12),'Entrada das massas'!C8-((($C$13-$C$12)*($B$13-'Entrada das massas'!C8)+($B$12*$C$13)-($B$13*$C$13))/($B$12-$B$13)),IF(AND('Entrada das massas'!C8&lt;=$B$12,'Entrada das massas'!C8&gt;$B$11),'Entrada das massas'!C8-((($C$12-$C$11)*($B$12-'Entrada das massas'!C8)+($B$11*$C$12)-($B$12*$C$12))/($B$11-$B$12)), IF(AND('Entrada das massas'!C8&lt;=$B$11,'Entrada das massas'!C8&gt;$B$10),'Entrada das massas'!C8-((($C$11-$C$10)*($B$11-'Entrada das massas'!C8)+($B$10*$C$11)-($B$11*$C$11))/($B$10-$B$11)),IF(AND('Entrada das massas'!C8&lt;=$B$10,'Entrada das massas'!C8&gt;$B$9),'Entrada das massas'!C8-((($C$10-$C$9)*($B$10-'Entrada das massas'!C8)+($B$9*$C$10)-($B$10*$C$10))/($B$9-$B$10)),IF(AND('Entrada das massas'!C8&lt;=$B$9,'Entrada das massas'!C8&gt;$B$8),'Entrada das massas'!C8-((($C$9-$C$8)*($B$9-'Entrada das massas'!C8)+($B$8*$C$9)-($B$9*$C$9))/($B$8-$B$9)),IF(AND('Entrada das massas'!C8&lt;=$B$8,'Entrada das massas'!C8&gt;$B$7),'Entrada das massas'!C8-((($C$8-$C$7)*($B$8-'Entrada das massas'!C8)+($B$7*$C$8)-($B$8*$C$8))/($B$7-$B$8)),IF(AND('Entrada das massas'!C8&lt;=$B$7,'Entrada das massas'!C8&gt;$B$6),'Entrada das massas'!C8-((($C$7-$C$6)*($B$7-'Entrada das massas'!C8)+($B$6*$C$7)-($B$7*$C$7))/($B$6-$B$7)),IF(AND('Entrada das massas'!C8&lt;=$B$6,'Entrada das massas'!C8&gt;$B$5),'Entrada das massas'!C8-((($C$6-$C$5)*($B$6-'Entrada das massas'!C8)+($B$5*$C$6)-($B$6*$C$6))/($B$5-$B$6)),IF('Entrada das massas'!C8&lt;=$B$5,'Entrada das massas'!C8-$C$5))))))))))))))))</f>
        <v>15.752518494979999</v>
      </c>
      <c r="C28" s="112">
        <f>(IF(AND(B28&lt;=$B$20,B28&gt;$B$19),$D$19+($B$19-B28)/($B$19-$B$20)*($D$20-$D$19),IF(AND(B28&lt;=$B$19,B28&gt;$B$18),$D$18+($B$18-B28)/($B$18-$B$19)*($D$19-$D$18),IF(AND(B28&lt;=$B$18,B28&gt;$B$17),$D$17+($B$17-B28)/($B$17-$B$18)*($D$18-$D$17),IF(AND(B28&lt;=$B$17,B28&gt;$B$16),$D$16+($B$16-B28)/($B$16-$B$17)*($D$17-$D$16),IF(AND(B28&lt;=$B$16,B28&gt;$B$15),$D$15+($B$15-B28)/($B$15-$B$16)*($D$16-$D$15),IF(AND(B28&lt;=$B$15,B28&gt;$B$14),$D$14+($B$14-B28)/($B$14-$B$15)*($D$15-$D$14),IF(AND(B28&lt;=$B$14,B28&gt;$B$13),$D$13+($B$13-B28)/($B$13-$B$14)*($D$14-$D$13),IF(AND(B28&lt;=$B$13,B28&gt;$B$12),$D$12+($B$12-B28)/($B$12-$B$13)*($D$13-$D$12),IF(AND(B28&lt;=$B$12,B28&gt;$B$11),$D$11+($B$11-B28)/($B$11-$B$12)*($D$12-$D$11),IF(AND(B28&lt;=$B$11,B28&gt;$B$10),$D$10+($B$10-B28)/($B$10-$B$11)*($D$11-$D$10),IF(AND(B28&lt;=$B$10,B28&gt;$B$9),$D$9+($B$9-B28)/($B$9-$B$10)*($D$10-$D$9),IF(AND(B28&lt;=$B$9,B28&gt;$B$8),$D$8+($B$8-B28)/($B$8-$B$9)*($D$9-$D$8),IF(AND(B28&lt;=$B$8,B28&gt;$B$7),$D$7+($B$7-B28)/($B$7-$B$8)*($D$8-$D$7),IF(AND(B28&lt;=$B$7,B28&gt;$B$6),$D$6+($B$6-B28)/($B$6-$B$7)*($D$7-$D$6),IF(B28&lt;=$B$6,$D$6))))))))))))))))</f>
        <v>1.0000000000000001E-5</v>
      </c>
      <c r="D28" s="113" t="s">
        <v>80</v>
      </c>
      <c r="E28" s="119">
        <f>B28-B27</f>
        <v>0.66219867559999734</v>
      </c>
      <c r="F28" s="112">
        <f>SQRT(SUMSQ(C27:C28))</f>
        <v>1.4142135623730951E-5</v>
      </c>
      <c r="H28" s="115" t="str">
        <f>IF(I26="","","Frasco + Amostra")</f>
        <v>Frasco + Amostra</v>
      </c>
      <c r="I28" s="116">
        <f>IF('Entrada das massas'!I8="","",IF(AND('Entrada das massas'!I8&lt;=$B$20,'Entrada das massas'!I8&gt;$B$19),'Entrada das massas'!I8-((($C$20-$C$19)*($B$20-'Entrada das massas'!I8)+($B$19*$C$20)-($B$20*$C$20))/($B$19-$B$20)),IF(AND('Entrada das massas'!I8&lt;=$B$19,'Entrada das massas'!I8&gt;$B$18),'Entrada das massas'!I8-((($C$19-$C$18)*($B$19-'Entrada das massas'!I8)+($B$18*$C$19)-($B$19*$C$19))/($B$18-$B$19)),IF(AND('Entrada das massas'!I8&lt;=$B$18,'Entrada das massas'!I8&gt;$B$17),'Entrada das massas'!I8-((($C$18-$C$17)*($B$18-'Entrada das massas'!I8)+($B$17*$C$18)-($B$18*$C$18))/($B$17-$B$18)),IF(AND('Entrada das massas'!I8&lt;=$B$17,'Entrada das massas'!I8&gt;$B$16),'Entrada das massas'!I8-((($C$17-$C$16)*($B$17-'Entrada das massas'!I8)+($B$16*$C$17)-($B$17*$C$17))/($B$16-$B$17)),IF(AND('Entrada das massas'!I8&lt;=$B$16,'Entrada das massas'!I8&gt;$B$15),'Entrada das massas'!I8-((($C$16-$C$15)*($B$16-'Entrada das massas'!I8)+($B$15*$C$16)-($B$16*$C$16))/($B$15-$B$16)),IF(AND('Entrada das massas'!I8&lt;=$B$15,'Entrada das massas'!I8&gt;$B$14),'Entrada das massas'!I8-((($C$15-$C$14)*($B$15-'Entrada das massas'!I8)+($B$14*$C$15)-($B$15*$C$15))/($B$14-$B$15)),IF(AND('Entrada das massas'!I8&lt;=$B$14,'Entrada das massas'!I8&gt;$B$13),'Entrada das massas'!I8-((($C$14-$C$13)*($B$14-'Entrada das massas'!I8)+($B$13*$C$14)-($B$14*$C$14))/($B$13-$B$14)),IF(AND('Entrada das massas'!I8&lt;=$B$13,'Entrada das massas'!I8&gt;$B$12),'Entrada das massas'!I8-((($C$13-$C$12)*($B$13-'Entrada das massas'!I8)+($B$12*$C$13)-($B$13*$C$13))/($B$12-$B$13)),IF(AND('Entrada das massas'!I8&lt;=$B$12,'Entrada das massas'!I8&gt;$B$11),'Entrada das massas'!I8-((($C$12-$C$11)*($B$12-'Entrada das massas'!I8)+($B$11*$C$12)-($B$12*$C$12))/($B$11-$B$12)),IF(AND('Entrada das massas'!I8&lt;=$B$11,'Entrada das massas'!I8&gt;$B$10),'Entrada das massas'!I8-((($C$11-$C$10)*($B$11-'Entrada das massas'!I8)+($B$10*$C$11)-($B$11*$C$11))/($B$10-$B$11)),IF(AND('Entrada das massas'!I8&lt;=$B$10,'Entrada das massas'!I8&gt;$B$9),'Entrada das massas'!I8-((($C$10-$C$9)*($B$10-'Entrada das massas'!I8)+($B$9*$C$10)-($B$10*$C$10))/($B$9-$B$10)),IF(AND('Entrada das massas'!I8&lt;=$B$9,'Entrada das massas'!I8&gt;$B$8),'Entrada das massas'!I8-((($C$9-$C$8)*($B$9-'Entrada das massas'!I8)+($B$8*$C$9)-($B$9*$C$9))/($B$8-$B$9)),IF(AND('Entrada das massas'!I8&lt;=$B$8,'Entrada das massas'!I8&gt;$B$7),'Entrada das massas'!I8-((($C$8-$C$7)*($B$8-'Entrada das massas'!I8)+($B$7*$C$8)-($B$8*$C$8))/($B$7-$B$8)),IF(AND('Entrada das massas'!I8&lt;=$B$7,'Entrada das massas'!I8&gt;$B$6),'Entrada das massas'!I8-((($C$7-$C$6)*($B$7-'Entrada das massas'!I8)+($B$6*$C$7)-($B$7*$C$7))/($B$6-$B$7)),IF(AND('Entrada das massas'!I8&lt;=$B$6,'Entrada das massas'!I8&gt;$B$5),'Entrada das massas'!I8-((($C$6-$C$5)*($B$6-'Entrada das massas'!I8)+($B$5*$C$6)-($B$6*$C$6))/($B$5-$B$6)),IF('Entrada das massas'!I8&lt;=$B$5,'Entrada das massas'!I8-$C$5)))))))))))))))))</f>
        <v>12.432335135359999</v>
      </c>
      <c r="J28" s="117">
        <f t="shared" ref="J28:J29" si="3">IF(I28="","",(IF(AND(I28&lt;=$B$20,I28&gt;$B$19),$D$19+($B$19-I28)/($B$19-$B$20)*($D$20-$D$19),IF(AND(I28&lt;=$B$19,I28&gt;$B$18),$D$18+($B$18-I28)/($B$18-$B$19)*($D$19-$D$18),IF(AND(I28&lt;=$B$18,I28&gt;$B$17),$D$17+($B$17-I28)/($B$17-$B$18)*($D$18-$D$17),IF(AND(I28&lt;=$B$17,I28&gt;$B$16),$D$16+($B$16-I28)/($B$16-$B$17)*($D$17-$D$16),IF(AND(I28&lt;=$B$16,I28&gt;$B$15),$D$15+($B$15-I28)/($B$15-$B$16)*($D$16-$D$15),IF(AND(I28&lt;=$B$15,I28&gt;$B$14),$D$14+($B$14-I28)/($B$14-$B$15)*($D$15-$D$14),IF(AND(I28&lt;=$B$14,I28&gt;$B$13),$D$13+($B$13-I28)/($B$13-$B$14)*($D$14-$D$13),IF(AND(I28&lt;=$B$13,I28&gt;$B$12),$D$12+($B$12-I28)/($B$12-$B$13)*($D$13-$D$12),IF(AND(I28&lt;=$B$12,I28&gt;$B$11),$D$11+($B$11-I28)/($B$11-$B$12)*($D$12-$D$11),IF(AND(I28&lt;=$B$11,I28&gt;$B$10),$D$10+($B$10-I28)/($B$10-$B$11)*($D$11-$D$10),IF(AND(I28&lt;=$B$10,I28&gt;$B$9),$D$9+($B$9-I28)/($B$9-$B$10)*($D$10-$D$9),IF(AND(I28&lt;=$B$9,I28&gt;$B$8),$D$8+($B$8-I28)/($B$8-$B$9)*($D$9-$D$8),IF(AND(I28&lt;=$B$8,I28&gt;$B$7),$D$7+($B$7-I28)/($B$7-$B$8)*($D$8-$D$7),IF(AND(I28&lt;=$B$7,I28&gt;$B$6),$D$6+($B$6-I28)/($B$6-$B$7)*($D$7-$D$6),IF(I28&lt;=$B$6,$D$6)))))))))))))))))</f>
        <v>1.0000000000000001E-5</v>
      </c>
      <c r="K28" s="120">
        <f>IF(I27="","",I28-I27)</f>
        <v>0.30321939355999916</v>
      </c>
      <c r="L28" s="117">
        <f>IF(J27="","",SQRT(SUMSQ(J27:J28)))</f>
        <v>1.4142135623730951E-5</v>
      </c>
      <c r="M28" s="93" t="str">
        <f>IF(I26="","","Amostra")</f>
        <v>Amostra</v>
      </c>
      <c r="N28" s="116"/>
      <c r="O28" s="115" t="str">
        <f>IF(P26="","","Frasco + Amostra")</f>
        <v>Frasco + Amostra</v>
      </c>
      <c r="P28" s="95" t="str">
        <f>IF('Entrada das massas'!N8="","",IF(AND('Entrada das massas'!N8&lt;=$B$20,'Entrada das massas'!N8&gt;$B$19),'Entrada das massas'!N8-((($C$20-$C$19)*($B$20-'Entrada das massas'!N8)+($B$19*$C$20)-($B$20*$C$20))/($B$19-$B$20)),IF(AND('Entrada das massas'!N8&lt;=$B$19,'Entrada das massas'!N8&gt;$B$18),'Entrada das massas'!N8-((($C$19-$C$18)*($B$19-'Entrada das massas'!N8)+($B$18*$C$19)-($B$19*$C$19))/($B$18-$B$19)),IF(AND('Entrada das massas'!N8&lt;=$B$18,'Entrada das massas'!N8&gt;$B$17),'Entrada das massas'!N8-((($C$18-$C$17)*($B$18-'Entrada das massas'!N8)+($B$17*$C$18)-($B$18*$C$18))/($B$17-$B$18)),IF(AND('Entrada das massas'!N8&lt;=$B$17,'Entrada das massas'!N8&gt;$B$16),'Entrada das massas'!N8-((($C$17-$C$16)*($B$17-'Entrada das massas'!N8)+($B$16*$C$17)-($B$17*$C$17))/($B$16-$B$17)),IF(AND('Entrada das massas'!N8&lt;=$B$16,'Entrada das massas'!N8&gt;$B$15),'Entrada das massas'!N8-((($C$16-$C$15)*($B$16-'Entrada das massas'!N8)+($B$15*$C$16)-($B$16*$C$16))/($B$15-$B$16)),IF(AND('Entrada das massas'!N8&lt;=$B$15,'Entrada das massas'!N8&gt;$B$14),'Entrada das massas'!N8-((($C$15-$C$14)*($B$15-'Entrada das massas'!N8)+($B$14*$C$15)-($B$15*$C$15))/($B$14-$B$15)),IF(AND('Entrada das massas'!N8&lt;=$B$14,'Entrada das massas'!N8&gt;$B$13),'Entrada das massas'!N8-((($C$14-$C$13)*($B$14-'Entrada das massas'!N8)+($B$13*$C$14)-($B$14*$C$14))/($B$13-$B$14)),IF(AND('Entrada das massas'!N8&lt;=$B$13,'Entrada das massas'!N8&gt;$B$12),'Entrada das massas'!N8-((($C$13-$C$12)*($B$13-'Entrada das massas'!N8)+($B$12*$C$13)-($B$13*$C$13))/($B$12-$B$13)),IF(AND('Entrada das massas'!N8&lt;=$B$12,'Entrada das massas'!N8&gt;$B$11),'Entrada das massas'!N8-((($C$12-$C$11)*($B$12-'Entrada das massas'!N8)+($B$11*$C$12)-($B$12*$C$12))/($B$11-$B$12)),IF(AND('Entrada das massas'!N8&lt;=$B$11,'Entrada das massas'!N8&gt;$B$10),'Entrada das massas'!N8-((($C$11-$C$10)*($B$11-'Entrada das massas'!N8)+($B$10*$C$11)-($B$11*$C$11))/($B$10-$B$11)),IF(AND('Entrada das massas'!N8&lt;=$B$10,'Entrada das massas'!N8&gt;$B$9),'Entrada das massas'!N8-((($C$10-$C$9)*($B$10-'Entrada das massas'!N8)+($B$9*$C$10)-($B$10*$C$10))/($B$9-$B$10)),IF(AND('Entrada das massas'!N8&lt;=$B$9,'Entrada das massas'!N8&gt;$B$8),'Entrada das massas'!N8-((($C$9-$C$8)*($B$9-'Entrada das massas'!N8)+($B$8*$C$9)-($B$9*$C$9))/($B$8-$B$9)),IF(AND('Entrada das massas'!N8&lt;=$B$8,'Entrada das massas'!N8&gt;$B$7),'Entrada das massas'!N8-((($C$8-$C$7)*($B$8-'Entrada das massas'!N8)+($B$7*$C$8)-($B$8*$C$8))/($B$7-$B$8)),IF(AND('Entrada das massas'!N8&lt;=$B$7,'Entrada das massas'!N8&gt;$B$6),'Entrada das massas'!N8-((($C$7-$C$6)*($B$7-'Entrada das massas'!N8)+($B$6*$C$7)-($B$7*$C$7))/($B$6-$B$7)),IF(AND('Entrada das massas'!N8&lt;=$B$6,'Entrada das massas'!N8&gt;$B$5),'Entrada das massas'!N8-((($C$6-$C$5)*($B$6-'Entrada das massas'!N8)+($B$5*$C$6)-($B$6*$C$6))/($B$5-$B$6)),IF('Entrada das massas'!N8&lt;=$B$5,'Entrada das massas'!N8-$C$5)))))))))))))))))</f>
        <v/>
      </c>
      <c r="Q28" s="117" t="str">
        <f t="shared" ref="Q28:Q29" si="4">IF(P28="","",(IF(AND(P28&lt;=$B$20,P28&gt;$B$19),$D$19+($B$19-P28)/($B$19-$B$20)*($D$20-$D$19),IF(AND(P28&lt;=$B$19,P28&gt;$B$18),$D$18+($B$18-P28)/($B$18-$B$19)*($D$19-$D$18),IF(AND(P28&lt;=$B$18,P28&gt;$B$17),$D$17+($B$17-P28)/($B$17-$B$18)*($D$18-$D$17),IF(AND(P28&lt;=$B$17,P28&gt;$B$16),$D$16+($B$16-P28)/($B$16-$B$17)*($D$17-$D$16),IF(AND(P28&lt;=$B$16,P28&gt;$B$15),$D$15+($B$15-P28)/($B$15-$B$16)*($D$16-$D$15),IF(AND(P28&lt;=$B$15,P28&gt;$B$14),$D$14+($B$14-P28)/($B$14-$B$15)*($D$15-$D$14),IF(AND(P28&lt;=$B$14,P28&gt;$B$13),$D$13+($B$13-P28)/($B$13-$B$14)*($D$14-$D$13),IF(AND(P28&lt;=$B$13,P28&gt;$B$12),$D$12+($B$12-P28)/($B$12-$B$13)*($D$13-$D$12),IF(AND(P28&lt;=$B$12,P28&gt;$B$11),$D$11+($B$11-P28)/($B$11-$B$12)*($D$12-$D$11),IF(AND(P28&lt;=$B$11,P28&gt;$B$10),$D$10+($B$10-P28)/($B$10-$B$11)*($D$11-$D$10),IF(AND(P28&lt;=$B$10,P28&gt;$B$9),$D$9+($B$9-P28)/($B$9-$B$10)*($D$10-$D$9),IF(AND(P28&lt;=$B$9,P28&gt;$B$8),$D$8+($B$8-P28)/($B$8-$B$9)*($D$9-$D$8),IF(AND(P28&lt;=$B$8,P28&gt;$B$7),$D$7+($B$7-P28)/($B$7-$B$8)*($D$8-$D$7),IF(AND(P28&lt;=$B$7,P28&gt;$B$6),$D$6+($B$6-P28)/($B$6-$B$7)*($D$7-$D$6),IF(P28&lt;=$B$6,$D$6)))))))))))))))))</f>
        <v/>
      </c>
      <c r="R28" s="120" t="str">
        <f>IF(P27="","",P28-P27)</f>
        <v/>
      </c>
      <c r="S28" s="117" t="str">
        <f>IF(Q27="","",SQRT(SUMSQ(Q27:Q28)))</f>
        <v/>
      </c>
      <c r="T28" s="93" t="str">
        <f>IF(P26="","","Amostra")</f>
        <v>Amostra</v>
      </c>
      <c r="U28" s="118"/>
      <c r="V28" s="115" t="str">
        <f>IF(W26="","","Frasco + Amostra")</f>
        <v/>
      </c>
      <c r="W28" s="95" t="str">
        <f>IF('Entrada das massas'!S8="","",IF(AND('Entrada das massas'!S8&lt;=$B$20,'Entrada das massas'!S8&gt;$B$19),'Entrada das massas'!S8-((($C$20-$C$19)*($B$20-'Entrada das massas'!S8)+($B$19*$C$20)-($B$20*$C$20))/($B$19-$B$20)),IF(AND('Entrada das massas'!S8&lt;=$B$19,'Entrada das massas'!S8&gt;$B$18),'Entrada das massas'!S8-((($C$19-$C$18)*($B$19-'Entrada das massas'!S8)+($B$18*$C$19)-($B$19*$C$19))/($B$18-$B$19)),IF(AND('Entrada das massas'!S8&lt;=$B$18,'Entrada das massas'!S8&gt;$B$17),'Entrada das massas'!S8-((($C$18-$C$17)*($B$18-'Entrada das massas'!S8)+($B$17*$C$18)-($B$18*$C$18))/($B$17-$B$18)),IF(AND('Entrada das massas'!S8&lt;=$B$17,'Entrada das massas'!S8&gt;$B$16),'Entrada das massas'!S8-((($C$17-$C$16)*($B$17-'Entrada das massas'!S8)+($B$16*$C$17)-($B$17*$C$17))/($B$16-$B$17)),IF(AND('Entrada das massas'!S8&lt;=$B$16,'Entrada das massas'!S8&gt;$B$15),'Entrada das massas'!S8-((($C$16-$C$15)*($B$16-'Entrada das massas'!S8)+($B$15*$C$16)-($B$16*$C$16))/($B$15-$B$16)),IF(AND('Entrada das massas'!S8&lt;=$B$15,'Entrada das massas'!S8&gt;$B$14),'Entrada das massas'!S8-((($C$15-$C$14)*($B$15-'Entrada das massas'!S8)+($B$14*$C$15)-($B$15*$C$15))/($B$14-$B$15)),IF(AND('Entrada das massas'!S8&lt;=$B$14,'Entrada das massas'!S8&gt;$B$13),'Entrada das massas'!S8-((($C$14-$C$13)*($B$14-'Entrada das massas'!S8)+($B$13*$C$14)-($B$14*$C$14))/($B$13-$B$14)),IF(AND('Entrada das massas'!S8&lt;=$B$13,'Entrada das massas'!S8&gt;$B$12),'Entrada das massas'!S8-((($C$13-$C$12)*($B$13-'Entrada das massas'!S8)+($B$12*$C$13)-($B$13*$C$13))/($B$12-$B$13)),IF(AND('Entrada das massas'!S8&lt;=$B$12,'Entrada das massas'!S8&gt;$B$11),'Entrada das massas'!S8-((($C$12-$C$11)*($B$12-'Entrada das massas'!S8)+($B$11*$C$12)-($B$12*$C$12))/($B$11-$B$12)),IF(AND('Entrada das massas'!S8&lt;=$B$11,'Entrada das massas'!S8&gt;$B$10),'Entrada das massas'!S8-((($C$11-$C$10)*($B$11-'Entrada das massas'!S8)+($B$10*$C$11)-($B$11*$C$11))/($B$10-$B$11)),IF(AND('Entrada das massas'!S8&lt;=$B$10,'Entrada das massas'!S8&gt;$B$9),'Entrada das massas'!S8-((($C$10-$C$9)*($B$10-'Entrada das massas'!S8)+($B$9*$C$10)-($B$10*$C$10))/($B$9-$B$10)),IF(AND('Entrada das massas'!S8&lt;=$B$9,'Entrada das massas'!S8&gt;$B$8),'Entrada das massas'!S8-((($C$9-$C$8)*($B$9-'Entrada das massas'!S8)+($B$8*$C$9)-($B$9*$C$9))/($B$8-$B$9)),IF(AND('Entrada das massas'!S8&lt;=$B$8,'Entrada das massas'!S8&gt;$B$7),'Entrada das massas'!S8-((($C$8-$C$7)*($B$8-'Entrada das massas'!S8)+($B$7*$C$8)-($B$8*$C$8))/($B$7-$B$8)),IF(AND('Entrada das massas'!S8&lt;=$B$7,'Entrada das massas'!S8&gt;$B$6),'Entrada das massas'!S8-((($C$7-$C$6)*($B$7-'Entrada das massas'!S8)+($B$6*$C$7)-($B$7*$C$7))/($B$6-$B$7)),IF(AND('Entrada das massas'!S8&lt;=$B$6,'Entrada das massas'!S8&gt;$B$5),'Entrada das massas'!S8-((($C$6-$C$5)*($B$6-'Entrada das massas'!S8)+($B$5*$C$6)-($B$6*$C$6))/($B$5-$B$6)),IF('Entrada das massas'!S8&lt;=$B$5,'Entrada das massas'!S8-$C$5)))))))))))))))))</f>
        <v/>
      </c>
      <c r="X28" s="117" t="str">
        <f t="shared" ref="X28:X29" si="5">IF(W28="","",(IF(AND(W28&lt;=$B$20,W28&gt;$B$19),$D$19+($B$19-W28)/($B$19-$B$20)*($D$20-$D$19),IF(AND(W28&lt;=$B$19,W28&gt;$B$18),$D$18+($B$18-W28)/($B$18-$B$19)*($D$19-$D$18),IF(AND(W28&lt;=$B$18,W28&gt;$B$17),$D$17+($B$17-W28)/($B$17-$B$18)*($D$18-$D$17),IF(AND(W28&lt;=$B$17,W28&gt;$B$16),$D$16+($B$16-W28)/($B$16-$B$17)*($D$17-$D$16),IF(AND(W28&lt;=$B$16,W28&gt;$B$15),$D$15+($B$15-W28)/($B$15-$B$16)*($D$16-$D$15),IF(AND(W28&lt;=$B$15,W28&gt;$B$14),$D$14+($B$14-W28)/($B$14-$B$15)*($D$15-$D$14),IF(AND(W28&lt;=$B$14,W28&gt;$B$13),$D$13+($B$13-W28)/($B$13-$B$14)*($D$14-$D$13),IF(AND(W28&lt;=$B$13,W28&gt;$B$12),$D$12+($B$12-W28)/($B$12-$B$13)*($D$13-$D$12),IF(AND(W28&lt;=$B$12,W28&gt;$B$11),$D$11+($B$11-W28)/($B$11-$B$12)*($D$12-$D$11),IF(AND(W28&lt;=$B$11,W28&gt;$B$10),$D$10+($B$10-W28)/($B$10-$B$11)*($D$11-$D$10),IF(AND(W28&lt;=$B$10,W28&gt;$B$9),$D$9+($B$9-W28)/($B$9-$B$10)*($D$10-$D$9),IF(AND(W28&lt;=$B$9,W28&gt;$B$8),$D$8+($B$8-W28)/($B$8-$B$9)*($D$9-$D$8),IF(AND(W28&lt;=$B$8,W28&gt;$B$7),$D$7+($B$7-W28)/($B$7-$B$8)*($D$8-$D$7),IF(AND(W28&lt;=$B$7,W28&gt;$B$6),$D$6+($B$6-W28)/($B$6-$B$7)*($D$7-$D$6),IF(W28&lt;=$B$6,$D$6)))))))))))))))))</f>
        <v/>
      </c>
      <c r="Y28" s="120" t="str">
        <f>IF(W27="","",W28-W27)</f>
        <v/>
      </c>
      <c r="Z28" s="117" t="str">
        <f>IF(X27="","",SQRT(SUMSQ(X27:X28)))</f>
        <v/>
      </c>
      <c r="AA28" s="93" t="str">
        <f>IF(W26="","","Amostra")</f>
        <v/>
      </c>
      <c r="AB28" s="106"/>
      <c r="AC28" s="101"/>
      <c r="AD28" s="121"/>
      <c r="AE28" s="101"/>
      <c r="AF28" s="101"/>
      <c r="AG28" s="101"/>
      <c r="AH28" s="101"/>
      <c r="AI28" s="121"/>
      <c r="AJ28" s="101"/>
      <c r="AK28" s="101"/>
      <c r="AL28" s="101"/>
      <c r="AM28" s="98"/>
      <c r="AN28" s="121"/>
      <c r="AO28" s="98"/>
      <c r="AP28" s="98"/>
      <c r="AQ28" s="98"/>
      <c r="AR28" s="98"/>
      <c r="AS28" s="98"/>
      <c r="AT28" s="98"/>
    </row>
    <row r="29" spans="1:46" x14ac:dyDescent="0.2">
      <c r="A29" s="122" t="s">
        <v>58</v>
      </c>
      <c r="B29" s="111">
        <f>IF(AND('Entrada das massas'!C9&lt;=$B$20,'Entrada das massas'!C9&gt;$B$19),'Entrada das massas'!C9-((($C$20-$C$19)*($B$20-'Entrada das massas'!C9)+($B$19*$C$20)-($B$20*$C$20))/($B$19-$B$20)),IF(AND('Entrada das massas'!C9&lt;=$B$19,'Entrada das massas'!C9&gt;$B$18),'Entrada das massas'!C9-((($C$19-$C$18)*($B$19-'Entrada das massas'!C9)+($B$18*$C$19)-($B$19*$C$19))/($B$18-$B$19)),IF(AND('Entrada das massas'!C9&lt;=$B$18,'Entrada das massas'!C9&gt;$B$17),'Entrada das massas'!C9-((($C$18-$C$17)*($B$18-'Entrada das massas'!C9)+($B$17*$C$18)-($B$18*$C$18))/($B$17-$B$18)),IF(AND('Entrada das massas'!C9&lt;=$B$17,'Entrada das massas'!C9&gt;$B$16),'Entrada das massas'!C9-((($C$17-$C$16)*($B$17-'Entrada das massas'!C9)+($B$16*$C$17)-($B$17*$C$17))/($B$16-$B$17)),IF(AND('Entrada das massas'!C9&lt;=$B$16,'Entrada das massas'!C9&gt;$B$15),'Entrada das massas'!C9-((($C$16-$C$15)*($B$16-'Entrada das massas'!C9)+($B$15*$C$16)-($B$16*$C$16))/($B$15-$B$16)),IF(AND('Entrada das massas'!C9&lt;=$B$15,'Entrada das massas'!C9&gt;$B$14),'Entrada das massas'!C9-((($C$15-$C$14)*($B$15-'Entrada das massas'!C9)+($B$14*$C$15)-($B$15*$C$15))/($B$14-$B$15)),IF(AND('Entrada das massas'!C9&lt;=$B$14,'Entrada das massas'!C9&gt;$B$13),'Entrada das massas'!C9-((($C$14-$C$13)*($B$14-'Entrada das massas'!C9)+($B$13*$C$14)-($B$14*$C$14))/($B$13-$B$14)),IF(AND('Entrada das massas'!C9&lt;=$B$13,'Entrada das massas'!C9&gt;$B$12),'Entrada das massas'!C9-((($C$13-$C$12)*($B$13-'Entrada das massas'!C9)+($B$12*$C$13)-($B$13*$C$13))/($B$12-$B$13)),IF(AND('Entrada das massas'!C9&lt;=$B$12,'Entrada das massas'!C9&gt;$B$11),'Entrada das massas'!C9-((($C$12-$C$11)*($B$12-'Entrada das massas'!C9)+($B$11*$C$12)-($B$12*$C$12))/($B$11-$B$12)), IF(AND('Entrada das massas'!C9&lt;=$B$11,'Entrada das massas'!C9&gt;$B$10),'Entrada das massas'!C9-((($C$11-$C$10)*($B$11-'Entrada das massas'!C9)+($B$10*$C$11)-($B$11*$C$11))/($B$10-$B$11)),IF(AND('Entrada das massas'!C9&lt;=$B$10,'Entrada das massas'!C9&gt;$B$9),'Entrada das massas'!C9-((($C$10-$C$9)*($B$10-'Entrada das massas'!C9)+($B$9*$C$10)-($B$10*$C$10))/($B$9-$B$10)),IF(AND('Entrada das massas'!C9&lt;=$B$9,'Entrada das massas'!C9&gt;$B$8),'Entrada das massas'!C9-((($C$9-$C$8)*($B$9-'Entrada das massas'!C9)+($B$8*$C$9)-($B$9*$C$9))/($B$8-$B$9)),IF(AND('Entrada das massas'!C9&lt;=$B$8,'Entrada das massas'!C9&gt;$B$7),'Entrada das massas'!C9-((($C$8-$C$7)*($B$8-'Entrada das massas'!C9)+($B$7*$C$8)-($B$8*$C$8))/($B$7-$B$8)),IF(AND('Entrada das massas'!C9&lt;=$B$7,'Entrada das massas'!C9&gt;$B$6),'Entrada das massas'!C9-((($C$7-$C$6)*($B$7-'Entrada das massas'!C9)+($B$6*$C$7)-($B$7*$C$7))/($B$6-$B$7)),IF(AND('Entrada das massas'!C9&lt;=$B$6,'Entrada das massas'!C9&gt;$B$5),'Entrada das massas'!C9-((($C$6-$C$5)*($B$6-'Entrada das massas'!C9)+($B$5*$C$6)-($B$6*$C$6))/($B$5-$B$6)),IF('Entrada das massas'!C9&lt;=$B$5,'Entrada das massas'!C9-$C$5))))))))))))))))</f>
        <v>64.923844923810009</v>
      </c>
      <c r="C29" s="112">
        <f>(IF(AND(B29&lt;=$B$20,B29&gt;$B$19),$D$19+($B$19-B29)/($B$19-$B$20)*($D$20-$D$19),IF(AND(B29&lt;=$B$19,B29&gt;$B$18),$D$18+($B$18-B29)/($B$18-$B$19)*($D$19-$D$18),IF(AND(B29&lt;=$B$18,B29&gt;$B$17),$D$17+($B$17-B29)/($B$17-$B$18)*($D$18-$D$17),IF(AND(B29&lt;=$B$17,B29&gt;$B$16),$D$16+($B$16-B29)/($B$16-$B$17)*($D$17-$D$16),IF(AND(B29&lt;=$B$16,B29&gt;$B$15),$D$15+($B$15-B29)/($B$15-$B$16)*($D$16-$D$15),IF(AND(B29&lt;=$B$15,B29&gt;$B$14),$D$14+($B$14-B29)/($B$14-$B$15)*($D$15-$D$14),IF(AND(B29&lt;=$B$14,B29&gt;$B$13),$D$13+($B$13-B29)/($B$13-$B$14)*($D$14-$D$13),IF(AND(B29&lt;=$B$13,B29&gt;$B$12),$D$12+($B$12-B29)/($B$12-$B$13)*($D$13-$D$12),IF(AND(B29&lt;=$B$12,B29&gt;$B$11),$D$11+($B$11-B29)/($B$11-$B$12)*($D$12-$D$11),IF(AND(B29&lt;=$B$11,B29&gt;$B$10),$D$10+($B$10-B29)/($B$10-$B$11)*($D$11-$D$10),IF(AND(B29&lt;=$B$10,B29&gt;$B$9),$D$9+($B$9-B29)/($B$9-$B$10)*($D$10-$D$9),IF(AND(B29&lt;=$B$9,B29&gt;$B$8),$D$8+($B$8-B29)/($B$8-$B$9)*($D$9-$D$8),IF(AND(B29&lt;=$B$8,B29&gt;$B$7),$D$7+($B$7-B29)/($B$7-$B$8)*($D$8-$D$7),IF(AND(B29&lt;=$B$7,B29&gt;$B$6),$D$6+($B$6-B29)/($B$6-$B$7)*($D$7-$D$6),IF(B29&lt;=$B$6,$D$6))))))))))))))))</f>
        <v>2.5000000000000001E-5</v>
      </c>
      <c r="D29" s="113" t="s">
        <v>81</v>
      </c>
      <c r="E29" s="119">
        <f>B29-B27</f>
        <v>49.833525104430009</v>
      </c>
      <c r="F29" s="112">
        <f>SQRT(SUMSQ(C27,C29))</f>
        <v>2.6925824035672523E-5</v>
      </c>
      <c r="H29" s="123" t="str">
        <f>IF(I26="","","Massa final")</f>
        <v>Massa final</v>
      </c>
      <c r="I29" s="116">
        <f>IF('Entrada das massas'!I9="","",IF(AND('Entrada das massas'!I9&lt;=$B$20,'Entrada das massas'!I9&gt;$B$19),'Entrada das massas'!I9-((($C$20-$C$19)*($B$20-'Entrada das massas'!I9)+($B$19*$C$20)-($B$20*$C$20))/($B$19-$B$20)),IF(AND('Entrada das massas'!I9&lt;=$B$19,'Entrada das massas'!I9&gt;$B$18),'Entrada das massas'!I9-((($C$19-$C$18)*($B$19-'Entrada das massas'!I9)+($B$18*$C$19)-($B$19*$C$19))/($B$18-$B$19)),IF(AND('Entrada das massas'!I9&lt;=$B$18,'Entrada das massas'!I9&gt;$B$17),'Entrada das massas'!I9-((($C$18-$C$17)*($B$18-'Entrada das massas'!I9)+($B$17*$C$18)-($B$18*$C$18))/($B$17-$B$18)),IF(AND('Entrada das massas'!I9&lt;=$B$17,'Entrada das massas'!I9&gt;$B$16),'Entrada das massas'!I9-((($C$17-$C$16)*($B$17-'Entrada das massas'!I9)+($B$16*$C$17)-($B$17*$C$17))/($B$16-$B$17)),IF(AND('Entrada das massas'!I9&lt;=$B$16,'Entrada das massas'!I9&gt;$B$15),'Entrada das massas'!I9-((($C$16-$C$15)*($B$16-'Entrada das massas'!I9)+($B$15*$C$16)-($B$16*$C$16))/($B$15-$B$16)),IF(AND('Entrada das massas'!I9&lt;=$B$15,'Entrada das massas'!I9&gt;$B$14),'Entrada das massas'!I9-((($C$15-$C$14)*($B$15-'Entrada das massas'!I9)+($B$14*$C$15)-($B$15*$C$15))/($B$14-$B$15)),IF(AND('Entrada das massas'!I9&lt;=$B$14,'Entrada das massas'!I9&gt;$B$13),'Entrada das massas'!I9-((($C$14-$C$13)*($B$14-'Entrada das massas'!I9)+($B$13*$C$14)-($B$14*$C$14))/($B$13-$B$14)),IF(AND('Entrada das massas'!I9&lt;=$B$13,'Entrada das massas'!I9&gt;$B$12),'Entrada das massas'!I9-((($C$13-$C$12)*($B$13-'Entrada das massas'!I9)+($B$12*$C$13)-($B$13*$C$13))/($B$12-$B$13)),IF(AND('Entrada das massas'!I9&lt;=$B$12,'Entrada das massas'!I9&gt;$B$11),'Entrada das massas'!I9-((($C$12-$C$11)*($B$12-'Entrada das massas'!I9)+($B$11*$C$12)-($B$12*$C$12))/($B$11-$B$12)),IF(AND('Entrada das massas'!I9&lt;=$B$11,'Entrada das massas'!I9&gt;$B$10),'Entrada das massas'!I9-((($C$11-$C$10)*($B$11-'Entrada das massas'!I9)+($B$10*$C$11)-($B$11*$C$11))/($B$10-$B$11)),IF(AND('Entrada das massas'!I9&lt;=$B$10,'Entrada das massas'!I9&gt;$B$9),'Entrada das massas'!I9-((($C$10-$C$9)*($B$10-'Entrada das massas'!I9)+($B$9*$C$10)-($B$10*$C$10))/($B$9-$B$10)),IF(AND('Entrada das massas'!I9&lt;=$B$9,'Entrada das massas'!I9&gt;$B$8),'Entrada das massas'!I9-((($C$9-$C$8)*($B$9-'Entrada das massas'!I9)+($B$8*$C$9)-($B$9*$C$9))/($B$8-$B$9)),IF(AND('Entrada das massas'!I9&lt;=$B$8,'Entrada das massas'!I9&gt;$B$7),'Entrada das massas'!I9-((($C$8-$C$7)*($B$8-'Entrada das massas'!I9)+($B$7*$C$8)-($B$8*$C$8))/($B$7-$B$8)),IF(AND('Entrada das massas'!I9&lt;=$B$7,'Entrada das massas'!I9&gt;$B$6),'Entrada das massas'!I9-((($C$7-$C$6)*($B$7-'Entrada das massas'!I9)+($B$6*$C$7)-($B$7*$C$7))/($B$6-$B$7)),IF(AND('Entrada das massas'!I9&lt;=$B$6,'Entrada das massas'!I9&gt;$B$5),'Entrada das massas'!I9-((($C$6-$C$5)*($B$6-'Entrada das massas'!I9)+($B$5*$C$6)-($B$6*$C$6))/($B$5-$B$6)),IF('Entrada das massas'!I9&lt;=$B$5,'Entrada das massas'!I9-$C$5)))))))))))))))))</f>
        <v>62.698942698909995</v>
      </c>
      <c r="J29" s="117">
        <f t="shared" si="3"/>
        <v>2.5000000000000001E-5</v>
      </c>
      <c r="K29" s="120">
        <f>IF(I27="","",I29-I27)</f>
        <v>50.569826957109996</v>
      </c>
      <c r="L29" s="117">
        <f>IF(J27="","",SQRT(SUMSQ(J27,J29)))</f>
        <v>2.6925824035672523E-5</v>
      </c>
      <c r="M29" s="93" t="str">
        <f>IF(I26="","","Solução")</f>
        <v>Solução</v>
      </c>
      <c r="N29" s="116"/>
      <c r="O29" s="123" t="str">
        <f>IF(P26="","","Massa final")</f>
        <v>Massa final</v>
      </c>
      <c r="P29" s="95" t="str">
        <f>IF('Entrada das massas'!N9="","",IF(AND('Entrada das massas'!N9&lt;=$B$20,'Entrada das massas'!N9&gt;$B$19),'Entrada das massas'!N9-((($C$20-$C$19)*($B$20-'Entrada das massas'!N9)+($B$19*$C$20)-($B$20*$C$20))/($B$19-$B$20)),IF(AND('Entrada das massas'!N9&lt;=$B$19,'Entrada das massas'!N9&gt;$B$18),'Entrada das massas'!N9-((($C$19-$C$18)*($B$19-'Entrada das massas'!N9)+($B$18*$C$19)-($B$19*$C$19))/($B$18-$B$19)),IF(AND('Entrada das massas'!N9&lt;=$B$18,'Entrada das massas'!N9&gt;$B$17),'Entrada das massas'!N9-((($C$18-$C$17)*($B$18-'Entrada das massas'!N9)+($B$17*$C$18)-($B$18*$C$18))/($B$17-$B$18)),IF(AND('Entrada das massas'!N9&lt;=$B$17,'Entrada das massas'!N9&gt;$B$16),'Entrada das massas'!N9-((($C$17-$C$16)*($B$17-'Entrada das massas'!N9)+($B$16*$C$17)-($B$17*$C$17))/($B$16-$B$17)),IF(AND('Entrada das massas'!N9&lt;=$B$16,'Entrada das massas'!N9&gt;$B$15),'Entrada das massas'!N9-((($C$16-$C$15)*($B$16-'Entrada das massas'!N9)+($B$15*$C$16)-($B$16*$C$16))/($B$15-$B$16)),IF(AND('Entrada das massas'!N9&lt;=$B$15,'Entrada das massas'!N9&gt;$B$14),'Entrada das massas'!N9-((($C$15-$C$14)*($B$15-'Entrada das massas'!N9)+($B$14*$C$15)-($B$15*$C$15))/($B$14-$B$15)),IF(AND('Entrada das massas'!N9&lt;=$B$14,'Entrada das massas'!N9&gt;$B$13),'Entrada das massas'!N9-((($C$14-$C$13)*($B$14-'Entrada das massas'!N9)+($B$13*$C$14)-($B$14*$C$14))/($B$13-$B$14)),IF(AND('Entrada das massas'!N9&lt;=$B$13,'Entrada das massas'!N9&gt;$B$12),'Entrada das massas'!N9-((($C$13-$C$12)*($B$13-'Entrada das massas'!N9)+($B$12*$C$13)-($B$13*$C$13))/($B$12-$B$13)),IF(AND('Entrada das massas'!N9&lt;=$B$12,'Entrada das massas'!N9&gt;$B$11),'Entrada das massas'!N9-((($C$12-$C$11)*($B$12-'Entrada das massas'!N9)+($B$11*$C$12)-($B$12*$C$12))/($B$11-$B$12)),IF(AND('Entrada das massas'!N9&lt;=$B$11,'Entrada das massas'!N9&gt;$B$10),'Entrada das massas'!N9-((($C$11-$C$10)*($B$11-'Entrada das massas'!N9)+($B$10*$C$11)-($B$11*$C$11))/($B$10-$B$11)),IF(AND('Entrada das massas'!N9&lt;=$B$10,'Entrada das massas'!N9&gt;$B$9),'Entrada das massas'!N9-((($C$10-$C$9)*($B$10-'Entrada das massas'!N9)+($B$9*$C$10)-($B$10*$C$10))/($B$9-$B$10)),IF(AND('Entrada das massas'!N9&lt;=$B$9,'Entrada das massas'!N9&gt;$B$8),'Entrada das massas'!N9-((($C$9-$C$8)*($B$9-'Entrada das massas'!N9)+($B$8*$C$9)-($B$9*$C$9))/($B$8-$B$9)),IF(AND('Entrada das massas'!N9&lt;=$B$8,'Entrada das massas'!N9&gt;$B$7),'Entrada das massas'!N9-((($C$8-$C$7)*($B$8-'Entrada das massas'!N9)+($B$7*$C$8)-($B$8*$C$8))/($B$7-$B$8)),IF(AND('Entrada das massas'!N9&lt;=$B$7,'Entrada das massas'!N9&gt;$B$6),'Entrada das massas'!N9-((($C$7-$C$6)*($B$7-'Entrada das massas'!N9)+($B$6*$C$7)-($B$7*$C$7))/($B$6-$B$7)),IF(AND('Entrada das massas'!N9&lt;=$B$6,'Entrada das massas'!N9&gt;$B$5),'Entrada das massas'!N9-((($C$6-$C$5)*($B$6-'Entrada das massas'!N9)+($B$5*$C$6)-($B$6*$C$6))/($B$5-$B$6)),IF('Entrada das massas'!N9&lt;=$B$5,'Entrada das massas'!N9-$C$5)))))))))))))))))</f>
        <v/>
      </c>
      <c r="Q29" s="117" t="str">
        <f t="shared" si="4"/>
        <v/>
      </c>
      <c r="R29" s="120" t="str">
        <f>IF(P27="","",P29-P27)</f>
        <v/>
      </c>
      <c r="S29" s="117" t="str">
        <f>IF(Q27="","",SQRT(SUMSQ(Q27,Q29)))</f>
        <v/>
      </c>
      <c r="T29" s="93" t="str">
        <f>IF(P26="","","Solução")</f>
        <v>Solução</v>
      </c>
      <c r="U29" s="93"/>
      <c r="V29" s="123" t="str">
        <f>IF(W26="","","Massa final")</f>
        <v/>
      </c>
      <c r="W29" s="95" t="str">
        <f>IF('Entrada das massas'!S9="","",IF(AND('Entrada das massas'!S9&lt;=$B$20,'Entrada das massas'!S9&gt;$B$19),'Entrada das massas'!S9-((($C$20-$C$19)*($B$20-'Entrada das massas'!S9)+($B$19*$C$20)-($B$20*$C$20))/($B$19-$B$20)),IF(AND('Entrada das massas'!S9&lt;=$B$19,'Entrada das massas'!S9&gt;$B$18),'Entrada das massas'!S9-((($C$19-$C$18)*($B$19-'Entrada das massas'!S9)+($B$18*$C$19)-($B$19*$C$19))/($B$18-$B$19)),IF(AND('Entrada das massas'!S9&lt;=$B$18,'Entrada das massas'!S9&gt;$B$17),'Entrada das massas'!S9-((($C$18-$C$17)*($B$18-'Entrada das massas'!S9)+($B$17*$C$18)-($B$18*$C$18))/($B$17-$B$18)),IF(AND('Entrada das massas'!S9&lt;=$B$17,'Entrada das massas'!S9&gt;$B$16),'Entrada das massas'!S9-((($C$17-$C$16)*($B$17-'Entrada das massas'!S9)+($B$16*$C$17)-($B$17*$C$17))/($B$16-$B$17)),IF(AND('Entrada das massas'!S9&lt;=$B$16,'Entrada das massas'!S9&gt;$B$15),'Entrada das massas'!S9-((($C$16-$C$15)*($B$16-'Entrada das massas'!S9)+($B$15*$C$16)-($B$16*$C$16))/($B$15-$B$16)),IF(AND('Entrada das massas'!S9&lt;=$B$15,'Entrada das massas'!S9&gt;$B$14),'Entrada das massas'!S9-((($C$15-$C$14)*($B$15-'Entrada das massas'!S9)+($B$14*$C$15)-($B$15*$C$15))/($B$14-$B$15)),IF(AND('Entrada das massas'!S9&lt;=$B$14,'Entrada das massas'!S9&gt;$B$13),'Entrada das massas'!S9-((($C$14-$C$13)*($B$14-'Entrada das massas'!S9)+($B$13*$C$14)-($B$14*$C$14))/($B$13-$B$14)),IF(AND('Entrada das massas'!S9&lt;=$B$13,'Entrada das massas'!S9&gt;$B$12),'Entrada das massas'!S9-((($C$13-$C$12)*($B$13-'Entrada das massas'!S9)+($B$12*$C$13)-($B$13*$C$13))/($B$12-$B$13)),IF(AND('Entrada das massas'!S9&lt;=$B$12,'Entrada das massas'!S9&gt;$B$11),'Entrada das massas'!S9-((($C$12-$C$11)*($B$12-'Entrada das massas'!S9)+($B$11*$C$12)-($B$12*$C$12))/($B$11-$B$12)),IF(AND('Entrada das massas'!S9&lt;=$B$11,'Entrada das massas'!S9&gt;$B$10),'Entrada das massas'!S9-((($C$11-$C$10)*($B$11-'Entrada das massas'!S9)+($B$10*$C$11)-($B$11*$C$11))/($B$10-$B$11)),IF(AND('Entrada das massas'!S9&lt;=$B$10,'Entrada das massas'!S9&gt;$B$9),'Entrada das massas'!S9-((($C$10-$C$9)*($B$10-'Entrada das massas'!S9)+($B$9*$C$10)-($B$10*$C$10))/($B$9-$B$10)),IF(AND('Entrada das massas'!S9&lt;=$B$9,'Entrada das massas'!S9&gt;$B$8),'Entrada das massas'!S9-((($C$9-$C$8)*($B$9-'Entrada das massas'!S9)+($B$8*$C$9)-($B$9*$C$9))/($B$8-$B$9)),IF(AND('Entrada das massas'!S9&lt;=$B$8,'Entrada das massas'!S9&gt;$B$7),'Entrada das massas'!S9-((($C$8-$C$7)*($B$8-'Entrada das massas'!S9)+($B$7*$C$8)-($B$8*$C$8))/($B$7-$B$8)),IF(AND('Entrada das massas'!S9&lt;=$B$7,'Entrada das massas'!S9&gt;$B$6),'Entrada das massas'!S9-((($C$7-$C$6)*($B$7-'Entrada das massas'!S9)+($B$6*$C$7)-($B$7*$C$7))/($B$6-$B$7)),IF(AND('Entrada das massas'!S9&lt;=$B$6,'Entrada das massas'!S9&gt;$B$5),'Entrada das massas'!S9-((($C$6-$C$5)*($B$6-'Entrada das massas'!S9)+($B$5*$C$6)-($B$6*$C$6))/($B$5-$B$6)),IF('Entrada das massas'!S9&lt;=$B$5,'Entrada das massas'!S9-$C$5)))))))))))))))))</f>
        <v/>
      </c>
      <c r="X29" s="117" t="str">
        <f t="shared" si="5"/>
        <v/>
      </c>
      <c r="Y29" s="120" t="str">
        <f>IF(W27="","",W29-W27)</f>
        <v/>
      </c>
      <c r="Z29" s="117" t="str">
        <f>IF(X27="","",SQRT(SUMSQ(X27,X29)))</f>
        <v/>
      </c>
      <c r="AA29" s="93" t="str">
        <f>IF(W26="","","Solução")</f>
        <v/>
      </c>
      <c r="AB29" s="106"/>
      <c r="AC29" s="101"/>
      <c r="AD29" s="101"/>
      <c r="AE29" s="101"/>
      <c r="AF29" s="101"/>
      <c r="AG29" s="101"/>
      <c r="AH29" s="101"/>
      <c r="AI29" s="101"/>
      <c r="AJ29" s="101"/>
      <c r="AK29" s="101"/>
      <c r="AL29" s="101"/>
      <c r="AM29" s="98"/>
      <c r="AN29" s="98"/>
      <c r="AO29" s="98"/>
      <c r="AP29" s="98"/>
      <c r="AQ29" s="98"/>
      <c r="AR29" s="98"/>
      <c r="AS29" s="98"/>
      <c r="AT29" s="98"/>
    </row>
    <row r="30" spans="1:46" ht="13.5" thickBot="1" x14ac:dyDescent="0.25">
      <c r="B30" s="124"/>
      <c r="C30" s="125"/>
      <c r="D30" s="95"/>
      <c r="E30" s="98"/>
      <c r="F30" s="98"/>
      <c r="H30" s="98"/>
      <c r="I30" s="93"/>
      <c r="J30" s="120"/>
      <c r="K30" s="120"/>
      <c r="L30" s="120"/>
      <c r="M30" s="98"/>
      <c r="N30" s="98"/>
      <c r="O30" s="98"/>
      <c r="P30" s="93"/>
      <c r="Q30" s="120"/>
      <c r="R30" s="120"/>
      <c r="S30" s="120"/>
      <c r="T30" s="98"/>
      <c r="U30" s="98"/>
      <c r="V30" s="98"/>
      <c r="W30" s="93"/>
      <c r="X30" s="120"/>
      <c r="Y30" s="120"/>
      <c r="Z30" s="120"/>
      <c r="AA30" s="98"/>
      <c r="AB30" s="100"/>
      <c r="AC30" s="101"/>
      <c r="AD30" s="95"/>
      <c r="AE30" s="93"/>
      <c r="AF30" s="93"/>
      <c r="AG30" s="93"/>
      <c r="AH30" s="101"/>
      <c r="AI30" s="95"/>
      <c r="AJ30" s="93"/>
      <c r="AK30" s="93"/>
      <c r="AL30" s="101"/>
      <c r="AM30" s="98"/>
      <c r="AN30" s="95"/>
      <c r="AO30" s="93"/>
      <c r="AP30" s="93"/>
      <c r="AQ30" s="98"/>
      <c r="AR30" s="98"/>
      <c r="AS30" s="98"/>
      <c r="AT30" s="98"/>
    </row>
    <row r="31" spans="1:46" ht="13.5" thickBot="1" x14ac:dyDescent="0.25">
      <c r="A31" s="572" t="s">
        <v>52</v>
      </c>
      <c r="B31" s="573"/>
      <c r="C31" s="573"/>
      <c r="D31" s="573"/>
      <c r="E31" s="573"/>
      <c r="F31" s="574"/>
      <c r="H31" s="126" t="str">
        <f>IF(I26="","","Amostra")</f>
        <v>Amostra</v>
      </c>
      <c r="I31" s="127" t="str">
        <f>IF('Entrada das massas'!I11="","",'Entrada das massas'!I11)</f>
        <v>AMB</v>
      </c>
      <c r="J31" s="120" t="str">
        <f>IF(I31="","","uc(g)")</f>
        <v>uc(g)</v>
      </c>
      <c r="K31" s="120" t="str">
        <f>IF(J31="","","Massa (g)")</f>
        <v>Massa (g)</v>
      </c>
      <c r="L31" s="120" t="str">
        <f>IF(K31="","","ucomb (g)")</f>
        <v>ucomb (g)</v>
      </c>
      <c r="M31" s="98" t="str">
        <f>IF(I31="","","Fdiluição")</f>
        <v>Fdiluição</v>
      </c>
      <c r="N31" s="98"/>
      <c r="O31" s="126" t="str">
        <f>IF(M32="","","Amostra")</f>
        <v>Amostra</v>
      </c>
      <c r="P31" s="127" t="str">
        <f>IF('Entrada das massas'!N11="","",'Entrada das massas'!N11)</f>
        <v>AMB</v>
      </c>
      <c r="Q31" s="120" t="str">
        <f>IF(P31="","","uc(g)")</f>
        <v>uc(g)</v>
      </c>
      <c r="R31" s="120" t="str">
        <f>IF(Q31="","","Massa (g)")</f>
        <v>Massa (g)</v>
      </c>
      <c r="S31" s="120" t="str">
        <f>IF(R31="","","ucomb (g)")</f>
        <v>ucomb (g)</v>
      </c>
      <c r="T31" s="98" t="str">
        <f>IF(P31="","","Fdiluição")</f>
        <v>Fdiluição</v>
      </c>
      <c r="U31" s="98"/>
      <c r="V31" s="126" t="str">
        <f>IF(T32="","","Amostra")</f>
        <v/>
      </c>
      <c r="W31" s="127" t="str">
        <f>IF('Entrada das massas'!S11="","",'Entrada das massas'!S11)</f>
        <v/>
      </c>
      <c r="X31" s="120" t="str">
        <f>IF(W31="","","uc(g)")</f>
        <v/>
      </c>
      <c r="Y31" s="120" t="str">
        <f>IF(X31="","","Massa (g)")</f>
        <v/>
      </c>
      <c r="Z31" s="120" t="str">
        <f>IF(Y31="","","ucomb (g)")</f>
        <v/>
      </c>
      <c r="AA31" s="98" t="str">
        <f>IF(W31="","","Fdiluição")</f>
        <v/>
      </c>
      <c r="AB31" s="100"/>
      <c r="AC31" s="128"/>
      <c r="AD31" s="95"/>
      <c r="AE31" s="120"/>
      <c r="AF31" s="118"/>
      <c r="AG31" s="118"/>
      <c r="AH31" s="128"/>
      <c r="AI31" s="95"/>
      <c r="AJ31" s="120"/>
      <c r="AK31" s="118"/>
      <c r="AL31" s="101"/>
      <c r="AM31" s="129"/>
      <c r="AN31" s="95"/>
      <c r="AO31" s="120"/>
      <c r="AP31" s="118"/>
      <c r="AQ31" s="98"/>
      <c r="AR31" s="98"/>
      <c r="AS31" s="98"/>
      <c r="AT31" s="98"/>
    </row>
    <row r="32" spans="1:46" ht="15.75" x14ac:dyDescent="0.3">
      <c r="A32" s="130" t="s">
        <v>57</v>
      </c>
      <c r="B32" s="111">
        <f>IF(AND('Entrada das massas'!C12&lt;=$B$20,'Entrada das massas'!C12&gt;$B$19),'Entrada das massas'!C12-((($C$20-$C$19)*($B$20-'Entrada das massas'!C12)+($B$19*$C$20)-($B$20*$C$20))/($B$19-$B$20)),IF(AND('Entrada das massas'!C12&lt;=$B$19,'Entrada das massas'!C12&gt;$B$18),'Entrada das massas'!C12-((($C$19-$C$18)*($B$19-'Entrada das massas'!C12)+($B$18*$C$19)-($B$19*$C$19))/($B$18-$B$19)),IF(AND('Entrada das massas'!C12&lt;=$B$18,'Entrada das massas'!C12&gt;$B$17),'Entrada das massas'!C12-((($C$18-$C$17)*($B$18-'Entrada das massas'!C12)+($B$17*$C$18)-($B$18*$C$18))/($B$17-$B$18)),IF(AND('Entrada das massas'!C12&lt;=$B$17,'Entrada das massas'!C12&gt;$B$16),'Entrada das massas'!C12-((($C$17-$C$16)*($B$17-'Entrada das massas'!C12)+($B$16*$C$17)-($B$17*$C$17))/($B$16-$B$17)),IF(AND('Entrada das massas'!C12&lt;=$B$16,'Entrada das massas'!C12&gt;$B$15),'Entrada das massas'!C12-((($C$16-$C$15)*($B$16-'Entrada das massas'!C12)+($B$15*$C$16)-($B$16*$C$16))/($B$15-$B$16)),IF(AND('Entrada das massas'!C12&lt;=$B$15,'Entrada das massas'!C12&gt;$B$14),'Entrada das massas'!C12-((($C$15-$C$14)*($B$15-'Entrada das massas'!C12)+($B$14*$C$15)-($B$15*$C$15))/($B$14-$B$15)),IF(AND('Entrada das massas'!C12&lt;=$B$14,'Entrada das massas'!C12&gt;$B$13),'Entrada das massas'!C12-((($C$14-$C$13)*($B$14-'Entrada das massas'!C12)+($B$13*$C$14)-($B$14*$C$14))/($B$13-$B$14)),IF(AND('Entrada das massas'!C12&lt;=$B$13,'Entrada das massas'!C12&gt;$B$12),'Entrada das massas'!C12-((($C$13-$C$12)*($B$13-'Entrada das massas'!C12)+($B$12*$C$13)-($B$13*$C$13))/($B$12-$B$13)),IF(AND('Entrada das massas'!C12&lt;=$B$12,'Entrada das massas'!C12&gt;$B$11),'Entrada das massas'!C12-((($C$12-$C$11)*($B$12-'Entrada das massas'!C12)+($B$11*$C$12)-($B$12*$C$12))/($B$11-$B$12)), IF(AND('Entrada das massas'!C12&lt;=$B$11,'Entrada das massas'!C12&gt;$B$10),'Entrada das massas'!C12-((($C$11-$C$10)*($B$11-'Entrada das massas'!C12)+($B$10*$C$11)-($B$11*$C$11))/($B$10-$B$11)),IF(AND('Entrada das massas'!C12&lt;=$B$10,'Entrada das massas'!C12&gt;$B$9),'Entrada das massas'!C12-((($C$10-$C$9)*($B$10-'Entrada das massas'!C12)+($B$9*$C$10)-($B$10*$C$10))/($B$9-$B$10)),IF(AND('Entrada das massas'!C12&lt;=$B$9,'Entrada das massas'!C12&gt;$B$8),'Entrada das massas'!C12-((($C$9-$C$8)*($B$9-'Entrada das massas'!C12)+($B$8*$C$9)-($B$9*$C$9))/($B$8-$B$9)),IF(AND('Entrada das massas'!C12&lt;=$B$8,'Entrada das massas'!C12&gt;$B$7),'Entrada das massas'!C12-((($C$8-$C$7)*($B$8-'Entrada das massas'!C12)+($B$7*$C$8)-($B$8*$C$8))/($B$7-$B$8)),IF(AND('Entrada das massas'!C12&lt;=$B$7,'Entrada das massas'!C12&gt;$B$6),'Entrada das massas'!C12-((($C$7-$C$6)*($B$7-'Entrada das massas'!C12)+($B$6*$C$7)-($B$7*$C$7))/($B$6-$B$7)),IF(AND('Entrada das massas'!C12&lt;=$B$6,'Entrada das massas'!C12&gt;$B$5),'Entrada das massas'!C12-((($C$6-$C$5)*($B$6-'Entrada das massas'!C12)+($B$5*$C$6)-($B$6*$C$6))/($B$5-$B$6)),IF('Entrada das massas'!C12&lt;=$B$5,'Entrada das massas'!C12-$C$5))))))))))))))))</f>
        <v>14.89503020996</v>
      </c>
      <c r="C32" s="112">
        <f>(IF(AND(B32&lt;=$B$20,B32&gt;$B$19),$D$19+($B$19-B32)/($B$19-$B$20)*($D$20-$D$19),IF(AND(B32&lt;=$B$19,B32&gt;$B$18),$D$18+($B$18-B32)/($B$18-$B$19)*($D$19-$D$18),IF(AND(B32&lt;=$B$18,B32&gt;$B$17),$D$17+($B$17-B32)/($B$17-$B$18)*($D$18-$D$17),IF(AND(B32&lt;=$B$17,B32&gt;$B$16),$D$16+($B$16-B32)/($B$16-$B$17)*($D$17-$D$16),IF(AND(B32&lt;=$B$16,B32&gt;$B$15),$D$15+($B$15-B32)/($B$15-$B$16)*($D$16-$D$15),IF(AND(B32&lt;=$B$15,B32&gt;$B$14),$D$14+($B$14-B32)/($B$14-$B$15)*($D$15-$D$14),IF(AND(B32&lt;=$B$14,B32&gt;$B$13),$D$13+($B$13-B32)/($B$13-$B$14)*($D$14-$D$13),IF(AND(B32&lt;=$B$13,B32&gt;$B$12),$D$12+($B$12-B32)/($B$12-$B$13)*($D$13-$D$12),IF(AND(B32&lt;=$B$12,B32&gt;$B$11),$D$11+($B$11-B32)/($B$11-$B$12)*($D$12-$D$11),IF(AND(B32&lt;=$B$11,B32&gt;$B$10),$D$10+($B$10-B32)/($B$10-$B$11)*($D$11-$D$10),IF(AND(B32&lt;=$B$10,B32&gt;$B$9),$D$9+($B$9-B32)/($B$9-$B$10)*($D$10-$D$9),IF(AND(B32&lt;=$B$9,B32&gt;$B$8),$D$8+($B$8-B32)/($B$8-$B$9)*($D$9-$D$8),IF(AND(B32&lt;=$B$8,B32&gt;$B$7),$D$7+($B$7-B32)/($B$7-$B$8)*($D$8-$D$7),IF(AND(B32&lt;=$B$7,B32&gt;$B$6),$D$6+($B$6-B32)/($B$6-$B$7)*($D$7-$D$6),IF(B32&lt;=$B$6,$D$6))))))))))))))))</f>
        <v>1.0000000000000001E-5</v>
      </c>
      <c r="D32" s="131"/>
      <c r="E32" s="131"/>
      <c r="F32" s="132" t="s">
        <v>70</v>
      </c>
      <c r="H32" s="115" t="str">
        <f>IF(I31="","","Frasco")</f>
        <v>Frasco</v>
      </c>
      <c r="I32" s="116">
        <f>IF('Entrada das massas'!I12="","",IF(AND('Entrada das massas'!I12&lt;=$B$20,'Entrada das massas'!I12&gt;$B$19),'Entrada das massas'!I12-((($C$20-$C$19)*($B$20-'Entrada das massas'!I12)+($B$19*$C$20)-($B$20*$C$20))/($B$19-$B$20)),IF(AND('Entrada das massas'!I12&lt;=$B$19,'Entrada das massas'!I12&gt;$B$18),'Entrada das massas'!I12-((($C$19-$C$18)*($B$19-'Entrada das massas'!I12)+($B$18*$C$19)-($B$19*$C$19))/($B$18-$B$19)),IF(AND('Entrada das massas'!I12&lt;=$B$18,'Entrada das massas'!I12&gt;$B$17),'Entrada das massas'!I12-((($C$18-$C$17)*($B$18-'Entrada das massas'!I12)+($B$17*$C$18)-($B$18*$C$18))/($B$17-$B$18)),IF(AND('Entrada das massas'!I12&lt;=$B$17,'Entrada das massas'!I12&gt;$B$16),'Entrada das massas'!I12-((($C$17-$C$16)*($B$17-'Entrada das massas'!I12)+($B$16*$C$17)-($B$17*$C$17))/($B$16-$B$17)),IF(AND('Entrada das massas'!I12&lt;=$B$16,'Entrada das massas'!I12&gt;$B$15),'Entrada das massas'!I12-((($C$16-$C$15)*($B$16-'Entrada das massas'!I12)+($B$15*$C$16)-($B$16*$C$16))/($B$15-$B$16)),IF(AND('Entrada das massas'!I12&lt;=$B$15,'Entrada das massas'!I12&gt;$B$14),'Entrada das massas'!I12-((($C$15-$C$14)*($B$15-'Entrada das massas'!I12)+($B$14*$C$15)-($B$15*$C$15))/($B$14-$B$15)),IF(AND('Entrada das massas'!I12&lt;=$B$14,'Entrada das massas'!I12&gt;$B$13),'Entrada das massas'!I12-((($C$14-$C$13)*($B$14-'Entrada das massas'!I12)+($B$13*$C$14)-($B$14*$C$14))/($B$13-$B$14)),IF(AND('Entrada das massas'!I12&lt;=$B$13,'Entrada das massas'!I12&gt;$B$12),'Entrada das massas'!I12-((($C$13-$C$12)*($B$13-'Entrada das massas'!I12)+($B$12*$C$13)-($B$13*$C$13))/($B$12-$B$13)),IF(AND('Entrada das massas'!I12&lt;=$B$12,'Entrada das massas'!I12&gt;$B$11),'Entrada das massas'!I12-((($C$12-$C$11)*($B$12-'Entrada das massas'!I12)+($B$11*$C$12)-($B$12*$C$12))/($B$11-$B$12)),IF(AND('Entrada das massas'!I12&lt;=$B$11,'Entrada das massas'!I12&gt;$B$10),'Entrada das massas'!I12-((($C$11-$C$10)*($B$11-'Entrada das massas'!I12)+($B$10*$C$11)-($B$11*$C$11))/($B$10-$B$11)),IF(AND('Entrada das massas'!I12&lt;=$B$10,'Entrada das massas'!I12&gt;$B$9),'Entrada das massas'!I12-((($C$10-$C$9)*($B$10-'Entrada das massas'!I12)+($B$9*$C$10)-($B$10*$C$10))/($B$9-$B$10)),IF(AND('Entrada das massas'!I12&lt;=$B$9,'Entrada das massas'!I12&gt;$B$8),'Entrada das massas'!I12-((($C$9-$C$8)*($B$9-'Entrada das massas'!I12)+($B$8*$C$9)-($B$9*$C$9))/($B$8-$B$9)),IF(AND('Entrada das massas'!I12&lt;=$B$8,'Entrada das massas'!I12&gt;$B$7),'Entrada das massas'!I12-((($C$8-$C$7)*($B$8-'Entrada das massas'!I12)+($B$7*$C$8)-($B$8*$C$8))/($B$7-$B$8)),IF(AND('Entrada das massas'!I12&lt;=$B$7,'Entrada das massas'!I12&gt;$B$6),'Entrada das massas'!I12-((($C$7-$C$6)*($B$7-'Entrada das massas'!I12)+($B$6*$C$7)-($B$7*$C$7))/($B$6-$B$7)),IF(AND('Entrada das massas'!I12&lt;=$B$6,'Entrada das massas'!I12&gt;$B$5),'Entrada das massas'!I12-((($C$6-$C$5)*($B$6-'Entrada das massas'!I12)+($B$5*$C$6)-($B$6*$C$6))/($B$5-$B$6)),IF('Entrada das massas'!I12&lt;=$B$5,'Entrada das massas'!I12-$C$5)))))))))))))))))</f>
        <v>12.33864532274</v>
      </c>
      <c r="J32" s="117">
        <f>IF(I32="","",(IF(AND(I32&lt;=$B$20,I32&gt;$B$19),$D$19+($B$19-I32)/($B$19-$B$20)*($D$20-$D$19),IF(AND(I32&lt;=$B$19,I32&gt;$B$18),$D$18+($B$18-I32)/($B$18-$B$19)*($D$19-$D$18),IF(AND(I32&lt;=$B$18,I32&gt;$B$17),$D$17+($B$17-I32)/($B$17-$B$18)*($D$18-$D$17),IF(AND(I32&lt;=$B$17,I32&gt;$B$16),$D$16+($B$16-I32)/($B$16-$B$17)*($D$17-$D$16),IF(AND(I32&lt;=$B$16,I32&gt;$B$15),$D$15+($B$15-I32)/($B$15-$B$16)*($D$16-$D$15),IF(AND(I32&lt;=$B$15,I32&gt;$B$14),$D$14+($B$14-I32)/($B$14-$B$15)*($D$15-$D$14),IF(AND(I32&lt;=$B$14,I32&gt;$B$13),$D$13+($B$13-I32)/($B$13-$B$14)*($D$14-$D$13),IF(AND(I32&lt;=$B$13,I32&gt;$B$12),$D$12+($B$12-I32)/($B$12-$B$13)*($D$13-$D$12),IF(AND(I32&lt;=$B$12,I32&gt;$B$11),$D$11+($B$11-I32)/($B$11-$B$12)*($D$12-$D$11),IF(AND(I32&lt;=$B$11,I32&gt;$B$10),$D$10+($B$10-I32)/($B$10-$B$11)*($D$11-$D$10),IF(AND(I32&lt;=$B$10,I32&gt;$B$9),$D$9+($B$9-I32)/($B$9-$B$10)*($D$10-$D$9),IF(AND(I32&lt;=$B$9,I32&gt;$B$8),$D$8+($B$8-I32)/($B$8-$B$9)*($D$9-$D$8),IF(AND(I32&lt;=$B$8,I32&gt;$B$7),$D$7+($B$7-I32)/($B$7-$B$8)*($D$8-$D$7),IF(AND(I32&lt;=$B$7,I32&gt;$B$6),$D$6+($B$6-I32)/($B$6-$B$7)*($D$7-$D$6),IF(I32&lt;=$B$6,$D$6)))))))))))))))))</f>
        <v>1.0000000000000001E-5</v>
      </c>
      <c r="K32" s="117"/>
      <c r="L32" s="117"/>
      <c r="M32" s="118">
        <f>IFERROR(K34/K33,"")</f>
        <v>167.89582543631479</v>
      </c>
      <c r="N32" s="93"/>
      <c r="O32" s="115" t="str">
        <f>IF(P31="","","Frasco")</f>
        <v>Frasco</v>
      </c>
      <c r="P32" s="95" t="str">
        <f>IF('Entrada das massas'!N12="","",IF(AND('Entrada das massas'!N12&lt;=$B$20,'Entrada das massas'!N12&gt;$B$19),'Entrada das massas'!N12-((($C$20-$C$19)*($B$20-'Entrada das massas'!N12)+($B$19*$C$20)-($B$20*$C$20))/($B$19-$B$20)),IF(AND('Entrada das massas'!N12&lt;=$B$19,'Entrada das massas'!N12&gt;$B$18),'Entrada das massas'!N12-((($C$19-$C$18)*($B$19-'Entrada das massas'!N12)+($B$18*$C$19)-($B$19*$C$19))/($B$18-$B$19)),IF(AND('Entrada das massas'!N12&lt;=$B$18,'Entrada das massas'!N12&gt;$B$17),'Entrada das massas'!N12-((($C$18-$C$17)*($B$18-'Entrada das massas'!N12)+($B$17*$C$18)-($B$18*$C$18))/($B$17-$B$18)),IF(AND('Entrada das massas'!N12&lt;=$B$17,'Entrada das massas'!N12&gt;$B$16),'Entrada das massas'!N12-((($C$17-$C$16)*($B$17-'Entrada das massas'!N12)+($B$16*$C$17)-($B$17*$C$17))/($B$16-$B$17)),IF(AND('Entrada das massas'!N12&lt;=$B$16,'Entrada das massas'!N12&gt;$B$15),'Entrada das massas'!N12-((($C$16-$C$15)*($B$16-'Entrada das massas'!N12)+($B$15*$C$16)-($B$16*$C$16))/($B$15-$B$16)),IF(AND('Entrada das massas'!N12&lt;=$B$15,'Entrada das massas'!N12&gt;$B$14),'Entrada das massas'!N12-((($C$15-$C$14)*($B$15-'Entrada das massas'!N12)+($B$14*$C$15)-($B$15*$C$15))/($B$14-$B$15)),IF(AND('Entrada das massas'!N12&lt;=$B$14,'Entrada das massas'!N12&gt;$B$13),'Entrada das massas'!N12-((($C$14-$C$13)*($B$14-'Entrada das massas'!N12)+($B$13*$C$14)-($B$14*$C$14))/($B$13-$B$14)),IF(AND('Entrada das massas'!N12&lt;=$B$13,'Entrada das massas'!N12&gt;$B$12),'Entrada das massas'!N12-((($C$13-$C$12)*($B$13-'Entrada das massas'!N12)+($B$12*$C$13)-($B$13*$C$13))/($B$12-$B$13)),IF(AND('Entrada das massas'!N12&lt;=$B$12,'Entrada das massas'!N12&gt;$B$11),'Entrada das massas'!N12-((($C$12-$C$11)*($B$12-'Entrada das massas'!N12)+($B$11*$C$12)-($B$12*$C$12))/($B$11-$B$12)),IF(AND('Entrada das massas'!N12&lt;=$B$11,'Entrada das massas'!N12&gt;$B$10),'Entrada das massas'!N12-((($C$11-$C$10)*($B$11-'Entrada das massas'!N12)+($B$10*$C$11)-($B$11*$C$11))/($B$10-$B$11)),IF(AND('Entrada das massas'!N12&lt;=$B$10,'Entrada das massas'!N12&gt;$B$9),'Entrada das massas'!N12-((($C$10-$C$9)*($B$10-'Entrada das massas'!N12)+($B$9*$C$10)-($B$10*$C$10))/($B$9-$B$10)),IF(AND('Entrada das massas'!N12&lt;=$B$9,'Entrada das massas'!N12&gt;$B$8),'Entrada das massas'!N12-((($C$9-$C$8)*($B$9-'Entrada das massas'!N12)+($B$8*$C$9)-($B$9*$C$9))/($B$8-$B$9)),IF(AND('Entrada das massas'!N12&lt;=$B$8,'Entrada das massas'!N12&gt;$B$7),'Entrada das massas'!N12-((($C$8-$C$7)*($B$8-'Entrada das massas'!N12)+($B$7*$C$8)-($B$8*$C$8))/($B$7-$B$8)),IF(AND('Entrada das massas'!N12&lt;=$B$7,'Entrada das massas'!N12&gt;$B$6),'Entrada das massas'!N12-((($C$7-$C$6)*($B$7-'Entrada das massas'!N12)+($B$6*$C$7)-($B$7*$C$7))/($B$6-$B$7)),IF(AND('Entrada das massas'!N12&lt;=$B$6,'Entrada das massas'!N12&gt;$B$5),'Entrada das massas'!N12-((($C$6-$C$5)*($B$6-'Entrada das massas'!N12)+($B$5*$C$6)-($B$6*$C$6))/($B$5-$B$6)),IF('Entrada das massas'!N12&lt;=$B$5,'Entrada das massas'!N12-$C$5)))))))))))))))))</f>
        <v/>
      </c>
      <c r="Q32" s="117" t="str">
        <f>IF(P32="","",(IF(AND(P32&lt;=$B$20,P32&gt;$B$19),$D$19+($B$19-P32)/($B$19-$B$20)*($D$20-$D$19),IF(AND(P32&lt;=$B$19,P32&gt;$B$18),$D$18+($B$18-P32)/($B$18-$B$19)*($D$19-$D$18),IF(AND(P32&lt;=$B$18,P32&gt;$B$17),$D$17+($B$17-P32)/($B$17-$B$18)*($D$18-$D$17),IF(AND(P32&lt;=$B$17,P32&gt;$B$16),$D$16+($B$16-P32)/($B$16-$B$17)*($D$17-$D$16),IF(AND(P32&lt;=$B$16,P32&gt;$B$15),$D$15+($B$15-P32)/($B$15-$B$16)*($D$16-$D$15),IF(AND(P32&lt;=$B$15,P32&gt;$B$14),$D$14+($B$14-P32)/($B$14-$B$15)*($D$15-$D$14),IF(AND(P32&lt;=$B$14,P32&gt;$B$13),$D$13+($B$13-P32)/($B$13-$B$14)*($D$14-$D$13),IF(AND(P32&lt;=$B$13,P32&gt;$B$12),$D$12+($B$12-P32)/($B$12-$B$13)*($D$13-$D$12),IF(AND(P32&lt;=$B$12,P32&gt;$B$11),$D$11+($B$11-P32)/($B$11-$B$12)*($D$12-$D$11),IF(AND(P32&lt;=$B$11,P32&gt;$B$10),$D$10+($B$10-P32)/($B$10-$B$11)*($D$11-$D$10),IF(AND(P32&lt;=$B$10,P32&gt;$B$9),$D$9+($B$9-P32)/($B$9-$B$10)*($D$10-$D$9),IF(AND(P32&lt;=$B$9,P32&gt;$B$8),$D$8+($B$8-P32)/($B$8-$B$9)*($D$9-$D$8),IF(AND(P32&lt;=$B$8,P32&gt;$B$7),$D$7+($B$7-P32)/($B$7-$B$8)*($D$8-$D$7),IF(AND(P32&lt;=$B$7,P32&gt;$B$6),$D$6+($B$6-P32)/($B$6-$B$7)*($D$7-$D$6),IF(P32&lt;=$B$6,$D$6)))))))))))))))))</f>
        <v/>
      </c>
      <c r="R32" s="117"/>
      <c r="S32" s="117"/>
      <c r="T32" s="118" t="str">
        <f>IFERROR(R34/R33,"")</f>
        <v/>
      </c>
      <c r="U32" s="93"/>
      <c r="V32" s="115" t="str">
        <f>IF(W31="","","Frasco")</f>
        <v/>
      </c>
      <c r="W32" s="95" t="str">
        <f>IF('Entrada das massas'!S12="","",IF(AND('Entrada das massas'!S12&lt;=$B$20,'Entrada das massas'!S12&gt;$B$19),'Entrada das massas'!S12-((($C$20-$C$19)*($B$20-'Entrada das massas'!S12)+($B$19*$C$20)-($B$20*$C$20))/($B$19-$B$20)),IF(AND('Entrada das massas'!S12&lt;=$B$19,'Entrada das massas'!S12&gt;$B$18),'Entrada das massas'!S12-((($C$19-$C$18)*($B$19-'Entrada das massas'!S12)+($B$18*$C$19)-($B$19*$C$19))/($B$18-$B$19)),IF(AND('Entrada das massas'!S12&lt;=$B$18,'Entrada das massas'!S12&gt;$B$17),'Entrada das massas'!S12-((($C$18-$C$17)*($B$18-'Entrada das massas'!S12)+($B$17*$C$18)-($B$18*$C$18))/($B$17-$B$18)),IF(AND('Entrada das massas'!S12&lt;=$B$17,'Entrada das massas'!S12&gt;$B$16),'Entrada das massas'!S12-((($C$17-$C$16)*($B$17-'Entrada das massas'!S12)+($B$16*$C$17)-($B$17*$C$17))/($B$16-$B$17)),IF(AND('Entrada das massas'!S12&lt;=$B$16,'Entrada das massas'!S12&gt;$B$15),'Entrada das massas'!S12-((($C$16-$C$15)*($B$16-'Entrada das massas'!S12)+($B$15*$C$16)-($B$16*$C$16))/($B$15-$B$16)),IF(AND('Entrada das massas'!S12&lt;=$B$15,'Entrada das massas'!S12&gt;$B$14),'Entrada das massas'!S12-((($C$15-$C$14)*($B$15-'Entrada das massas'!S12)+($B$14*$C$15)-($B$15*$C$15))/($B$14-$B$15)),IF(AND('Entrada das massas'!S12&lt;=$B$14,'Entrada das massas'!S12&gt;$B$13),'Entrada das massas'!S12-((($C$14-$C$13)*($B$14-'Entrada das massas'!S12)+($B$13*$C$14)-($B$14*$C$14))/($B$13-$B$14)),IF(AND('Entrada das massas'!S12&lt;=$B$13,'Entrada das massas'!S12&gt;$B$12),'Entrada das massas'!S12-((($C$13-$C$12)*($B$13-'Entrada das massas'!S12)+($B$12*$C$13)-($B$13*$C$13))/($B$12-$B$13)),IF(AND('Entrada das massas'!S12&lt;=$B$12,'Entrada das massas'!S12&gt;$B$11),'Entrada das massas'!S12-((($C$12-$C$11)*($B$12-'Entrada das massas'!S12)+($B$11*$C$12)-($B$12*$C$12))/($B$11-$B$12)),IF(AND('Entrada das massas'!S12&lt;=$B$11,'Entrada das massas'!S12&gt;$B$10),'Entrada das massas'!S12-((($C$11-$C$10)*($B$11-'Entrada das massas'!S12)+($B$10*$C$11)-($B$11*$C$11))/($B$10-$B$11)),IF(AND('Entrada das massas'!S12&lt;=$B$10,'Entrada das massas'!S12&gt;$B$9),'Entrada das massas'!S12-((($C$10-$C$9)*($B$10-'Entrada das massas'!S12)+($B$9*$C$10)-($B$10*$C$10))/($B$9-$B$10)),IF(AND('Entrada das massas'!S12&lt;=$B$9,'Entrada das massas'!S12&gt;$B$8),'Entrada das massas'!S12-((($C$9-$C$8)*($B$9-'Entrada das massas'!S12)+($B$8*$C$9)-($B$9*$C$9))/($B$8-$B$9)),IF(AND('Entrada das massas'!S12&lt;=$B$8,'Entrada das massas'!S12&gt;$B$7),'Entrada das massas'!S12-((($C$8-$C$7)*($B$8-'Entrada das massas'!S12)+($B$7*$C$8)-($B$8*$C$8))/($B$7-$B$8)),IF(AND('Entrada das massas'!S12&lt;=$B$7,'Entrada das massas'!S12&gt;$B$6),'Entrada das massas'!S12-((($C$7-$C$6)*($B$7-'Entrada das massas'!S12)+($B$6*$C$7)-($B$7*$C$7))/($B$6-$B$7)),IF(AND('Entrada das massas'!S12&lt;=$B$6,'Entrada das massas'!S12&gt;$B$5),'Entrada das massas'!S12-((($C$6-$C$5)*($B$6-'Entrada das massas'!S12)+($B$5*$C$6)-($B$6*$C$6))/($B$5-$B$6)),IF('Entrada das massas'!S12&lt;=$B$5,'Entrada das massas'!S12-$C$5)))))))))))))))))</f>
        <v/>
      </c>
      <c r="X32" s="117" t="str">
        <f>IF(W32="","",(IF(AND(W32&lt;=$B$20,W32&gt;$B$19),$D$19+($B$19-W32)/($B$19-$B$20)*($D$20-$D$19),IF(AND(W32&lt;=$B$19,W32&gt;$B$18),$D$18+($B$18-W32)/($B$18-$B$19)*($D$19-$D$18),IF(AND(W32&lt;=$B$18,W32&gt;$B$17),$D$17+($B$17-W32)/($B$17-$B$18)*($D$18-$D$17),IF(AND(W32&lt;=$B$17,W32&gt;$B$16),$D$16+($B$16-W32)/($B$16-$B$17)*($D$17-$D$16),IF(AND(W32&lt;=$B$16,W32&gt;$B$15),$D$15+($B$15-W32)/($B$15-$B$16)*($D$16-$D$15),IF(AND(W32&lt;=$B$15,W32&gt;$B$14),$D$14+($B$14-W32)/($B$14-$B$15)*($D$15-$D$14),IF(AND(W32&lt;=$B$14,W32&gt;$B$13),$D$13+($B$13-W32)/($B$13-$B$14)*($D$14-$D$13),IF(AND(W32&lt;=$B$13,W32&gt;$B$12),$D$12+($B$12-W32)/($B$12-$B$13)*($D$13-$D$12),IF(AND(W32&lt;=$B$12,W32&gt;$B$11),$D$11+($B$11-W32)/($B$11-$B$12)*($D$12-$D$11),IF(AND(W32&lt;=$B$11,W32&gt;$B$10),$D$10+($B$10-W32)/($B$10-$B$11)*($D$11-$D$10),IF(AND(W32&lt;=$B$10,W32&gt;$B$9),$D$9+($B$9-W32)/($B$9-$B$10)*($D$10-$D$9),IF(AND(W32&lt;=$B$9,W32&gt;$B$8),$D$8+($B$8-W32)/($B$8-$B$9)*($D$9-$D$8),IF(AND(W32&lt;=$B$8,W32&gt;$B$7),$D$7+($B$7-W32)/($B$7-$B$8)*($D$8-$D$7),IF(AND(W32&lt;=$B$7,W32&gt;$B$6),$D$6+($B$6-W32)/($B$6-$B$7)*($D$7-$D$6),IF(W32&lt;=$B$6,$D$6)))))))))))))))))</f>
        <v/>
      </c>
      <c r="Y32" s="117"/>
      <c r="Z32" s="117"/>
      <c r="AA32" s="118" t="str">
        <f>IFERROR(Y34/Y33,"")</f>
        <v/>
      </c>
      <c r="AB32" s="100"/>
      <c r="AC32" s="124"/>
      <c r="AD32" s="95"/>
      <c r="AE32" s="120"/>
      <c r="AF32" s="93"/>
      <c r="AG32" s="93"/>
      <c r="AH32" s="124"/>
      <c r="AI32" s="95"/>
      <c r="AJ32" s="120"/>
      <c r="AK32" s="93"/>
      <c r="AL32" s="101"/>
      <c r="AM32" s="124"/>
      <c r="AN32" s="95"/>
      <c r="AO32" s="120"/>
      <c r="AP32" s="93"/>
      <c r="AQ32" s="98"/>
      <c r="AR32" s="98"/>
      <c r="AS32" s="98"/>
      <c r="AT32" s="98"/>
    </row>
    <row r="33" spans="1:46" x14ac:dyDescent="0.2">
      <c r="A33" s="110" t="s">
        <v>59</v>
      </c>
      <c r="B33" s="111">
        <f>IF(AND('Entrada das massas'!C13&lt;=$B$20,'Entrada das massas'!C13&gt;$B$19),'Entrada das massas'!C13-((($C$20-$C$19)*($B$20-'Entrada das massas'!C13)+($B$19*$C$20)-($B$20*$C$20))/($B$19-$B$20)),IF(AND('Entrada das massas'!C13&lt;=$B$19,'Entrada das massas'!C13&gt;$B$18),'Entrada das massas'!C13-((($C$19-$C$18)*($B$19-'Entrada das massas'!C13)+($B$18*$C$19)-($B$19*$C$19))/($B$18-$B$19)),IF(AND('Entrada das massas'!C13&lt;=$B$18,'Entrada das massas'!C13&gt;$B$17),'Entrada das massas'!C13-((($C$18-$C$17)*($B$18-'Entrada das massas'!C13)+($B$17*$C$18)-($B$18*$C$18))/($B$17-$B$18)),IF(AND('Entrada das massas'!C13&lt;=$B$17,'Entrada das massas'!C13&gt;$B$16),'Entrada das massas'!C13-((($C$17-$C$16)*($B$17-'Entrada das massas'!C13)+($B$16*$C$17)-($B$17*$C$17))/($B$16-$B$17)),IF(AND('Entrada das massas'!C13&lt;=$B$16,'Entrada das massas'!C13&gt;$B$15),'Entrada das massas'!C13-((($C$16-$C$15)*($B$16-'Entrada das massas'!C13)+($B$15*$C$16)-($B$16*$C$16))/($B$15-$B$16)),IF(AND('Entrada das massas'!C13&lt;=$B$15,'Entrada das massas'!C13&gt;$B$14),'Entrada das massas'!C13-((($C$15-$C$14)*($B$15-'Entrada das massas'!C13)+($B$14*$C$15)-($B$15*$C$15))/($B$14-$B$15)),IF(AND('Entrada das massas'!C13&lt;=$B$14,'Entrada das massas'!C13&gt;$B$13),'Entrada das massas'!C13-((($C$14-$C$13)*($B$14-'Entrada das massas'!C13)+($B$13*$C$14)-($B$14*$C$14))/($B$13-$B$14)),IF(AND('Entrada das massas'!C13&lt;=$B$13,'Entrada das massas'!C13&gt;$B$12),'Entrada das massas'!C13-((($C$13-$C$12)*($B$13-'Entrada das massas'!C13)+($B$12*$C$13)-($B$13*$C$13))/($B$12-$B$13)),IF(AND('Entrada das massas'!C13&lt;=$B$12,'Entrada das massas'!C13&gt;$B$11),'Entrada das massas'!C13-((($C$12-$C$11)*($B$12-'Entrada das massas'!C13)+($B$11*$C$12)-($B$12*$C$12))/($B$11-$B$12)), IF(AND('Entrada das massas'!C13&lt;=$B$11,'Entrada das massas'!C13&gt;$B$10),'Entrada das massas'!C13-((($C$11-$C$10)*($B$11-'Entrada das massas'!C13)+($B$10*$C$11)-($B$11*$C$11))/($B$10-$B$11)),IF(AND('Entrada das massas'!C13&lt;=$B$10,'Entrada das massas'!C13&gt;$B$9),'Entrada das massas'!C13-((($C$10-$C$9)*($B$10-'Entrada das massas'!C13)+($B$9*$C$10)-($B$10*$C$10))/($B$9-$B$10)),IF(AND('Entrada das massas'!C13&lt;=$B$9,'Entrada das massas'!C13&gt;$B$8),'Entrada das massas'!C13-((($C$9-$C$8)*($B$9-'Entrada das massas'!C13)+($B$8*$C$9)-($B$9*$C$9))/($B$8-$B$9)),IF(AND('Entrada das massas'!C13&lt;=$B$8,'Entrada das massas'!C13&gt;$B$7),'Entrada das massas'!C13-((($C$8-$C$7)*($B$8-'Entrada das massas'!C13)+($B$7*$C$8)-($B$8*$C$8))/($B$7-$B$8)),IF(AND('Entrada das massas'!C13&lt;=$B$7,'Entrada das massas'!C13&gt;$B$6),'Entrada das massas'!C13-((($C$7-$C$6)*($B$7-'Entrada das massas'!C13)+($B$6*$C$7)-($B$7*$C$7))/($B$6-$B$7)),IF(AND('Entrada das massas'!C13&lt;=$B$6,'Entrada das massas'!C13&gt;$B$5),'Entrada das massas'!C13-((($C$6-$C$5)*($B$6-'Entrada das massas'!C13)+($B$5*$C$6)-($B$6*$C$6))/($B$5-$B$6)),IF('Entrada das massas'!C13&lt;=$B$5,'Entrada das massas'!C13-$C$5))))))))))))))))</f>
        <v>15.094759810500001</v>
      </c>
      <c r="C33" s="112">
        <f>(IF(AND(B33&lt;=$B$20,B33&gt;$B$19),$D$19+($B$19-B33)/($B$19-$B$20)*($D$20-$D$19),IF(AND(B33&lt;=$B$19,B33&gt;$B$18),$D$18+($B$18-B33)/($B$18-$B$19)*($D$19-$D$18),IF(AND(B33&lt;=$B$18,B33&gt;$B$17),$D$17+($B$17-B33)/($B$17-$B$18)*($D$18-$D$17),IF(AND(B33&lt;=$B$17,B33&gt;$B$16),$D$16+($B$16-B33)/($B$16-$B$17)*($D$17-$D$16),IF(AND(B33&lt;=$B$16,B33&gt;$B$15),$D$15+($B$15-B33)/($B$15-$B$16)*($D$16-$D$15),IF(AND(B33&lt;=$B$15,B33&gt;$B$14),$D$14+($B$14-B33)/($B$14-$B$15)*($D$15-$D$14),IF(AND(B33&lt;=$B$14,B33&gt;$B$13),$D$13+($B$13-B33)/($B$13-$B$14)*($D$14-$D$13),IF(AND(B33&lt;=$B$13,B33&gt;$B$12),$D$12+($B$12-B33)/($B$12-$B$13)*($D$13-$D$12),IF(AND(B33&lt;=$B$12,B33&gt;$B$11),$D$11+($B$11-B33)/($B$11-$B$12)*($D$12-$D$11),IF(AND(B33&lt;=$B$11,B33&gt;$B$10),$D$10+($B$10-B33)/($B$10-$B$11)*($D$11-$D$10),IF(AND(B33&lt;=$B$10,B33&gt;$B$9),$D$9+($B$9-B33)/($B$9-$B$10)*($D$10-$D$9),IF(AND(B33&lt;=$B$9,B33&gt;$B$8),$D$8+($B$8-B33)/($B$8-$B$9)*($D$9-$D$8),IF(AND(B33&lt;=$B$8,B33&gt;$B$7),$D$7+($B$7-B33)/($B$7-$B$8)*($D$8-$D$7),IF(AND(B33&lt;=$B$7,B33&gt;$B$6),$D$6+($B$6-B33)/($B$6-$B$7)*($D$7-$D$6),IF(B33&lt;=$B$6,$D$6))))))))))))))))</f>
        <v>1.0000000000000001E-5</v>
      </c>
      <c r="D33" s="113" t="s">
        <v>44</v>
      </c>
      <c r="E33" s="119">
        <f>B33-B32</f>
        <v>0.19972960054000133</v>
      </c>
      <c r="F33" s="112">
        <f>SQRT(SUMSQ(C32:C33))</f>
        <v>1.4142135623730951E-5</v>
      </c>
      <c r="H33" s="115" t="str">
        <f>IF(I31="","","Frasco + Amostra")</f>
        <v>Frasco + Amostra</v>
      </c>
      <c r="I33" s="116">
        <f>IF('Entrada das massas'!I13="","",IF(AND('Entrada das massas'!I13&lt;=$B$20,'Entrada das massas'!I13&gt;$B$19),'Entrada das massas'!I13-((($C$20-$C$19)*($B$20-'Entrada das massas'!I13)+($B$19*$C$20)-($B$20*$C$20))/($B$19-$B$20)),IF(AND('Entrada das massas'!I13&lt;=$B$19,'Entrada das massas'!I13&gt;$B$18),'Entrada das massas'!I13-((($C$19-$C$18)*($B$19-'Entrada das massas'!I13)+($B$18*$C$19)-($B$19*$C$19))/($B$18-$B$19)),IF(AND('Entrada das massas'!I13&lt;=$B$18,'Entrada das massas'!I13&gt;$B$17),'Entrada das massas'!I13-((($C$18-$C$17)*($B$18-'Entrada das massas'!I13)+($B$17*$C$18)-($B$18*$C$18))/($B$17-$B$18)),IF(AND('Entrada das massas'!I13&lt;=$B$17,'Entrada das massas'!I13&gt;$B$16),'Entrada das massas'!I13-((($C$17-$C$16)*($B$17-'Entrada das massas'!I13)+($B$16*$C$17)-($B$17*$C$17))/($B$16-$B$17)),IF(AND('Entrada das massas'!I13&lt;=$B$16,'Entrada das massas'!I13&gt;$B$15),'Entrada das massas'!I13-((($C$16-$C$15)*($B$16-'Entrada das massas'!I13)+($B$15*$C$16)-($B$16*$C$16))/($B$15-$B$16)),IF(AND('Entrada das massas'!I13&lt;=$B$15,'Entrada das massas'!I13&gt;$B$14),'Entrada das massas'!I13-((($C$15-$C$14)*($B$15-'Entrada das massas'!I13)+($B$14*$C$15)-($B$15*$C$15))/($B$14-$B$15)),IF(AND('Entrada das massas'!I13&lt;=$B$14,'Entrada das massas'!I13&gt;$B$13),'Entrada das massas'!I13-((($C$14-$C$13)*($B$14-'Entrada das massas'!I13)+($B$13*$C$14)-($B$14*$C$14))/($B$13-$B$14)),IF(AND('Entrada das massas'!I13&lt;=$B$13,'Entrada das massas'!I13&gt;$B$12),'Entrada das massas'!I13-((($C$13-$C$12)*($B$13-'Entrada das massas'!I13)+($B$12*$C$13)-($B$13*$C$13))/($B$12-$B$13)),IF(AND('Entrada das massas'!I13&lt;=$B$12,'Entrada das massas'!I13&gt;$B$11),'Entrada das massas'!I13-((($C$12-$C$11)*($B$12-'Entrada das massas'!I13)+($B$11*$C$12)-($B$12*$C$12))/($B$11-$B$12)),IF(AND('Entrada das massas'!I13&lt;=$B$11,'Entrada das massas'!I13&gt;$B$10),'Entrada das massas'!I13-((($C$11-$C$10)*($B$11-'Entrada das massas'!I13)+($B$10*$C$11)-($B$11*$C$11))/($B$10-$B$11)),IF(AND('Entrada das massas'!I13&lt;=$B$10,'Entrada das massas'!I13&gt;$B$9),'Entrada das massas'!I13-((($C$10-$C$9)*($B$10-'Entrada das massas'!I13)+($B$9*$C$10)-($B$10*$C$10))/($B$9-$B$10)),IF(AND('Entrada das massas'!I13&lt;=$B$9,'Entrada das massas'!I13&gt;$B$8),'Entrada das massas'!I13-((($C$9-$C$8)*($B$9-'Entrada das massas'!I13)+($B$8*$C$9)-($B$9*$C$9))/($B$8-$B$9)),IF(AND('Entrada das massas'!I13&lt;=$B$8,'Entrada das massas'!I13&gt;$B$7),'Entrada das massas'!I13-((($C$8-$C$7)*($B$8-'Entrada das massas'!I13)+($B$7*$C$8)-($B$8*$C$8))/($B$7-$B$8)),IF(AND('Entrada das massas'!I13&lt;=$B$7,'Entrada das massas'!I13&gt;$B$6),'Entrada das massas'!I13-((($C$7-$C$6)*($B$7-'Entrada das massas'!I13)+($B$6*$C$7)-($B$7*$C$7))/($B$6-$B$7)),IF(AND('Entrada das massas'!I13&lt;=$B$6,'Entrada das massas'!I13&gt;$B$5),'Entrada das massas'!I13-((($C$6-$C$5)*($B$6-'Entrada das massas'!I13)+($B$5*$C$6)-($B$6*$C$6))/($B$5-$B$6)),IF('Entrada das massas'!I13&lt;=$B$5,'Entrada das massas'!I13-$C$5)))))))))))))))))</f>
        <v>12.637684724659998</v>
      </c>
      <c r="J33" s="117">
        <f t="shared" ref="J33:J34" si="6">IF(I33="","",(IF(AND(I33&lt;=$B$20,I33&gt;$B$19),$D$19+($B$19-I33)/($B$19-$B$20)*($D$20-$D$19),IF(AND(I33&lt;=$B$19,I33&gt;$B$18),$D$18+($B$18-I33)/($B$18-$B$19)*($D$19-$D$18),IF(AND(I33&lt;=$B$18,I33&gt;$B$17),$D$17+($B$17-I33)/($B$17-$B$18)*($D$18-$D$17),IF(AND(I33&lt;=$B$17,I33&gt;$B$16),$D$16+($B$16-I33)/($B$16-$B$17)*($D$17-$D$16),IF(AND(I33&lt;=$B$16,I33&gt;$B$15),$D$15+($B$15-I33)/($B$15-$B$16)*($D$16-$D$15),IF(AND(I33&lt;=$B$15,I33&gt;$B$14),$D$14+($B$14-I33)/($B$14-$B$15)*($D$15-$D$14),IF(AND(I33&lt;=$B$14,I33&gt;$B$13),$D$13+($B$13-I33)/($B$13-$B$14)*($D$14-$D$13),IF(AND(I33&lt;=$B$13,I33&gt;$B$12),$D$12+($B$12-I33)/($B$12-$B$13)*($D$13-$D$12),IF(AND(I33&lt;=$B$12,I33&gt;$B$11),$D$11+($B$11-I33)/($B$11-$B$12)*($D$12-$D$11),IF(AND(I33&lt;=$B$11,I33&gt;$B$10),$D$10+($B$10-I33)/($B$10-$B$11)*($D$11-$D$10),IF(AND(I33&lt;=$B$10,I33&gt;$B$9),$D$9+($B$9-I33)/($B$9-$B$10)*($D$10-$D$9),IF(AND(I33&lt;=$B$9,I33&gt;$B$8),$D$8+($B$8-I33)/($B$8-$B$9)*($D$9-$D$8),IF(AND(I33&lt;=$B$8,I33&gt;$B$7),$D$7+($B$7-I33)/($B$7-$B$8)*($D$8-$D$7),IF(AND(I33&lt;=$B$7,I33&gt;$B$6),$D$6+($B$6-I33)/($B$6-$B$7)*($D$7-$D$6),IF(I33&lt;=$B$6,$D$6)))))))))))))))))</f>
        <v>1.0000000000000001E-5</v>
      </c>
      <c r="K33" s="120">
        <f>IF(I32="","",I33-I32)</f>
        <v>0.29903940191999823</v>
      </c>
      <c r="L33" s="117">
        <f>IF(J32="","",SQRT(SUMSQ(J32:J33)))</f>
        <v>1.4142135623730951E-5</v>
      </c>
      <c r="M33" s="93" t="str">
        <f>IF(I31="","","Amostra")</f>
        <v>Amostra</v>
      </c>
      <c r="N33" s="118"/>
      <c r="O33" s="115" t="str">
        <f>IF(P31="","","Frasco + Amostra")</f>
        <v>Frasco + Amostra</v>
      </c>
      <c r="P33" s="95" t="str">
        <f>IF('Entrada das massas'!N13="","",IF(AND('Entrada das massas'!N13&lt;=$B$20,'Entrada das massas'!N13&gt;$B$19),'Entrada das massas'!N13-((($C$20-$C$19)*($B$20-'Entrada das massas'!N13)+($B$19*$C$20)-($B$20*$C$20))/($B$19-$B$20)),IF(AND('Entrada das massas'!N13&lt;=$B$19,'Entrada das massas'!N13&gt;$B$18),'Entrada das massas'!N13-((($C$19-$C$18)*($B$19-'Entrada das massas'!N13)+($B$18*$C$19)-($B$19*$C$19))/($B$18-$B$19)),IF(AND('Entrada das massas'!N13&lt;=$B$18,'Entrada das massas'!N13&gt;$B$17),'Entrada das massas'!N13-((($C$18-$C$17)*($B$18-'Entrada das massas'!N13)+($B$17*$C$18)-($B$18*$C$18))/($B$17-$B$18)),IF(AND('Entrada das massas'!N13&lt;=$B$17,'Entrada das massas'!N13&gt;$B$16),'Entrada das massas'!N13-((($C$17-$C$16)*($B$17-'Entrada das massas'!N13)+($B$16*$C$17)-($B$17*$C$17))/($B$16-$B$17)),IF(AND('Entrada das massas'!N13&lt;=$B$16,'Entrada das massas'!N13&gt;$B$15),'Entrada das massas'!N13-((($C$16-$C$15)*($B$16-'Entrada das massas'!N13)+($B$15*$C$16)-($B$16*$C$16))/($B$15-$B$16)),IF(AND('Entrada das massas'!N13&lt;=$B$15,'Entrada das massas'!N13&gt;$B$14),'Entrada das massas'!N13-((($C$15-$C$14)*($B$15-'Entrada das massas'!N13)+($B$14*$C$15)-($B$15*$C$15))/($B$14-$B$15)),IF(AND('Entrada das massas'!N13&lt;=$B$14,'Entrada das massas'!N13&gt;$B$13),'Entrada das massas'!N13-((($C$14-$C$13)*($B$14-'Entrada das massas'!N13)+($B$13*$C$14)-($B$14*$C$14))/($B$13-$B$14)),IF(AND('Entrada das massas'!N13&lt;=$B$13,'Entrada das massas'!N13&gt;$B$12),'Entrada das massas'!N13-((($C$13-$C$12)*($B$13-'Entrada das massas'!N13)+($B$12*$C$13)-($B$13*$C$13))/($B$12-$B$13)),IF(AND('Entrada das massas'!N13&lt;=$B$12,'Entrada das massas'!N13&gt;$B$11),'Entrada das massas'!N13-((($C$12-$C$11)*($B$12-'Entrada das massas'!N13)+($B$11*$C$12)-($B$12*$C$12))/($B$11-$B$12)),IF(AND('Entrada das massas'!N13&lt;=$B$11,'Entrada das massas'!N13&gt;$B$10),'Entrada das massas'!N13-((($C$11-$C$10)*($B$11-'Entrada das massas'!N13)+($B$10*$C$11)-($B$11*$C$11))/($B$10-$B$11)),IF(AND('Entrada das massas'!N13&lt;=$B$10,'Entrada das massas'!N13&gt;$B$9),'Entrada das massas'!N13-((($C$10-$C$9)*($B$10-'Entrada das massas'!N13)+($B$9*$C$10)-($B$10*$C$10))/($B$9-$B$10)),IF(AND('Entrada das massas'!N13&lt;=$B$9,'Entrada das massas'!N13&gt;$B$8),'Entrada das massas'!N13-((($C$9-$C$8)*($B$9-'Entrada das massas'!N13)+($B$8*$C$9)-($B$9*$C$9))/($B$8-$B$9)),IF(AND('Entrada das massas'!N13&lt;=$B$8,'Entrada das massas'!N13&gt;$B$7),'Entrada das massas'!N13-((($C$8-$C$7)*($B$8-'Entrada das massas'!N13)+($B$7*$C$8)-($B$8*$C$8))/($B$7-$B$8)),IF(AND('Entrada das massas'!N13&lt;=$B$7,'Entrada das massas'!N13&gt;$B$6),'Entrada das massas'!N13-((($C$7-$C$6)*($B$7-'Entrada das massas'!N13)+($B$6*$C$7)-($B$7*$C$7))/($B$6-$B$7)),IF(AND('Entrada das massas'!N13&lt;=$B$6,'Entrada das massas'!N13&gt;$B$5),'Entrada das massas'!N13-((($C$6-$C$5)*($B$6-'Entrada das massas'!N13)+($B$5*$C$6)-($B$6*$C$6))/($B$5-$B$6)),IF('Entrada das massas'!N13&lt;=$B$5,'Entrada das massas'!N13-$C$5)))))))))))))))))</f>
        <v/>
      </c>
      <c r="Q33" s="117" t="str">
        <f t="shared" ref="Q33:Q34" si="7">IF(P33="","",(IF(AND(P33&lt;=$B$20,P33&gt;$B$19),$D$19+($B$19-P33)/($B$19-$B$20)*($D$20-$D$19),IF(AND(P33&lt;=$B$19,P33&gt;$B$18),$D$18+($B$18-P33)/($B$18-$B$19)*($D$19-$D$18),IF(AND(P33&lt;=$B$18,P33&gt;$B$17),$D$17+($B$17-P33)/($B$17-$B$18)*($D$18-$D$17),IF(AND(P33&lt;=$B$17,P33&gt;$B$16),$D$16+($B$16-P33)/($B$16-$B$17)*($D$17-$D$16),IF(AND(P33&lt;=$B$16,P33&gt;$B$15),$D$15+($B$15-P33)/($B$15-$B$16)*($D$16-$D$15),IF(AND(P33&lt;=$B$15,P33&gt;$B$14),$D$14+($B$14-P33)/($B$14-$B$15)*($D$15-$D$14),IF(AND(P33&lt;=$B$14,P33&gt;$B$13),$D$13+($B$13-P33)/($B$13-$B$14)*($D$14-$D$13),IF(AND(P33&lt;=$B$13,P33&gt;$B$12),$D$12+($B$12-P33)/($B$12-$B$13)*($D$13-$D$12),IF(AND(P33&lt;=$B$12,P33&gt;$B$11),$D$11+($B$11-P33)/($B$11-$B$12)*($D$12-$D$11),IF(AND(P33&lt;=$B$11,P33&gt;$B$10),$D$10+($B$10-P33)/($B$10-$B$11)*($D$11-$D$10),IF(AND(P33&lt;=$B$10,P33&gt;$B$9),$D$9+($B$9-P33)/($B$9-$B$10)*($D$10-$D$9),IF(AND(P33&lt;=$B$9,P33&gt;$B$8),$D$8+($B$8-P33)/($B$8-$B$9)*($D$9-$D$8),IF(AND(P33&lt;=$B$8,P33&gt;$B$7),$D$7+($B$7-P33)/($B$7-$B$8)*($D$8-$D$7),IF(AND(P33&lt;=$B$7,P33&gt;$B$6),$D$6+($B$6-P33)/($B$6-$B$7)*($D$7-$D$6),IF(P33&lt;=$B$6,$D$6)))))))))))))))))</f>
        <v/>
      </c>
      <c r="R33" s="120" t="str">
        <f>IF(P32="","",P33-P32)</f>
        <v/>
      </c>
      <c r="S33" s="117" t="str">
        <f>IF(Q32="","",SQRT(SUMSQ(Q32:Q33)))</f>
        <v/>
      </c>
      <c r="T33" s="93" t="str">
        <f>IF(P31="","","Amostra")</f>
        <v>Amostra</v>
      </c>
      <c r="U33" s="118"/>
      <c r="V33" s="115" t="str">
        <f>IF(W31="","","Frasco + Amostra")</f>
        <v/>
      </c>
      <c r="W33" s="95" t="str">
        <f>IF('Entrada das massas'!S13="","",IF(AND('Entrada das massas'!S13&lt;=$B$20,'Entrada das massas'!S13&gt;$B$19),'Entrada das massas'!S13-((($C$20-$C$19)*($B$20-'Entrada das massas'!S13)+($B$19*$C$20)-($B$20*$C$20))/($B$19-$B$20)),IF(AND('Entrada das massas'!S13&lt;=$B$19,'Entrada das massas'!S13&gt;$B$18),'Entrada das massas'!S13-((($C$19-$C$18)*($B$19-'Entrada das massas'!S13)+($B$18*$C$19)-($B$19*$C$19))/($B$18-$B$19)),IF(AND('Entrada das massas'!S13&lt;=$B$18,'Entrada das massas'!S13&gt;$B$17),'Entrada das massas'!S13-((($C$18-$C$17)*($B$18-'Entrada das massas'!S13)+($B$17*$C$18)-($B$18*$C$18))/($B$17-$B$18)),IF(AND('Entrada das massas'!S13&lt;=$B$17,'Entrada das massas'!S13&gt;$B$16),'Entrada das massas'!S13-((($C$17-$C$16)*($B$17-'Entrada das massas'!S13)+($B$16*$C$17)-($B$17*$C$17))/($B$16-$B$17)),IF(AND('Entrada das massas'!S13&lt;=$B$16,'Entrada das massas'!S13&gt;$B$15),'Entrada das massas'!S13-((($C$16-$C$15)*($B$16-'Entrada das massas'!S13)+($B$15*$C$16)-($B$16*$C$16))/($B$15-$B$16)),IF(AND('Entrada das massas'!S13&lt;=$B$15,'Entrada das massas'!S13&gt;$B$14),'Entrada das massas'!S13-((($C$15-$C$14)*($B$15-'Entrada das massas'!S13)+($B$14*$C$15)-($B$15*$C$15))/($B$14-$B$15)),IF(AND('Entrada das massas'!S13&lt;=$B$14,'Entrada das massas'!S13&gt;$B$13),'Entrada das massas'!S13-((($C$14-$C$13)*($B$14-'Entrada das massas'!S13)+($B$13*$C$14)-($B$14*$C$14))/($B$13-$B$14)),IF(AND('Entrada das massas'!S13&lt;=$B$13,'Entrada das massas'!S13&gt;$B$12),'Entrada das massas'!S13-((($C$13-$C$12)*($B$13-'Entrada das massas'!S13)+($B$12*$C$13)-($B$13*$C$13))/($B$12-$B$13)),IF(AND('Entrada das massas'!S13&lt;=$B$12,'Entrada das massas'!S13&gt;$B$11),'Entrada das massas'!S13-((($C$12-$C$11)*($B$12-'Entrada das massas'!S13)+($B$11*$C$12)-($B$12*$C$12))/($B$11-$B$12)),IF(AND('Entrada das massas'!S13&lt;=$B$11,'Entrada das massas'!S13&gt;$B$10),'Entrada das massas'!S13-((($C$11-$C$10)*($B$11-'Entrada das massas'!S13)+($B$10*$C$11)-($B$11*$C$11))/($B$10-$B$11)),IF(AND('Entrada das massas'!S13&lt;=$B$10,'Entrada das massas'!S13&gt;$B$9),'Entrada das massas'!S13-((($C$10-$C$9)*($B$10-'Entrada das massas'!S13)+($B$9*$C$10)-($B$10*$C$10))/($B$9-$B$10)),IF(AND('Entrada das massas'!S13&lt;=$B$9,'Entrada das massas'!S13&gt;$B$8),'Entrada das massas'!S13-((($C$9-$C$8)*($B$9-'Entrada das massas'!S13)+($B$8*$C$9)-($B$9*$C$9))/($B$8-$B$9)),IF(AND('Entrada das massas'!S13&lt;=$B$8,'Entrada das massas'!S13&gt;$B$7),'Entrada das massas'!S13-((($C$8-$C$7)*($B$8-'Entrada das massas'!S13)+($B$7*$C$8)-($B$8*$C$8))/($B$7-$B$8)),IF(AND('Entrada das massas'!S13&lt;=$B$7,'Entrada das massas'!S13&gt;$B$6),'Entrada das massas'!S13-((($C$7-$C$6)*($B$7-'Entrada das massas'!S13)+($B$6*$C$7)-($B$7*$C$7))/($B$6-$B$7)),IF(AND('Entrada das massas'!S13&lt;=$B$6,'Entrada das massas'!S13&gt;$B$5),'Entrada das massas'!S13-((($C$6-$C$5)*($B$6-'Entrada das massas'!S13)+($B$5*$C$6)-($B$6*$C$6))/($B$5-$B$6)),IF('Entrada das massas'!S13&lt;=$B$5,'Entrada das massas'!S13-$C$5)))))))))))))))))</f>
        <v/>
      </c>
      <c r="X33" s="117" t="str">
        <f t="shared" ref="X33:X34" si="8">IF(W33="","",(IF(AND(W33&lt;=$B$20,W33&gt;$B$19),$D$19+($B$19-W33)/($B$19-$B$20)*($D$20-$D$19),IF(AND(W33&lt;=$B$19,W33&gt;$B$18),$D$18+($B$18-W33)/($B$18-$B$19)*($D$19-$D$18),IF(AND(W33&lt;=$B$18,W33&gt;$B$17),$D$17+($B$17-W33)/($B$17-$B$18)*($D$18-$D$17),IF(AND(W33&lt;=$B$17,W33&gt;$B$16),$D$16+($B$16-W33)/($B$16-$B$17)*($D$17-$D$16),IF(AND(W33&lt;=$B$16,W33&gt;$B$15),$D$15+($B$15-W33)/($B$15-$B$16)*($D$16-$D$15),IF(AND(W33&lt;=$B$15,W33&gt;$B$14),$D$14+($B$14-W33)/($B$14-$B$15)*($D$15-$D$14),IF(AND(W33&lt;=$B$14,W33&gt;$B$13),$D$13+($B$13-W33)/($B$13-$B$14)*($D$14-$D$13),IF(AND(W33&lt;=$B$13,W33&gt;$B$12),$D$12+($B$12-W33)/($B$12-$B$13)*($D$13-$D$12),IF(AND(W33&lt;=$B$12,W33&gt;$B$11),$D$11+($B$11-W33)/($B$11-$B$12)*($D$12-$D$11),IF(AND(W33&lt;=$B$11,W33&gt;$B$10),$D$10+($B$10-W33)/($B$10-$B$11)*($D$11-$D$10),IF(AND(W33&lt;=$B$10,W33&gt;$B$9),$D$9+($B$9-W33)/($B$9-$B$10)*($D$10-$D$9),IF(AND(W33&lt;=$B$9,W33&gt;$B$8),$D$8+($B$8-W33)/($B$8-$B$9)*($D$9-$D$8),IF(AND(W33&lt;=$B$8,W33&gt;$B$7),$D$7+($B$7-W33)/($B$7-$B$8)*($D$8-$D$7),IF(AND(W33&lt;=$B$7,W33&gt;$B$6),$D$6+($B$6-W33)/($B$6-$B$7)*($D$7-$D$6),IF(W33&lt;=$B$6,$D$6)))))))))))))))))</f>
        <v/>
      </c>
      <c r="Y33" s="120" t="str">
        <f>IF(W32="","",W33-W32)</f>
        <v/>
      </c>
      <c r="Z33" s="117" t="str">
        <f>IF(X32="","",SQRT(SUMSQ(X32:X33)))</f>
        <v/>
      </c>
      <c r="AA33" s="93" t="str">
        <f>IF(W31="","","Amostra")</f>
        <v/>
      </c>
      <c r="AB33" s="106"/>
      <c r="AC33" s="101"/>
      <c r="AD33" s="101"/>
      <c r="AE33" s="133"/>
      <c r="AF33" s="134"/>
      <c r="AG33" s="135"/>
      <c r="AH33" s="101"/>
      <c r="AI33" s="134"/>
      <c r="AJ33" s="101"/>
      <c r="AK33" s="101"/>
      <c r="AL33" s="101"/>
      <c r="AM33" s="98"/>
      <c r="AN33" s="136"/>
      <c r="AO33" s="98"/>
      <c r="AP33" s="98"/>
      <c r="AQ33" s="98"/>
      <c r="AR33" s="98"/>
      <c r="AS33" s="98"/>
      <c r="AT33" s="98"/>
    </row>
    <row r="34" spans="1:46" x14ac:dyDescent="0.2">
      <c r="A34" s="122" t="s">
        <v>58</v>
      </c>
      <c r="B34" s="111">
        <f>IF(AND('Entrada das massas'!C14&lt;=$B$20,'Entrada das massas'!C14&gt;$B$19),'Entrada das massas'!C14-((($C$20-$C$19)*($B$20-'Entrada das massas'!C14)+($B$19*$C$20)-($B$20*$C$20))/($B$19-$B$20)),IF(AND('Entrada das massas'!C14&lt;=$B$19,'Entrada das massas'!C14&gt;$B$18),'Entrada das massas'!C14-((($C$19-$C$18)*($B$19-'Entrada das massas'!C14)+($B$18*$C$19)-($B$19*$C$19))/($B$18-$B$19)),IF(AND('Entrada das massas'!C14&lt;=$B$18,'Entrada das massas'!C14&gt;$B$17),'Entrada das massas'!C14-((($C$18-$C$17)*($B$18-'Entrada das massas'!C14)+($B$17*$C$18)-($B$18*$C$18))/($B$17-$B$18)),IF(AND('Entrada das massas'!C14&lt;=$B$17,'Entrada das massas'!C14&gt;$B$16),'Entrada das massas'!C14-((($C$17-$C$16)*($B$17-'Entrada das massas'!C14)+($B$16*$C$17)-($B$17*$C$17))/($B$16-$B$17)),IF(AND('Entrada das massas'!C14&lt;=$B$16,'Entrada das massas'!C14&gt;$B$15),'Entrada das massas'!C14-((($C$16-$C$15)*($B$16-'Entrada das massas'!C14)+($B$15*$C$16)-($B$16*$C$16))/($B$15-$B$16)),IF(AND('Entrada das massas'!C14&lt;=$B$15,'Entrada das massas'!C14&gt;$B$14),'Entrada das massas'!C14-((($C$15-$C$14)*($B$15-'Entrada das massas'!C14)+($B$14*$C$15)-($B$15*$C$15))/($B$14-$B$15)),IF(AND('Entrada das massas'!C14&lt;=$B$14,'Entrada das massas'!C14&gt;$B$13),'Entrada das massas'!C14-((($C$14-$C$13)*($B$14-'Entrada das massas'!C14)+($B$13*$C$14)-($B$14*$C$14))/($B$13-$B$14)),IF(AND('Entrada das massas'!C14&lt;=$B$13,'Entrada das massas'!C14&gt;$B$12),'Entrada das massas'!C14-((($C$13-$C$12)*($B$13-'Entrada das massas'!C14)+($B$12*$C$13)-($B$13*$C$13))/($B$12-$B$13)),IF(AND('Entrada das massas'!C14&lt;=$B$12,'Entrada das massas'!C14&gt;$B$11),'Entrada das massas'!C14-((($C$12-$C$11)*($B$12-'Entrada das massas'!C14)+($B$11*$C$12)-($B$12*$C$12))/($B$11-$B$12)), IF(AND('Entrada das massas'!C14&lt;=$B$11,'Entrada das massas'!C14&gt;$B$10),'Entrada das massas'!C14-((($C$11-$C$10)*($B$11-'Entrada das massas'!C14)+($B$10*$C$11)-($B$11*$C$11))/($B$10-$B$11)),IF(AND('Entrada das massas'!C14&lt;=$B$10,'Entrada das massas'!C14&gt;$B$9),'Entrada das massas'!C14-((($C$10-$C$9)*($B$10-'Entrada das massas'!C14)+($B$9*$C$10)-($B$10*$C$10))/($B$9-$B$10)),IF(AND('Entrada das massas'!C14&lt;=$B$9,'Entrada das massas'!C14&gt;$B$8),'Entrada das massas'!C14-((($C$9-$C$8)*($B$9-'Entrada das massas'!C14)+($B$8*$C$9)-($B$9*$C$9))/($B$8-$B$9)),IF(AND('Entrada das massas'!C14&lt;=$B$8,'Entrada das massas'!C14&gt;$B$7),'Entrada das massas'!C14-((($C$8-$C$7)*($B$8-'Entrada das massas'!C14)+($B$7*$C$8)-($B$8*$C$8))/($B$7-$B$8)),IF(AND('Entrada das massas'!C14&lt;=$B$7,'Entrada das massas'!C14&gt;$B$6),'Entrada das massas'!C14-((($C$7-$C$6)*($B$7-'Entrada das massas'!C14)+($B$6*$C$7)-($B$7*$C$7))/($B$6-$B$7)),IF(AND('Entrada das massas'!C14&lt;=$B$6,'Entrada das massas'!C14&gt;$B$5),'Entrada das massas'!C14-((($C$6-$C$5)*($B$6-'Entrada das massas'!C14)+($B$5*$C$6)-($B$6*$C$6))/($B$5-$B$6)),IF('Entrada das massas'!C14&lt;=$B$5,'Entrada das massas'!C14-$C$5))))))))))))))))</f>
        <v>65.826155826120001</v>
      </c>
      <c r="C34" s="112">
        <f>(IF(AND(B34&lt;=$B$20,B34&gt;$B$19),$D$19+($B$19-B34)/($B$19-$B$20)*($D$20-$D$19),IF(AND(B34&lt;=$B$19,B34&gt;$B$18),$D$18+($B$18-B34)/($B$18-$B$19)*($D$19-$D$18),IF(AND(B34&lt;=$B$18,B34&gt;$B$17),$D$17+($B$17-B34)/($B$17-$B$18)*($D$18-$D$17),IF(AND(B34&lt;=$B$17,B34&gt;$B$16),$D$16+($B$16-B34)/($B$16-$B$17)*($D$17-$D$16),IF(AND(B34&lt;=$B$16,B34&gt;$B$15),$D$15+($B$15-B34)/($B$15-$B$16)*($D$16-$D$15),IF(AND(B34&lt;=$B$15,B34&gt;$B$14),$D$14+($B$14-B34)/($B$14-$B$15)*($D$15-$D$14),IF(AND(B34&lt;=$B$14,B34&gt;$B$13),$D$13+($B$13-B34)/($B$13-$B$14)*($D$14-$D$13),IF(AND(B34&lt;=$B$13,B34&gt;$B$12),$D$12+($B$12-B34)/($B$12-$B$13)*($D$13-$D$12),IF(AND(B34&lt;=$B$12,B34&gt;$B$11),$D$11+($B$11-B34)/($B$11-$B$12)*($D$12-$D$11),IF(AND(B34&lt;=$B$11,B34&gt;$B$10),$D$10+($B$10-B34)/($B$10-$B$11)*($D$11-$D$10),IF(AND(B34&lt;=$B$10,B34&gt;$B$9),$D$9+($B$9-B34)/($B$9-$B$10)*($D$10-$D$9),IF(AND(B34&lt;=$B$9,B34&gt;$B$8),$D$8+($B$8-B34)/($B$8-$B$9)*($D$9-$D$8),IF(AND(B34&lt;=$B$8,B34&gt;$B$7),$D$7+($B$7-B34)/($B$7-$B$8)*($D$8-$D$7),IF(AND(B34&lt;=$B$7,B34&gt;$B$6),$D$6+($B$6-B34)/($B$6-$B$7)*($D$7-$D$6),IF(B34&lt;=$B$6,$D$6))))))))))))))))</f>
        <v>2.5000000000000001E-5</v>
      </c>
      <c r="D34" s="113" t="s">
        <v>82</v>
      </c>
      <c r="E34" s="119">
        <f>B34-B32</f>
        <v>50.931125616160003</v>
      </c>
      <c r="F34" s="112">
        <f>SQRT(SUMSQ(C32,C34))</f>
        <v>2.6925824035672523E-5</v>
      </c>
      <c r="H34" s="123" t="str">
        <f>IF(I31="","","Massa final")</f>
        <v>Massa final</v>
      </c>
      <c r="I34" s="116">
        <f>IF('Entrada das massas'!I14="","",IF(AND('Entrada das massas'!I14&lt;=$B$20,'Entrada das massas'!I14&gt;$B$19),'Entrada das massas'!I14-((($C$20-$C$19)*($B$20-'Entrada das massas'!I14)+($B$19*$C$20)-($B$20*$C$20))/($B$19-$B$20)),IF(AND('Entrada das massas'!I14&lt;=$B$19,'Entrada das massas'!I14&gt;$B$18),'Entrada das massas'!I14-((($C$19-$C$18)*($B$19-'Entrada das massas'!I14)+($B$18*$C$19)-($B$19*$C$19))/($B$18-$B$19)),IF(AND('Entrada das massas'!I14&lt;=$B$18,'Entrada das massas'!I14&gt;$B$17),'Entrada das massas'!I14-((($C$18-$C$17)*($B$18-'Entrada das massas'!I14)+($B$17*$C$18)-($B$18*$C$18))/($B$17-$B$18)),IF(AND('Entrada das massas'!I14&lt;=$B$17,'Entrada das massas'!I14&gt;$B$16),'Entrada das massas'!I14-((($C$17-$C$16)*($B$17-'Entrada das massas'!I14)+($B$16*$C$17)-($B$17*$C$17))/($B$16-$B$17)),IF(AND('Entrada das massas'!I14&lt;=$B$16,'Entrada das massas'!I14&gt;$B$15),'Entrada das massas'!I14-((($C$16-$C$15)*($B$16-'Entrada das massas'!I14)+($B$15*$C$16)-($B$16*$C$16))/($B$15-$B$16)),IF(AND('Entrada das massas'!I14&lt;=$B$15,'Entrada das massas'!I14&gt;$B$14),'Entrada das massas'!I14-((($C$15-$C$14)*($B$15-'Entrada das massas'!I14)+($B$14*$C$15)-($B$15*$C$15))/($B$14-$B$15)),IF(AND('Entrada das massas'!I14&lt;=$B$14,'Entrada das massas'!I14&gt;$B$13),'Entrada das massas'!I14-((($C$14-$C$13)*($B$14-'Entrada das massas'!I14)+($B$13*$C$14)-($B$14*$C$14))/($B$13-$B$14)),IF(AND('Entrada das massas'!I14&lt;=$B$13,'Entrada das massas'!I14&gt;$B$12),'Entrada das massas'!I14-((($C$13-$C$12)*($B$13-'Entrada das massas'!I14)+($B$12*$C$13)-($B$13*$C$13))/($B$12-$B$13)),IF(AND('Entrada das massas'!I14&lt;=$B$12,'Entrada das massas'!I14&gt;$B$11),'Entrada das massas'!I14-((($C$12-$C$11)*($B$12-'Entrada das massas'!I14)+($B$11*$C$12)-($B$12*$C$12))/($B$11-$B$12)),IF(AND('Entrada das massas'!I14&lt;=$B$11,'Entrada das massas'!I14&gt;$B$10),'Entrada das massas'!I14-((($C$11-$C$10)*($B$11-'Entrada das massas'!I14)+($B$10*$C$11)-($B$11*$C$11))/($B$10-$B$11)),IF(AND('Entrada das massas'!I14&lt;=$B$10,'Entrada das massas'!I14&gt;$B$9),'Entrada das massas'!I14-((($C$10-$C$9)*($B$10-'Entrada das massas'!I14)+($B$9*$C$10)-($B$10*$C$10))/($B$9-$B$10)),IF(AND('Entrada das massas'!I14&lt;=$B$9,'Entrada das massas'!I14&gt;$B$8),'Entrada das massas'!I14-((($C$9-$C$8)*($B$9-'Entrada das massas'!I14)+($B$8*$C$9)-($B$9*$C$9))/($B$8-$B$9)),IF(AND('Entrada das massas'!I14&lt;=$B$8,'Entrada das massas'!I14&gt;$B$7),'Entrada das massas'!I14-((($C$8-$C$7)*($B$8-'Entrada das massas'!I14)+($B$7*$C$8)-($B$8*$C$8))/($B$7-$B$8)),IF(AND('Entrada das massas'!I14&lt;=$B$7,'Entrada das massas'!I14&gt;$B$6),'Entrada das massas'!I14-((($C$7-$C$6)*($B$7-'Entrada das massas'!I14)+($B$6*$C$7)-($B$7*$C$7))/($B$6-$B$7)),IF(AND('Entrada das massas'!I14&lt;=$B$6,'Entrada das massas'!I14&gt;$B$5),'Entrada das massas'!I14-((($C$6-$C$5)*($B$6-'Entrada das massas'!I14)+($B$5*$C$6)-($B$6*$C$6))/($B$5-$B$6)),IF('Entrada das massas'!I14&lt;=$B$5,'Entrada das massas'!I14-$C$5)))))))))))))))))</f>
        <v>62.546112546080003</v>
      </c>
      <c r="J34" s="117">
        <f t="shared" si="6"/>
        <v>2.5000000000000001E-5</v>
      </c>
      <c r="K34" s="120">
        <f>IF(I32="","",I34-I32)</f>
        <v>50.207467223340004</v>
      </c>
      <c r="L34" s="117">
        <f>IF(J32="","",SQRT(SUMSQ(J32,J34)))</f>
        <v>2.6925824035672523E-5</v>
      </c>
      <c r="M34" s="93" t="str">
        <f>IF(I31="","","Solução")</f>
        <v>Solução</v>
      </c>
      <c r="N34" s="93"/>
      <c r="O34" s="123" t="str">
        <f>IF(P31="","","Massa final")</f>
        <v>Massa final</v>
      </c>
      <c r="P34" s="95" t="str">
        <f>IF('Entrada das massas'!N14="","",IF(AND('Entrada das massas'!N14&lt;=$B$20,'Entrada das massas'!N14&gt;$B$19),'Entrada das massas'!N14-((($C$20-$C$19)*($B$20-'Entrada das massas'!N14)+($B$19*$C$20)-($B$20*$C$20))/($B$19-$B$20)),IF(AND('Entrada das massas'!N14&lt;=$B$19,'Entrada das massas'!N14&gt;$B$18),'Entrada das massas'!N14-((($C$19-$C$18)*($B$19-'Entrada das massas'!N14)+($B$18*$C$19)-($B$19*$C$19))/($B$18-$B$19)),IF(AND('Entrada das massas'!N14&lt;=$B$18,'Entrada das massas'!N14&gt;$B$17),'Entrada das massas'!N14-((($C$18-$C$17)*($B$18-'Entrada das massas'!N14)+($B$17*$C$18)-($B$18*$C$18))/($B$17-$B$18)),IF(AND('Entrada das massas'!N14&lt;=$B$17,'Entrada das massas'!N14&gt;$B$16),'Entrada das massas'!N14-((($C$17-$C$16)*($B$17-'Entrada das massas'!N14)+($B$16*$C$17)-($B$17*$C$17))/($B$16-$B$17)),IF(AND('Entrada das massas'!N14&lt;=$B$16,'Entrada das massas'!N14&gt;$B$15),'Entrada das massas'!N14-((($C$16-$C$15)*($B$16-'Entrada das massas'!N14)+($B$15*$C$16)-($B$16*$C$16))/($B$15-$B$16)),IF(AND('Entrada das massas'!N14&lt;=$B$15,'Entrada das massas'!N14&gt;$B$14),'Entrada das massas'!N14-((($C$15-$C$14)*($B$15-'Entrada das massas'!N14)+($B$14*$C$15)-($B$15*$C$15))/($B$14-$B$15)),IF(AND('Entrada das massas'!N14&lt;=$B$14,'Entrada das massas'!N14&gt;$B$13),'Entrada das massas'!N14-((($C$14-$C$13)*($B$14-'Entrada das massas'!N14)+($B$13*$C$14)-($B$14*$C$14))/($B$13-$B$14)),IF(AND('Entrada das massas'!N14&lt;=$B$13,'Entrada das massas'!N14&gt;$B$12),'Entrada das massas'!N14-((($C$13-$C$12)*($B$13-'Entrada das massas'!N14)+($B$12*$C$13)-($B$13*$C$13))/($B$12-$B$13)),IF(AND('Entrada das massas'!N14&lt;=$B$12,'Entrada das massas'!N14&gt;$B$11),'Entrada das massas'!N14-((($C$12-$C$11)*($B$12-'Entrada das massas'!N14)+($B$11*$C$12)-($B$12*$C$12))/($B$11-$B$12)),IF(AND('Entrada das massas'!N14&lt;=$B$11,'Entrada das massas'!N14&gt;$B$10),'Entrada das massas'!N14-((($C$11-$C$10)*($B$11-'Entrada das massas'!N14)+($B$10*$C$11)-($B$11*$C$11))/($B$10-$B$11)),IF(AND('Entrada das massas'!N14&lt;=$B$10,'Entrada das massas'!N14&gt;$B$9),'Entrada das massas'!N14-((($C$10-$C$9)*($B$10-'Entrada das massas'!N14)+($B$9*$C$10)-($B$10*$C$10))/($B$9-$B$10)),IF(AND('Entrada das massas'!N14&lt;=$B$9,'Entrada das massas'!N14&gt;$B$8),'Entrada das massas'!N14-((($C$9-$C$8)*($B$9-'Entrada das massas'!N14)+($B$8*$C$9)-($B$9*$C$9))/($B$8-$B$9)),IF(AND('Entrada das massas'!N14&lt;=$B$8,'Entrada das massas'!N14&gt;$B$7),'Entrada das massas'!N14-((($C$8-$C$7)*($B$8-'Entrada das massas'!N14)+($B$7*$C$8)-($B$8*$C$8))/($B$7-$B$8)),IF(AND('Entrada das massas'!N14&lt;=$B$7,'Entrada das massas'!N14&gt;$B$6),'Entrada das massas'!N14-((($C$7-$C$6)*($B$7-'Entrada das massas'!N14)+($B$6*$C$7)-($B$7*$C$7))/($B$6-$B$7)),IF(AND('Entrada das massas'!N14&lt;=$B$6,'Entrada das massas'!N14&gt;$B$5),'Entrada das massas'!N14-((($C$6-$C$5)*($B$6-'Entrada das massas'!N14)+($B$5*$C$6)-($B$6*$C$6))/($B$5-$B$6)),IF('Entrada das massas'!N14&lt;=$B$5,'Entrada das massas'!N14-$C$5)))))))))))))))))</f>
        <v/>
      </c>
      <c r="Q34" s="117" t="str">
        <f t="shared" si="7"/>
        <v/>
      </c>
      <c r="R34" s="120" t="str">
        <f>IF(P32="","",P34-P32)</f>
        <v/>
      </c>
      <c r="S34" s="117" t="str">
        <f>IF(Q32="","",SQRT(SUMSQ(Q32,Q34)))</f>
        <v/>
      </c>
      <c r="T34" s="93" t="str">
        <f>IF(P31="","","Solução")</f>
        <v>Solução</v>
      </c>
      <c r="U34" s="93"/>
      <c r="V34" s="123" t="str">
        <f>IF(W31="","","Massa final")</f>
        <v/>
      </c>
      <c r="W34" s="95" t="str">
        <f>IF('Entrada das massas'!S14="","",IF(AND('Entrada das massas'!S14&lt;=$B$20,'Entrada das massas'!S14&gt;$B$19),'Entrada das massas'!S14-((($C$20-$C$19)*($B$20-'Entrada das massas'!S14)+($B$19*$C$20)-($B$20*$C$20))/($B$19-$B$20)),IF(AND('Entrada das massas'!S14&lt;=$B$19,'Entrada das massas'!S14&gt;$B$18),'Entrada das massas'!S14-((($C$19-$C$18)*($B$19-'Entrada das massas'!S14)+($B$18*$C$19)-($B$19*$C$19))/($B$18-$B$19)),IF(AND('Entrada das massas'!S14&lt;=$B$18,'Entrada das massas'!S14&gt;$B$17),'Entrada das massas'!S14-((($C$18-$C$17)*($B$18-'Entrada das massas'!S14)+($B$17*$C$18)-($B$18*$C$18))/($B$17-$B$18)),IF(AND('Entrada das massas'!S14&lt;=$B$17,'Entrada das massas'!S14&gt;$B$16),'Entrada das massas'!S14-((($C$17-$C$16)*($B$17-'Entrada das massas'!S14)+($B$16*$C$17)-($B$17*$C$17))/($B$16-$B$17)),IF(AND('Entrada das massas'!S14&lt;=$B$16,'Entrada das massas'!S14&gt;$B$15),'Entrada das massas'!S14-((($C$16-$C$15)*($B$16-'Entrada das massas'!S14)+($B$15*$C$16)-($B$16*$C$16))/($B$15-$B$16)),IF(AND('Entrada das massas'!S14&lt;=$B$15,'Entrada das massas'!S14&gt;$B$14),'Entrada das massas'!S14-((($C$15-$C$14)*($B$15-'Entrada das massas'!S14)+($B$14*$C$15)-($B$15*$C$15))/($B$14-$B$15)),IF(AND('Entrada das massas'!S14&lt;=$B$14,'Entrada das massas'!S14&gt;$B$13),'Entrada das massas'!S14-((($C$14-$C$13)*($B$14-'Entrada das massas'!S14)+($B$13*$C$14)-($B$14*$C$14))/($B$13-$B$14)),IF(AND('Entrada das massas'!S14&lt;=$B$13,'Entrada das massas'!S14&gt;$B$12),'Entrada das massas'!S14-((($C$13-$C$12)*($B$13-'Entrada das massas'!S14)+($B$12*$C$13)-($B$13*$C$13))/($B$12-$B$13)),IF(AND('Entrada das massas'!S14&lt;=$B$12,'Entrada das massas'!S14&gt;$B$11),'Entrada das massas'!S14-((($C$12-$C$11)*($B$12-'Entrada das massas'!S14)+($B$11*$C$12)-($B$12*$C$12))/($B$11-$B$12)),IF(AND('Entrada das massas'!S14&lt;=$B$11,'Entrada das massas'!S14&gt;$B$10),'Entrada das massas'!S14-((($C$11-$C$10)*($B$11-'Entrada das massas'!S14)+($B$10*$C$11)-($B$11*$C$11))/($B$10-$B$11)),IF(AND('Entrada das massas'!S14&lt;=$B$10,'Entrada das massas'!S14&gt;$B$9),'Entrada das massas'!S14-((($C$10-$C$9)*($B$10-'Entrada das massas'!S14)+($B$9*$C$10)-($B$10*$C$10))/($B$9-$B$10)),IF(AND('Entrada das massas'!S14&lt;=$B$9,'Entrada das massas'!S14&gt;$B$8),'Entrada das massas'!S14-((($C$9-$C$8)*($B$9-'Entrada das massas'!S14)+($B$8*$C$9)-($B$9*$C$9))/($B$8-$B$9)),IF(AND('Entrada das massas'!S14&lt;=$B$8,'Entrada das massas'!S14&gt;$B$7),'Entrada das massas'!S14-((($C$8-$C$7)*($B$8-'Entrada das massas'!S14)+($B$7*$C$8)-($B$8*$C$8))/($B$7-$B$8)),IF(AND('Entrada das massas'!S14&lt;=$B$7,'Entrada das massas'!S14&gt;$B$6),'Entrada das massas'!S14-((($C$7-$C$6)*($B$7-'Entrada das massas'!S14)+($B$6*$C$7)-($B$7*$C$7))/($B$6-$B$7)),IF(AND('Entrada das massas'!S14&lt;=$B$6,'Entrada das massas'!S14&gt;$B$5),'Entrada das massas'!S14-((($C$6-$C$5)*($B$6-'Entrada das massas'!S14)+($B$5*$C$6)-($B$6*$C$6))/($B$5-$B$6)),IF('Entrada das massas'!S14&lt;=$B$5,'Entrada das massas'!S14-$C$5)))))))))))))))))</f>
        <v/>
      </c>
      <c r="X34" s="117" t="str">
        <f t="shared" si="8"/>
        <v/>
      </c>
      <c r="Y34" s="120" t="str">
        <f>IF(W32="","",W34-W32)</f>
        <v/>
      </c>
      <c r="Z34" s="117" t="str">
        <f>IF(X32="","",SQRT(SUMSQ(X32,X34)))</f>
        <v/>
      </c>
      <c r="AA34" s="93" t="str">
        <f>IF(W31="","","Solução")</f>
        <v/>
      </c>
      <c r="AB34" s="106"/>
      <c r="AC34" s="101"/>
      <c r="AD34" s="102"/>
      <c r="AE34" s="133"/>
      <c r="AF34" s="134"/>
      <c r="AG34" s="135"/>
      <c r="AH34" s="101"/>
      <c r="AI34" s="137"/>
      <c r="AJ34" s="101"/>
      <c r="AK34" s="101"/>
      <c r="AL34" s="101"/>
      <c r="AM34" s="98"/>
      <c r="AN34" s="138"/>
      <c r="AO34" s="98"/>
      <c r="AP34" s="98"/>
      <c r="AQ34" s="98"/>
      <c r="AR34" s="98"/>
      <c r="AS34" s="98"/>
      <c r="AT34" s="98"/>
    </row>
    <row r="35" spans="1:46" ht="13.5" thickBot="1" x14ac:dyDescent="0.25">
      <c r="A35" s="123"/>
      <c r="B35" s="116"/>
      <c r="C35" s="117"/>
      <c r="D35" s="98"/>
      <c r="E35" s="95"/>
      <c r="F35" s="117"/>
      <c r="H35" s="98"/>
      <c r="I35" s="93"/>
      <c r="J35" s="139"/>
      <c r="K35" s="139"/>
      <c r="L35" s="139"/>
      <c r="M35" s="98"/>
      <c r="N35" s="98"/>
      <c r="O35" s="98"/>
      <c r="P35" s="93"/>
      <c r="Q35" s="120"/>
      <c r="R35" s="120"/>
      <c r="S35" s="120"/>
      <c r="T35" s="98"/>
      <c r="U35" s="98"/>
      <c r="V35" s="98"/>
      <c r="W35" s="93"/>
      <c r="X35" s="120"/>
      <c r="Y35" s="120"/>
      <c r="Z35" s="120"/>
      <c r="AA35" s="98"/>
      <c r="AB35" s="106"/>
      <c r="AC35" s="101"/>
      <c r="AD35" s="101"/>
      <c r="AE35" s="133"/>
      <c r="AF35" s="134"/>
      <c r="AG35" s="135"/>
      <c r="AH35" s="101"/>
      <c r="AI35" s="134"/>
      <c r="AJ35" s="101"/>
      <c r="AK35" s="101"/>
      <c r="AL35" s="101"/>
      <c r="AM35" s="98"/>
      <c r="AN35" s="98"/>
      <c r="AO35" s="98"/>
      <c r="AP35" s="98"/>
      <c r="AQ35" s="98"/>
      <c r="AR35" s="98"/>
      <c r="AS35" s="98"/>
      <c r="AT35" s="98"/>
    </row>
    <row r="36" spans="1:46" ht="13.5" thickBot="1" x14ac:dyDescent="0.25">
      <c r="A36" s="572" t="s">
        <v>74</v>
      </c>
      <c r="B36" s="573"/>
      <c r="C36" s="573"/>
      <c r="D36" s="573"/>
      <c r="E36" s="573"/>
      <c r="F36" s="574"/>
      <c r="H36" s="126" t="str">
        <f>IF(I31="","","Amostra")</f>
        <v>Amostra</v>
      </c>
      <c r="I36" s="127" t="str">
        <f>IF('Entrada das massas'!I16="","",'Entrada das massas'!I16)</f>
        <v>CCQM K158A</v>
      </c>
      <c r="J36" s="120" t="str">
        <f>IF(I36="","","uc(g)")</f>
        <v>uc(g)</v>
      </c>
      <c r="K36" s="120" t="str">
        <f>IF(J36="","","Massa (g)")</f>
        <v>Massa (g)</v>
      </c>
      <c r="L36" s="120" t="str">
        <f>IF(K36="","","ucomb (g)")</f>
        <v>ucomb (g)</v>
      </c>
      <c r="M36" s="98" t="str">
        <f>IF(I36="","","Fdiluição")</f>
        <v>Fdiluição</v>
      </c>
      <c r="N36" s="98"/>
      <c r="O36" s="126" t="str">
        <f>IF(M37="","","Amostra")</f>
        <v>Amostra</v>
      </c>
      <c r="P36" s="127" t="str">
        <f>IF('Entrada das massas'!N16="","",'Entrada das massas'!N16)</f>
        <v>CCQM K158A</v>
      </c>
      <c r="Q36" s="120" t="str">
        <f>IF(P36="","","uc(g)")</f>
        <v>uc(g)</v>
      </c>
      <c r="R36" s="120" t="str">
        <f>IF(Q36="","","Massa (g)")</f>
        <v>Massa (g)</v>
      </c>
      <c r="S36" s="120" t="str">
        <f>IF(R36="","","ucomb (g)")</f>
        <v>ucomb (g)</v>
      </c>
      <c r="T36" s="98" t="str">
        <f>IF(P36="","","Fdiluição")</f>
        <v>Fdiluição</v>
      </c>
      <c r="U36" s="98"/>
      <c r="V36" s="126" t="str">
        <f>IF(T37="","","Amostra")</f>
        <v/>
      </c>
      <c r="W36" s="127" t="str">
        <f>IF('Entrada das massas'!S16="","",'Entrada das massas'!S16)</f>
        <v/>
      </c>
      <c r="X36" s="120" t="str">
        <f>IF(W36="","","uc(g)")</f>
        <v/>
      </c>
      <c r="Y36" s="120" t="str">
        <f>IF(X36="","","Massa (g)")</f>
        <v/>
      </c>
      <c r="Z36" s="120" t="str">
        <f>IF(Y36="","","ucomb (g)")</f>
        <v/>
      </c>
      <c r="AA36" s="98" t="str">
        <f>IF(W36="","","Fdiluição")</f>
        <v/>
      </c>
      <c r="AB36" s="106"/>
      <c r="AC36" s="318"/>
      <c r="AD36" s="318"/>
      <c r="AE36" s="318"/>
      <c r="AF36" s="318"/>
      <c r="AG36" s="318"/>
      <c r="AH36" s="318"/>
      <c r="AI36" s="318"/>
      <c r="AJ36" s="318"/>
      <c r="AK36" s="318"/>
      <c r="AL36" s="101"/>
      <c r="AM36" s="98"/>
      <c r="AN36" s="98"/>
      <c r="AO36" s="98"/>
      <c r="AP36" s="98"/>
      <c r="AQ36" s="98"/>
      <c r="AR36" s="98"/>
      <c r="AS36" s="98"/>
      <c r="AT36" s="98"/>
    </row>
    <row r="37" spans="1:46" ht="15.75" x14ac:dyDescent="0.3">
      <c r="A37" s="130" t="s">
        <v>57</v>
      </c>
      <c r="B37" s="111">
        <f>IF(AND('Entrada das massas'!C17&lt;=$B$20,'Entrada das massas'!C17&gt;$B$19),'Entrada das massas'!C17-((($C$20-$C$19)*($B$20-'Entrada das massas'!C17)+($B$19*$C$20)-($B$20*$C$20))/($B$19-$B$20)),IF(AND('Entrada das massas'!C17&lt;=$B$19,'Entrada das massas'!C17&gt;$B$18),'Entrada das massas'!C17-((($C$19-$C$18)*($B$19-'Entrada das massas'!C17)+($B$18*$C$19)-($B$19*$C$19))/($B$18-$B$19)),IF(AND('Entrada das massas'!C17&lt;=$B$18,'Entrada das massas'!C17&gt;$B$17),'Entrada das massas'!C17-((($C$18-$C$17)*($B$18-'Entrada das massas'!C17)+($B$17*$C$18)-($B$18*$C$18))/($B$17-$B$18)),IF(AND('Entrada das massas'!C17&lt;=$B$17,'Entrada das massas'!C17&gt;$B$16),'Entrada das massas'!C17-((($C$17-$C$16)*($B$17-'Entrada das massas'!C17)+($B$16*$C$17)-($B$17*$C$17))/($B$16-$B$17)),IF(AND('Entrada das massas'!C17&lt;=$B$16,'Entrada das massas'!C17&gt;$B$15),'Entrada das massas'!C17-((($C$16-$C$15)*($B$16-'Entrada das massas'!C17)+($B$15*$C$16)-($B$16*$C$16))/($B$15-$B$16)),IF(AND('Entrada das massas'!C17&lt;=$B$15,'Entrada das massas'!C17&gt;$B$14),'Entrada das massas'!C17-((($C$15-$C$14)*($B$15-'Entrada das massas'!C17)+($B$14*$C$15)-($B$15*$C$15))/($B$14-$B$15)),IF(AND('Entrada das massas'!C17&lt;=$B$14,'Entrada das massas'!C17&gt;$B$13),'Entrada das massas'!C17-((($C$14-$C$13)*($B$14-'Entrada das massas'!C17)+($B$13*$C$14)-($B$14*$C$14))/($B$13-$B$14)),IF(AND('Entrada das massas'!C17&lt;=$B$13,'Entrada das massas'!C17&gt;$B$12),'Entrada das massas'!C17-((($C$13-$C$12)*($B$13-'Entrada das massas'!C17)+($B$12*$C$13)-($B$13*$C$13))/($B$12-$B$13)),IF(AND('Entrada das massas'!C17&lt;=$B$12,'Entrada das massas'!C17&gt;$B$11),'Entrada das massas'!C17-((($C$12-$C$11)*($B$12-'Entrada das massas'!C17)+($B$11*$C$12)-($B$12*$C$12))/($B$11-$B$12)), IF(AND('Entrada das massas'!C17&lt;=$B$11,'Entrada das massas'!C17&gt;$B$10),'Entrada das massas'!C17-((($C$11-$C$10)*($B$11-'Entrada das massas'!C17)+($B$10*$C$11)-($B$11*$C$11))/($B$10-$B$11)),IF(AND('Entrada das massas'!C17&lt;=$B$10,'Entrada das massas'!C17&gt;$B$9),'Entrada das massas'!C17-((($C$10-$C$9)*($B$10-'Entrada das massas'!C17)+($B$9*$C$10)-($B$10*$C$10))/($B$9-$B$10)),IF(AND('Entrada das massas'!C17&lt;=$B$9,'Entrada das massas'!C17&gt;$B$8),'Entrada das massas'!C17-((($C$9-$C$8)*($B$9-'Entrada das massas'!C17)+($B$8*$C$9)-($B$9*$C$9))/($B$8-$B$9)),IF(AND('Entrada das massas'!C17&lt;=$B$8,'Entrada das massas'!C17&gt;$B$7),'Entrada das massas'!C17-((($C$8-$C$7)*($B$8-'Entrada das massas'!C17)+($B$7*$C$8)-($B$8*$C$8))/($B$7-$B$8)),IF(AND('Entrada das massas'!C17&lt;=$B$7,'Entrada das massas'!C17&gt;$B$6),'Entrada das massas'!C17-((($C$7-$C$6)*($B$7-'Entrada das massas'!C17)+($B$6*$C$7)-($B$7*$C$7))/($B$6-$B$7)),IF(AND('Entrada das massas'!C17&lt;=$B$6,'Entrada das massas'!C17&gt;$B$5),'Entrada das massas'!C17-((($C$6-$C$5)*($B$6-'Entrada das massas'!C17)+($B$5*$C$6)-($B$6*$C$6))/($B$5-$B$6)),IF('Entrada das massas'!C17&lt;=$B$5,'Entrada das massas'!C17-$C$5))))))))))))))))</f>
        <v>0</v>
      </c>
      <c r="C37" s="112">
        <f>(IF(AND(B37&lt;=$B$20,B37&gt;$B$19),$D$19+($B$19-B37)/($B$19-$B$20)*($D$20-$D$19),IF(AND(B37&lt;=$B$19,B37&gt;$B$18),$D$18+($B$18-B37)/($B$18-$B$19)*($D$19-$D$18),IF(AND(B37&lt;=$B$18,B37&gt;$B$17),$D$17+($B$17-B37)/($B$17-$B$18)*($D$18-$D$17),IF(AND(B37&lt;=$B$17,B37&gt;$B$16),$D$16+($B$16-B37)/($B$16-$B$17)*($D$17-$D$16),IF(AND(B37&lt;=$B$16,B37&gt;$B$15),$D$15+($B$15-B37)/($B$15-$B$16)*($D$16-$D$15),IF(AND(B37&lt;=$B$15,B37&gt;$B$14),$D$14+($B$14-B37)/($B$14-$B$15)*($D$15-$D$14),IF(AND(B37&lt;=$B$14,B37&gt;$B$13),$D$13+($B$13-B37)/($B$13-$B$14)*($D$14-$D$13),IF(AND(B37&lt;=$B$13,B37&gt;$B$12),$D$12+($B$12-B37)/($B$12-$B$13)*($D$13-$D$12),IF(AND(B37&lt;=$B$12,B37&gt;$B$11),$D$11+($B$11-B37)/($B$11-$B$12)*($D$12-$D$11),IF(AND(B37&lt;=$B$11,B37&gt;$B$10),$D$10+($B$10-B37)/($B$10-$B$11)*($D$11-$D$10),IF(AND(B37&lt;=$B$10,B37&gt;$B$9),$D$9+($B$9-B37)/($B$9-$B$10)*($D$10-$D$9),IF(AND(B37&lt;=$B$9,B37&gt;$B$8),$D$8+($B$8-B37)/($B$8-$B$9)*($D$9-$D$8),IF(AND(B37&lt;=$B$8,B37&gt;$B$7),$D$7+($B$7-B37)/($B$7-$B$8)*($D$8-$D$7),IF(AND(B37&lt;=$B$7,B37&gt;$B$6),$D$6+($B$6-B37)/($B$6-$B$7)*($D$7-$D$6),IF(B37&lt;=$B$6,$D$6))))))))))))))))</f>
        <v>1.0000000000000001E-5</v>
      </c>
      <c r="D37" s="131"/>
      <c r="E37" s="131"/>
      <c r="F37" s="132" t="s">
        <v>70</v>
      </c>
      <c r="H37" s="115" t="str">
        <f>IF(I36="","","Frasco")</f>
        <v>Frasco</v>
      </c>
      <c r="I37" s="116">
        <f>IF('Entrada das massas'!I17="","",IF(AND('Entrada das massas'!I17&lt;=$B$20,'Entrada das massas'!I17&gt;$B$19),'Entrada das massas'!I17-((($C$20-$C$19)*($B$20-'Entrada das massas'!I17)+($B$19*$C$20)-($B$20*$C$20))/($B$19-$B$20)),IF(AND('Entrada das massas'!I17&lt;=$B$19,'Entrada das massas'!I17&gt;$B$18),'Entrada das massas'!I17-((($C$19-$C$18)*($B$19-'Entrada das massas'!I17)+($B$18*$C$19)-($B$19*$C$19))/($B$18-$B$19)),IF(AND('Entrada das massas'!I17&lt;=$B$18,'Entrada das massas'!I17&gt;$B$17),'Entrada das massas'!I17-((($C$18-$C$17)*($B$18-'Entrada das massas'!I17)+($B$17*$C$18)-($B$18*$C$18))/($B$17-$B$18)),IF(AND('Entrada das massas'!I17&lt;=$B$17,'Entrada das massas'!I17&gt;$B$16),'Entrada das massas'!I17-((($C$17-$C$16)*($B$17-'Entrada das massas'!I17)+($B$16*$C$17)-($B$17*$C$17))/($B$16-$B$17)),IF(AND('Entrada das massas'!I17&lt;=$B$16,'Entrada das massas'!I17&gt;$B$15),'Entrada das massas'!I17-((($C$16-$C$15)*($B$16-'Entrada das massas'!I17)+($B$15*$C$16)-($B$16*$C$16))/($B$15-$B$16)),IF(AND('Entrada das massas'!I17&lt;=$B$15,'Entrada das massas'!I17&gt;$B$14),'Entrada das massas'!I17-((($C$15-$C$14)*($B$15-'Entrada das massas'!I17)+($B$14*$C$15)-($B$15*$C$15))/($B$14-$B$15)),IF(AND('Entrada das massas'!I17&lt;=$B$14,'Entrada das massas'!I17&gt;$B$13),'Entrada das massas'!I17-((($C$14-$C$13)*($B$14-'Entrada das massas'!I17)+($B$13*$C$14)-($B$14*$C$14))/($B$13-$B$14)),IF(AND('Entrada das massas'!I17&lt;=$B$13,'Entrada das massas'!I17&gt;$B$12),'Entrada das massas'!I17-((($C$13-$C$12)*($B$13-'Entrada das massas'!I17)+($B$12*$C$13)-($B$13*$C$13))/($B$12-$B$13)),IF(AND('Entrada das massas'!I17&lt;=$B$12,'Entrada das massas'!I17&gt;$B$11),'Entrada das massas'!I17-((($C$12-$C$11)*($B$12-'Entrada das massas'!I17)+($B$11*$C$12)-($B$12*$C$12))/($B$11-$B$12)),IF(AND('Entrada das massas'!I17&lt;=$B$11,'Entrada das massas'!I17&gt;$B$10),'Entrada das massas'!I17-((($C$11-$C$10)*($B$11-'Entrada das massas'!I17)+($B$10*$C$11)-($B$11*$C$11))/($B$10-$B$11)),IF(AND('Entrada das massas'!I17&lt;=$B$10,'Entrada das massas'!I17&gt;$B$9),'Entrada das massas'!I17-((($C$10-$C$9)*($B$10-'Entrada das massas'!I17)+($B$9*$C$10)-($B$10*$C$10))/($B$9-$B$10)),IF(AND('Entrada das massas'!I17&lt;=$B$9,'Entrada das massas'!I17&gt;$B$8),'Entrada das massas'!I17-((($C$9-$C$8)*($B$9-'Entrada das massas'!I17)+($B$8*$C$9)-($B$9*$C$9))/($B$8-$B$9)),IF(AND('Entrada das massas'!I17&lt;=$B$8,'Entrada das massas'!I17&gt;$B$7),'Entrada das massas'!I17-((($C$8-$C$7)*($B$8-'Entrada das massas'!I17)+($B$7*$C$8)-($B$8*$C$8))/($B$7-$B$8)),IF(AND('Entrada das massas'!I17&lt;=$B$7,'Entrada das massas'!I17&gt;$B$6),'Entrada das massas'!I17-((($C$7-$C$6)*($B$7-'Entrada das massas'!I17)+($B$6*$C$7)-($B$7*$C$7))/($B$6-$B$7)),IF(AND('Entrada das massas'!I17&lt;=$B$6,'Entrada das massas'!I17&gt;$B$5),'Entrada das massas'!I17-((($C$6-$C$5)*($B$6-'Entrada das massas'!I17)+($B$5*$C$6)-($B$6*$C$6))/($B$5-$B$6)),IF('Entrada das massas'!I17&lt;=$B$5,'Entrada das massas'!I17-$C$5)))))))))))))))))</f>
        <v>12.22678554646</v>
      </c>
      <c r="J37" s="117">
        <f>IF(I37="","",(IF(AND(I37&lt;=$B$20,I37&gt;$B$19),$D$19+($B$19-I37)/($B$19-$B$20)*($D$20-$D$19),IF(AND(I37&lt;=$B$19,I37&gt;$B$18),$D$18+($B$18-I37)/($B$18-$B$19)*($D$19-$D$18),IF(AND(I37&lt;=$B$18,I37&gt;$B$17),$D$17+($B$17-I37)/($B$17-$B$18)*($D$18-$D$17),IF(AND(I37&lt;=$B$17,I37&gt;$B$16),$D$16+($B$16-I37)/($B$16-$B$17)*($D$17-$D$16),IF(AND(I37&lt;=$B$16,I37&gt;$B$15),$D$15+($B$15-I37)/($B$15-$B$16)*($D$16-$D$15),IF(AND(I37&lt;=$B$15,I37&gt;$B$14),$D$14+($B$14-I37)/($B$14-$B$15)*($D$15-$D$14),IF(AND(I37&lt;=$B$14,I37&gt;$B$13),$D$13+($B$13-I37)/($B$13-$B$14)*($D$14-$D$13),IF(AND(I37&lt;=$B$13,I37&gt;$B$12),$D$12+($B$12-I37)/($B$12-$B$13)*($D$13-$D$12),IF(AND(I37&lt;=$B$12,I37&gt;$B$11),$D$11+($B$11-I37)/($B$11-$B$12)*($D$12-$D$11),IF(AND(I37&lt;=$B$11,I37&gt;$B$10),$D$10+($B$10-I37)/($B$10-$B$11)*($D$11-$D$10),IF(AND(I37&lt;=$B$10,I37&gt;$B$9),$D$9+($B$9-I37)/($B$9-$B$10)*($D$10-$D$9),IF(AND(I37&lt;=$B$9,I37&gt;$B$8),$D$8+($B$8-I37)/($B$8-$B$9)*($D$9-$D$8),IF(AND(I37&lt;=$B$8,I37&gt;$B$7),$D$7+($B$7-I37)/($B$7-$B$8)*($D$8-$D$7),IF(AND(I37&lt;=$B$7,I37&gt;$B$6),$D$6+($B$6-I37)/($B$6-$B$7)*($D$7-$D$6),IF(I37&lt;=$B$6,$D$6)))))))))))))))))</f>
        <v>1.0000000000000001E-5</v>
      </c>
      <c r="K37" s="117"/>
      <c r="L37" s="117"/>
      <c r="M37" s="118">
        <f>IFERROR(K39/K38,"")</f>
        <v>169.47686042589572</v>
      </c>
      <c r="N37" s="93"/>
      <c r="O37" s="115" t="str">
        <f>IF(P36="","","Frasco")</f>
        <v>Frasco</v>
      </c>
      <c r="P37" s="95" t="str">
        <f>IF('Entrada das massas'!N17="","",IF(AND('Entrada das massas'!N17&lt;=$B$20,'Entrada das massas'!N17&gt;$B$19),'Entrada das massas'!N17-((($C$20-$C$19)*($B$20-'Entrada das massas'!N17)+($B$19*$C$20)-($B$20*$C$20))/($B$19-$B$20)),IF(AND('Entrada das massas'!N17&lt;=$B$19,'Entrada das massas'!N17&gt;$B$18),'Entrada das massas'!N17-((($C$19-$C$18)*($B$19-'Entrada das massas'!N17)+($B$18*$C$19)-($B$19*$C$19))/($B$18-$B$19)),IF(AND('Entrada das massas'!N17&lt;=$B$18,'Entrada das massas'!N17&gt;$B$17),'Entrada das massas'!N17-((($C$18-$C$17)*($B$18-'Entrada das massas'!N17)+($B$17*$C$18)-($B$18*$C$18))/($B$17-$B$18)),IF(AND('Entrada das massas'!N17&lt;=$B$17,'Entrada das massas'!N17&gt;$B$16),'Entrada das massas'!N17-((($C$17-$C$16)*($B$17-'Entrada das massas'!N17)+($B$16*$C$17)-($B$17*$C$17))/($B$16-$B$17)),IF(AND('Entrada das massas'!N17&lt;=$B$16,'Entrada das massas'!N17&gt;$B$15),'Entrada das massas'!N17-((($C$16-$C$15)*($B$16-'Entrada das massas'!N17)+($B$15*$C$16)-($B$16*$C$16))/($B$15-$B$16)),IF(AND('Entrada das massas'!N17&lt;=$B$15,'Entrada das massas'!N17&gt;$B$14),'Entrada das massas'!N17-((($C$15-$C$14)*($B$15-'Entrada das massas'!N17)+($B$14*$C$15)-($B$15*$C$15))/($B$14-$B$15)),IF(AND('Entrada das massas'!N17&lt;=$B$14,'Entrada das massas'!N17&gt;$B$13),'Entrada das massas'!N17-((($C$14-$C$13)*($B$14-'Entrada das massas'!N17)+($B$13*$C$14)-($B$14*$C$14))/($B$13-$B$14)),IF(AND('Entrada das massas'!N17&lt;=$B$13,'Entrada das massas'!N17&gt;$B$12),'Entrada das massas'!N17-((($C$13-$C$12)*($B$13-'Entrada das massas'!N17)+($B$12*$C$13)-($B$13*$C$13))/($B$12-$B$13)),IF(AND('Entrada das massas'!N17&lt;=$B$12,'Entrada das massas'!N17&gt;$B$11),'Entrada das massas'!N17-((($C$12-$C$11)*($B$12-'Entrada das massas'!N17)+($B$11*$C$12)-($B$12*$C$12))/($B$11-$B$12)),IF(AND('Entrada das massas'!N17&lt;=$B$11,'Entrada das massas'!N17&gt;$B$10),'Entrada das massas'!N17-((($C$11-$C$10)*($B$11-'Entrada das massas'!N17)+($B$10*$C$11)-($B$11*$C$11))/($B$10-$B$11)),IF(AND('Entrada das massas'!N17&lt;=$B$10,'Entrada das massas'!N17&gt;$B$9),'Entrada das massas'!N17-((($C$10-$C$9)*($B$10-'Entrada das massas'!N17)+($B$9*$C$10)-($B$10*$C$10))/($B$9-$B$10)),IF(AND('Entrada das massas'!N17&lt;=$B$9,'Entrada das massas'!N17&gt;$B$8),'Entrada das massas'!N17-((($C$9-$C$8)*($B$9-'Entrada das massas'!N17)+($B$8*$C$9)-($B$9*$C$9))/($B$8-$B$9)),IF(AND('Entrada das massas'!N17&lt;=$B$8,'Entrada das massas'!N17&gt;$B$7),'Entrada das massas'!N17-((($C$8-$C$7)*($B$8-'Entrada das massas'!N17)+($B$7*$C$8)-($B$8*$C$8))/($B$7-$B$8)),IF(AND('Entrada das massas'!N17&lt;=$B$7,'Entrada das massas'!N17&gt;$B$6),'Entrada das massas'!N17-((($C$7-$C$6)*($B$7-'Entrada das massas'!N17)+($B$6*$C$7)-($B$7*$C$7))/($B$6-$B$7)),IF(AND('Entrada das massas'!N17&lt;=$B$6,'Entrada das massas'!N17&gt;$B$5),'Entrada das massas'!N17-((($C$6-$C$5)*($B$6-'Entrada das massas'!N17)+($B$5*$C$6)-($B$6*$C$6))/($B$5-$B$6)),IF('Entrada das massas'!N17&lt;=$B$5,'Entrada das massas'!N17-$C$5)))))))))))))))))</f>
        <v/>
      </c>
      <c r="Q37" s="117" t="str">
        <f>IF(P37="","",(IF(AND(P37&lt;=$B$20,P37&gt;$B$19),$D$19+($B$19-P37)/($B$19-$B$20)*($D$20-$D$19),IF(AND(P37&lt;=$B$19,P37&gt;$B$18),$D$18+($B$18-P37)/($B$18-$B$19)*($D$19-$D$18),IF(AND(P37&lt;=$B$18,P37&gt;$B$17),$D$17+($B$17-P37)/($B$17-$B$18)*($D$18-$D$17),IF(AND(P37&lt;=$B$17,P37&gt;$B$16),$D$16+($B$16-P37)/($B$16-$B$17)*($D$17-$D$16),IF(AND(P37&lt;=$B$16,P37&gt;$B$15),$D$15+($B$15-P37)/($B$15-$B$16)*($D$16-$D$15),IF(AND(P37&lt;=$B$15,P37&gt;$B$14),$D$14+($B$14-P37)/($B$14-$B$15)*($D$15-$D$14),IF(AND(P37&lt;=$B$14,P37&gt;$B$13),$D$13+($B$13-P37)/($B$13-$B$14)*($D$14-$D$13),IF(AND(P37&lt;=$B$13,P37&gt;$B$12),$D$12+($B$12-P37)/($B$12-$B$13)*($D$13-$D$12),IF(AND(P37&lt;=$B$12,P37&gt;$B$11),$D$11+($B$11-P37)/($B$11-$B$12)*($D$12-$D$11),IF(AND(P37&lt;=$B$11,P37&gt;$B$10),$D$10+($B$10-P37)/($B$10-$B$11)*($D$11-$D$10),IF(AND(P37&lt;=$B$10,P37&gt;$B$9),$D$9+($B$9-P37)/($B$9-$B$10)*($D$10-$D$9),IF(AND(P37&lt;=$B$9,P37&gt;$B$8),$D$8+($B$8-P37)/($B$8-$B$9)*($D$9-$D$8),IF(AND(P37&lt;=$B$8,P37&gt;$B$7),$D$7+($B$7-P37)/($B$7-$B$8)*($D$8-$D$7),IF(AND(P37&lt;=$B$7,P37&gt;$B$6),$D$6+($B$6-P37)/($B$6-$B$7)*($D$7-$D$6),IF(P37&lt;=$B$6,$D$6)))))))))))))))))</f>
        <v/>
      </c>
      <c r="R37" s="117"/>
      <c r="S37" s="117"/>
      <c r="T37" s="118" t="str">
        <f>IFERROR(R39/R38,"")</f>
        <v/>
      </c>
      <c r="U37" s="93"/>
      <c r="V37" s="115" t="str">
        <f>IF(W36="","","Frasco")</f>
        <v/>
      </c>
      <c r="W37" s="95" t="str">
        <f>IF('Entrada das massas'!S17="","",IF(AND('Entrada das massas'!S17&lt;=$B$20,'Entrada das massas'!S17&gt;$B$19),'Entrada das massas'!S17-((($C$20-$C$19)*($B$20-'Entrada das massas'!S17)+($B$19*$C$20)-($B$20*$C$20))/($B$19-$B$20)),IF(AND('Entrada das massas'!S17&lt;=$B$19,'Entrada das massas'!S17&gt;$B$18),'Entrada das massas'!S17-((($C$19-$C$18)*($B$19-'Entrada das massas'!S17)+($B$18*$C$19)-($B$19*$C$19))/($B$18-$B$19)),IF(AND('Entrada das massas'!S17&lt;=$B$18,'Entrada das massas'!S17&gt;$B$17),'Entrada das massas'!S17-((($C$18-$C$17)*($B$18-'Entrada das massas'!S17)+($B$17*$C$18)-($B$18*$C$18))/($B$17-$B$18)),IF(AND('Entrada das massas'!S17&lt;=$B$17,'Entrada das massas'!S17&gt;$B$16),'Entrada das massas'!S17-((($C$17-$C$16)*($B$17-'Entrada das massas'!S17)+($B$16*$C$17)-($B$17*$C$17))/($B$16-$B$17)),IF(AND('Entrada das massas'!S17&lt;=$B$16,'Entrada das massas'!S17&gt;$B$15),'Entrada das massas'!S17-((($C$16-$C$15)*($B$16-'Entrada das massas'!S17)+($B$15*$C$16)-($B$16*$C$16))/($B$15-$B$16)),IF(AND('Entrada das massas'!S17&lt;=$B$15,'Entrada das massas'!S17&gt;$B$14),'Entrada das massas'!S17-((($C$15-$C$14)*($B$15-'Entrada das massas'!S17)+($B$14*$C$15)-($B$15*$C$15))/($B$14-$B$15)),IF(AND('Entrada das massas'!S17&lt;=$B$14,'Entrada das massas'!S17&gt;$B$13),'Entrada das massas'!S17-((($C$14-$C$13)*($B$14-'Entrada das massas'!S17)+($B$13*$C$14)-($B$14*$C$14))/($B$13-$B$14)),IF(AND('Entrada das massas'!S17&lt;=$B$13,'Entrada das massas'!S17&gt;$B$12),'Entrada das massas'!S17-((($C$13-$C$12)*($B$13-'Entrada das massas'!S17)+($B$12*$C$13)-($B$13*$C$13))/($B$12-$B$13)),IF(AND('Entrada das massas'!S17&lt;=$B$12,'Entrada das massas'!S17&gt;$B$11),'Entrada das massas'!S17-((($C$12-$C$11)*($B$12-'Entrada das massas'!S17)+($B$11*$C$12)-($B$12*$C$12))/($B$11-$B$12)),IF(AND('Entrada das massas'!S17&lt;=$B$11,'Entrada das massas'!S17&gt;$B$10),'Entrada das massas'!S17-((($C$11-$C$10)*($B$11-'Entrada das massas'!S17)+($B$10*$C$11)-($B$11*$C$11))/($B$10-$B$11)),IF(AND('Entrada das massas'!S17&lt;=$B$10,'Entrada das massas'!S17&gt;$B$9),'Entrada das massas'!S17-((($C$10-$C$9)*($B$10-'Entrada das massas'!S17)+($B$9*$C$10)-($B$10*$C$10))/($B$9-$B$10)),IF(AND('Entrada das massas'!S17&lt;=$B$9,'Entrada das massas'!S17&gt;$B$8),'Entrada das massas'!S17-((($C$9-$C$8)*($B$9-'Entrada das massas'!S17)+($B$8*$C$9)-($B$9*$C$9))/($B$8-$B$9)),IF(AND('Entrada das massas'!S17&lt;=$B$8,'Entrada das massas'!S17&gt;$B$7),'Entrada das massas'!S17-((($C$8-$C$7)*($B$8-'Entrada das massas'!S17)+($B$7*$C$8)-($B$8*$C$8))/($B$7-$B$8)),IF(AND('Entrada das massas'!S17&lt;=$B$7,'Entrada das massas'!S17&gt;$B$6),'Entrada das massas'!S17-((($C$7-$C$6)*($B$7-'Entrada das massas'!S17)+($B$6*$C$7)-($B$7*$C$7))/($B$6-$B$7)),IF(AND('Entrada das massas'!S17&lt;=$B$6,'Entrada das massas'!S17&gt;$B$5),'Entrada das massas'!S17-((($C$6-$C$5)*($B$6-'Entrada das massas'!S17)+($B$5*$C$6)-($B$6*$C$6))/($B$5-$B$6)),IF('Entrada das massas'!S17&lt;=$B$5,'Entrada das massas'!S17-$C$5)))))))))))))))))</f>
        <v/>
      </c>
      <c r="X37" s="117" t="str">
        <f>IF(W37="","",(IF(AND(W37&lt;=$B$20,W37&gt;$B$19),$D$19+($B$19-W37)/($B$19-$B$20)*($D$20-$D$19),IF(AND(W37&lt;=$B$19,W37&gt;$B$18),$D$18+($B$18-W37)/($B$18-$B$19)*($D$19-$D$18),IF(AND(W37&lt;=$B$18,W37&gt;$B$17),$D$17+($B$17-W37)/($B$17-$B$18)*($D$18-$D$17),IF(AND(W37&lt;=$B$17,W37&gt;$B$16),$D$16+($B$16-W37)/($B$16-$B$17)*($D$17-$D$16),IF(AND(W37&lt;=$B$16,W37&gt;$B$15),$D$15+($B$15-W37)/($B$15-$B$16)*($D$16-$D$15),IF(AND(W37&lt;=$B$15,W37&gt;$B$14),$D$14+($B$14-W37)/($B$14-$B$15)*($D$15-$D$14),IF(AND(W37&lt;=$B$14,W37&gt;$B$13),$D$13+($B$13-W37)/($B$13-$B$14)*($D$14-$D$13),IF(AND(W37&lt;=$B$13,W37&gt;$B$12),$D$12+($B$12-W37)/($B$12-$B$13)*($D$13-$D$12),IF(AND(W37&lt;=$B$12,W37&gt;$B$11),$D$11+($B$11-W37)/($B$11-$B$12)*($D$12-$D$11),IF(AND(W37&lt;=$B$11,W37&gt;$B$10),$D$10+($B$10-W37)/($B$10-$B$11)*($D$11-$D$10),IF(AND(W37&lt;=$B$10,W37&gt;$B$9),$D$9+($B$9-W37)/($B$9-$B$10)*($D$10-$D$9),IF(AND(W37&lt;=$B$9,W37&gt;$B$8),$D$8+($B$8-W37)/($B$8-$B$9)*($D$9-$D$8),IF(AND(W37&lt;=$B$8,W37&gt;$B$7),$D$7+($B$7-W37)/($B$7-$B$8)*($D$8-$D$7),IF(AND(W37&lt;=$B$7,W37&gt;$B$6),$D$6+($B$6-W37)/($B$6-$B$7)*($D$7-$D$6),IF(W37&lt;=$B$6,$D$6)))))))))))))))))</f>
        <v/>
      </c>
      <c r="Y37" s="117"/>
      <c r="Z37" s="117"/>
      <c r="AA37" s="118" t="str">
        <f>IFERROR(Y39/Y38,"")</f>
        <v/>
      </c>
      <c r="AB37" s="106"/>
      <c r="AC37" s="102"/>
      <c r="AD37" s="93"/>
      <c r="AE37" s="140"/>
      <c r="AF37" s="101"/>
      <c r="AG37" s="135"/>
      <c r="AH37" s="101"/>
      <c r="AI37" s="134"/>
      <c r="AJ37" s="101"/>
      <c r="AK37" s="101"/>
      <c r="AL37" s="101"/>
      <c r="AM37" s="98"/>
      <c r="AN37" s="98"/>
      <c r="AO37" s="98"/>
      <c r="AP37" s="98"/>
      <c r="AQ37" s="98"/>
      <c r="AR37" s="98"/>
      <c r="AS37" s="98"/>
      <c r="AT37" s="98"/>
    </row>
    <row r="38" spans="1:46" x14ac:dyDescent="0.2">
      <c r="A38" s="110" t="s">
        <v>59</v>
      </c>
      <c r="B38" s="111">
        <f>IF(AND('Entrada das massas'!C18&lt;=$B$20,'Entrada das massas'!C18&gt;$B$19),'Entrada das massas'!C18-((($C$20-$C$19)*($B$20-'Entrada das massas'!C18)+($B$19*$C$20)-($B$20*$C$20))/($B$19-$B$20)),IF(AND('Entrada das massas'!C18&lt;=$B$19,'Entrada das massas'!C18&gt;$B$18),'Entrada das massas'!C18-((($C$19-$C$18)*($B$19-'Entrada das massas'!C18)+($B$18*$C$19)-($B$19*$C$19))/($B$18-$B$19)),IF(AND('Entrada das massas'!C18&lt;=$B$18,'Entrada das massas'!C18&gt;$B$17),'Entrada das massas'!C18-((($C$18-$C$17)*($B$18-'Entrada das massas'!C18)+($B$17*$C$18)-($B$18*$C$18))/($B$17-$B$18)),IF(AND('Entrada das massas'!C18&lt;=$B$17,'Entrada das massas'!C18&gt;$B$16),'Entrada das massas'!C18-((($C$17-$C$16)*($B$17-'Entrada das massas'!C18)+($B$16*$C$17)-($B$17*$C$17))/($B$16-$B$17)),IF(AND('Entrada das massas'!C18&lt;=$B$16,'Entrada das massas'!C18&gt;$B$15),'Entrada das massas'!C18-((($C$16-$C$15)*($B$16-'Entrada das massas'!C18)+($B$15*$C$16)-($B$16*$C$16))/($B$15-$B$16)),IF(AND('Entrada das massas'!C18&lt;=$B$15,'Entrada das massas'!C18&gt;$B$14),'Entrada das massas'!C18-((($C$15-$C$14)*($B$15-'Entrada das massas'!C18)+($B$14*$C$15)-($B$15*$C$15))/($B$14-$B$15)),IF(AND('Entrada das massas'!C18&lt;=$B$14,'Entrada das massas'!C18&gt;$B$13),'Entrada das massas'!C18-((($C$14-$C$13)*($B$14-'Entrada das massas'!C18)+($B$13*$C$14)-($B$14*$C$14))/($B$13-$B$14)),IF(AND('Entrada das massas'!C18&lt;=$B$13,'Entrada das massas'!C18&gt;$B$12),'Entrada das massas'!C18-((($C$13-$C$12)*($B$13-'Entrada das massas'!C18)+($B$12*$C$13)-($B$13*$C$13))/($B$12-$B$13)),IF(AND('Entrada das massas'!C18&lt;=$B$12,'Entrada das massas'!C18&gt;$B$11),'Entrada das massas'!C18-((($C$12-$C$11)*($B$12-'Entrada das massas'!C18)+($B$11*$C$12)-($B$12*$C$12))/($B$11-$B$12)), IF(AND('Entrada das massas'!C18&lt;=$B$11,'Entrada das massas'!C18&gt;$B$10),'Entrada das massas'!C18-((($C$11-$C$10)*($B$11-'Entrada das massas'!C18)+($B$10*$C$11)-($B$11*$C$11))/($B$10-$B$11)),IF(AND('Entrada das massas'!C18&lt;=$B$10,'Entrada das massas'!C18&gt;$B$9),'Entrada das massas'!C18-((($C$10-$C$9)*($B$10-'Entrada das massas'!C18)+($B$9*$C$10)-($B$10*$C$10))/($B$9-$B$10)),IF(AND('Entrada das massas'!C18&lt;=$B$9,'Entrada das massas'!C18&gt;$B$8),'Entrada das massas'!C18-((($C$9-$C$8)*($B$9-'Entrada das massas'!C18)+($B$8*$C$9)-($B$9*$C$9))/($B$8-$B$9)),IF(AND('Entrada das massas'!C18&lt;=$B$8,'Entrada das massas'!C18&gt;$B$7),'Entrada das massas'!C18-((($C$8-$C$7)*($B$8-'Entrada das massas'!C18)+($B$7*$C$8)-($B$8*$C$8))/($B$7-$B$8)),IF(AND('Entrada das massas'!C18&lt;=$B$7,'Entrada das massas'!C18&gt;$B$6),'Entrada das massas'!C18-((($C$7-$C$6)*($B$7-'Entrada das massas'!C18)+($B$6*$C$7)-($B$7*$C$7))/($B$6-$B$7)),IF(AND('Entrada das massas'!C18&lt;=$B$6,'Entrada das massas'!C18&gt;$B$5),'Entrada das massas'!C18-((($C$6-$C$5)*($B$6-'Entrada das massas'!C18)+($B$5*$C$6)-($B$6*$C$6))/($B$5-$B$6)),IF('Entrada das massas'!C18&lt;=$B$5,'Entrada das massas'!C18-$C$5))))))))))))))))</f>
        <v>0</v>
      </c>
      <c r="C38" s="112">
        <f>(IF(AND(B38&lt;=$B$20,B38&gt;$B$19),$D$19+($B$19-B38)/($B$19-$B$20)*($D$20-$D$19),IF(AND(B38&lt;=$B$19,B38&gt;$B$18),$D$18+($B$18-B38)/($B$18-$B$19)*($D$19-$D$18),IF(AND(B38&lt;=$B$18,B38&gt;$B$17),$D$17+($B$17-B38)/($B$17-$B$18)*($D$18-$D$17),IF(AND(B38&lt;=$B$17,B38&gt;$B$16),$D$16+($B$16-B38)/($B$16-$B$17)*($D$17-$D$16),IF(AND(B38&lt;=$B$16,B38&gt;$B$15),$D$15+($B$15-B38)/($B$15-$B$16)*($D$16-$D$15),IF(AND(B38&lt;=$B$15,B38&gt;$B$14),$D$14+($B$14-B38)/($B$14-$B$15)*($D$15-$D$14),IF(AND(B38&lt;=$B$14,B38&gt;$B$13),$D$13+($B$13-B38)/($B$13-$B$14)*($D$14-$D$13),IF(AND(B38&lt;=$B$13,B38&gt;$B$12),$D$12+($B$12-B38)/($B$12-$B$13)*($D$13-$D$12),IF(AND(B38&lt;=$B$12,B38&gt;$B$11),$D$11+($B$11-B38)/($B$11-$B$12)*($D$12-$D$11),IF(AND(B38&lt;=$B$11,B38&gt;$B$10),$D$10+($B$10-B38)/($B$10-$B$11)*($D$11-$D$10),IF(AND(B38&lt;=$B$10,B38&gt;$B$9),$D$9+($B$9-B38)/($B$9-$B$10)*($D$10-$D$9),IF(AND(B38&lt;=$B$9,B38&gt;$B$8),$D$8+($B$8-B38)/($B$8-$B$9)*($D$9-$D$8),IF(AND(B38&lt;=$B$8,B38&gt;$B$7),$D$7+($B$7-B38)/($B$7-$B$8)*($D$8-$D$7),IF(AND(B38&lt;=$B$7,B38&gt;$B$6),$D$6+($B$6-B38)/($B$6-$B$7)*($D$7-$D$6),IF(B38&lt;=$B$6,$D$6))))))))))))))))</f>
        <v>1.0000000000000001E-5</v>
      </c>
      <c r="D38" s="113" t="s">
        <v>76</v>
      </c>
      <c r="E38" s="119">
        <f>B38-B37</f>
        <v>0</v>
      </c>
      <c r="F38" s="112">
        <f>SQRT(SUMSQ(C37:C38))</f>
        <v>1.4142135623730951E-5</v>
      </c>
      <c r="H38" s="115" t="str">
        <f>IF(I36="","","Frasco + Amostra")</f>
        <v>Frasco + Amostra</v>
      </c>
      <c r="I38" s="116">
        <f>IF('Entrada das massas'!I18="","",IF(AND('Entrada das massas'!I18&lt;=$B$20,'Entrada das massas'!I18&gt;$B$19),'Entrada das massas'!I18-((($C$20-$C$19)*($B$20-'Entrada das massas'!I18)+($B$19*$C$20)-($B$20*$C$20))/($B$19-$B$20)),IF(AND('Entrada das massas'!I18&lt;=$B$19,'Entrada das massas'!I18&gt;$B$18),'Entrada das massas'!I18-((($C$19-$C$18)*($B$19-'Entrada das massas'!I18)+($B$18*$C$19)-($B$19*$C$19))/($B$18-$B$19)),IF(AND('Entrada das massas'!I18&lt;=$B$18,'Entrada das massas'!I18&gt;$B$17),'Entrada das massas'!I18-((($C$18-$C$17)*($B$18-'Entrada das massas'!I18)+($B$17*$C$18)-($B$18*$C$18))/($B$17-$B$18)),IF(AND('Entrada das massas'!I18&lt;=$B$17,'Entrada das massas'!I18&gt;$B$16),'Entrada das massas'!I18-((($C$17-$C$16)*($B$17-'Entrada das massas'!I18)+($B$16*$C$17)-($B$17*$C$17))/($B$16-$B$17)),IF(AND('Entrada das massas'!I18&lt;=$B$16,'Entrada das massas'!I18&gt;$B$15),'Entrada das massas'!I18-((($C$16-$C$15)*($B$16-'Entrada das massas'!I18)+($B$15*$C$16)-($B$16*$C$16))/($B$15-$B$16)),IF(AND('Entrada das massas'!I18&lt;=$B$15,'Entrada das massas'!I18&gt;$B$14),'Entrada das massas'!I18-((($C$15-$C$14)*($B$15-'Entrada das massas'!I18)+($B$14*$C$15)-($B$15*$C$15))/($B$14-$B$15)),IF(AND('Entrada das massas'!I18&lt;=$B$14,'Entrada das massas'!I18&gt;$B$13),'Entrada das massas'!I18-((($C$14-$C$13)*($B$14-'Entrada das massas'!I18)+($B$13*$C$14)-($B$14*$C$14))/($B$13-$B$14)),IF(AND('Entrada das massas'!I18&lt;=$B$13,'Entrada das massas'!I18&gt;$B$12),'Entrada das massas'!I18-((($C$13-$C$12)*($B$13-'Entrada das massas'!I18)+($B$12*$C$13)-($B$13*$C$13))/($B$12-$B$13)),IF(AND('Entrada das massas'!I18&lt;=$B$12,'Entrada das massas'!I18&gt;$B$11),'Entrada das massas'!I18-((($C$12-$C$11)*($B$12-'Entrada das massas'!I18)+($B$11*$C$12)-($B$12*$C$12))/($B$11-$B$12)),IF(AND('Entrada das massas'!I18&lt;=$B$11,'Entrada das massas'!I18&gt;$B$10),'Entrada das massas'!I18-((($C$11-$C$10)*($B$11-'Entrada das massas'!I18)+($B$10*$C$11)-($B$11*$C$11))/($B$10-$B$11)),IF(AND('Entrada das massas'!I18&lt;=$B$10,'Entrada das massas'!I18&gt;$B$9),'Entrada das massas'!I18-((($C$10-$C$9)*($B$10-'Entrada das massas'!I18)+($B$9*$C$10)-($B$10*$C$10))/($B$9-$B$10)),IF(AND('Entrada das massas'!I18&lt;=$B$9,'Entrada das massas'!I18&gt;$B$8),'Entrada das massas'!I18-((($C$9-$C$8)*($B$9-'Entrada das massas'!I18)+($B$8*$C$9)-($B$9*$C$9))/($B$8-$B$9)),IF(AND('Entrada das massas'!I18&lt;=$B$8,'Entrada das massas'!I18&gt;$B$7),'Entrada das massas'!I18-((($C$8-$C$7)*($B$8-'Entrada das massas'!I18)+($B$7*$C$8)-($B$8*$C$8))/($B$7-$B$8)),IF(AND('Entrada das massas'!I18&lt;=$B$7,'Entrada das massas'!I18&gt;$B$6),'Entrada das massas'!I18-((($C$7-$C$6)*($B$7-'Entrada das massas'!I18)+($B$6*$C$7)-($B$7*$C$7))/($B$6-$B$7)),IF(AND('Entrada das massas'!I18&lt;=$B$6,'Entrada das massas'!I18&gt;$B$5),'Entrada das massas'!I18-((($C$6-$C$5)*($B$6-'Entrada das massas'!I18)+($B$5*$C$6)-($B$6*$C$6))/($B$5-$B$6)),IF('Entrada das massas'!I18&lt;=$B$5,'Entrada das massas'!I18-$C$5)))))))))))))))))</f>
        <v>12.527584944859999</v>
      </c>
      <c r="J38" s="117">
        <f t="shared" ref="J38:J39" si="9">IF(I38="","",(IF(AND(I38&lt;=$B$20,I38&gt;$B$19),$D$19+($B$19-I38)/($B$19-$B$20)*($D$20-$D$19),IF(AND(I38&lt;=$B$19,I38&gt;$B$18),$D$18+($B$18-I38)/($B$18-$B$19)*($D$19-$D$18),IF(AND(I38&lt;=$B$18,I38&gt;$B$17),$D$17+($B$17-I38)/($B$17-$B$18)*($D$18-$D$17),IF(AND(I38&lt;=$B$17,I38&gt;$B$16),$D$16+($B$16-I38)/($B$16-$B$17)*($D$17-$D$16),IF(AND(I38&lt;=$B$16,I38&gt;$B$15),$D$15+($B$15-I38)/($B$15-$B$16)*($D$16-$D$15),IF(AND(I38&lt;=$B$15,I38&gt;$B$14),$D$14+($B$14-I38)/($B$14-$B$15)*($D$15-$D$14),IF(AND(I38&lt;=$B$14,I38&gt;$B$13),$D$13+($B$13-I38)/($B$13-$B$14)*($D$14-$D$13),IF(AND(I38&lt;=$B$13,I38&gt;$B$12),$D$12+($B$12-I38)/($B$12-$B$13)*($D$13-$D$12),IF(AND(I38&lt;=$B$12,I38&gt;$B$11),$D$11+($B$11-I38)/($B$11-$B$12)*($D$12-$D$11),IF(AND(I38&lt;=$B$11,I38&gt;$B$10),$D$10+($B$10-I38)/($B$10-$B$11)*($D$11-$D$10),IF(AND(I38&lt;=$B$10,I38&gt;$B$9),$D$9+($B$9-I38)/($B$9-$B$10)*($D$10-$D$9),IF(AND(I38&lt;=$B$9,I38&gt;$B$8),$D$8+($B$8-I38)/($B$8-$B$9)*($D$9-$D$8),IF(AND(I38&lt;=$B$8,I38&gt;$B$7),$D$7+($B$7-I38)/($B$7-$B$8)*($D$8-$D$7),IF(AND(I38&lt;=$B$7,I38&gt;$B$6),$D$6+($B$6-I38)/($B$6-$B$7)*($D$7-$D$6),IF(I38&lt;=$B$6,$D$6)))))))))))))))))</f>
        <v>1.0000000000000001E-5</v>
      </c>
      <c r="K38" s="120">
        <f>IF(I37="","",I38-I37)</f>
        <v>0.30079939839999881</v>
      </c>
      <c r="L38" s="117">
        <f>IF(J37="","",SQRT(SUMSQ(J37:J38)))</f>
        <v>1.4142135623730951E-5</v>
      </c>
      <c r="M38" s="93" t="str">
        <f>IF(I36="","","Amostra")</f>
        <v>Amostra</v>
      </c>
      <c r="N38" s="118"/>
      <c r="O38" s="115" t="str">
        <f>IF(P36="","","Frasco + Amostra")</f>
        <v>Frasco + Amostra</v>
      </c>
      <c r="P38" s="95" t="str">
        <f>IF('Entrada das massas'!N18="","",IF(AND('Entrada das massas'!N18&lt;=$B$20,'Entrada das massas'!N18&gt;$B$19),'Entrada das massas'!N18-((($C$20-$C$19)*($B$20-'Entrada das massas'!N18)+($B$19*$C$20)-($B$20*$C$20))/($B$19-$B$20)),IF(AND('Entrada das massas'!N18&lt;=$B$19,'Entrada das massas'!N18&gt;$B$18),'Entrada das massas'!N18-((($C$19-$C$18)*($B$19-'Entrada das massas'!N18)+($B$18*$C$19)-($B$19*$C$19))/($B$18-$B$19)),IF(AND('Entrada das massas'!N18&lt;=$B$18,'Entrada das massas'!N18&gt;$B$17),'Entrada das massas'!N18-((($C$18-$C$17)*($B$18-'Entrada das massas'!N18)+($B$17*$C$18)-($B$18*$C$18))/($B$17-$B$18)),IF(AND('Entrada das massas'!N18&lt;=$B$17,'Entrada das massas'!N18&gt;$B$16),'Entrada das massas'!N18-((($C$17-$C$16)*($B$17-'Entrada das massas'!N18)+($B$16*$C$17)-($B$17*$C$17))/($B$16-$B$17)),IF(AND('Entrada das massas'!N18&lt;=$B$16,'Entrada das massas'!N18&gt;$B$15),'Entrada das massas'!N18-((($C$16-$C$15)*($B$16-'Entrada das massas'!N18)+($B$15*$C$16)-($B$16*$C$16))/($B$15-$B$16)),IF(AND('Entrada das massas'!N18&lt;=$B$15,'Entrada das massas'!N18&gt;$B$14),'Entrada das massas'!N18-((($C$15-$C$14)*($B$15-'Entrada das massas'!N18)+($B$14*$C$15)-($B$15*$C$15))/($B$14-$B$15)),IF(AND('Entrada das massas'!N18&lt;=$B$14,'Entrada das massas'!N18&gt;$B$13),'Entrada das massas'!N18-((($C$14-$C$13)*($B$14-'Entrada das massas'!N18)+($B$13*$C$14)-($B$14*$C$14))/($B$13-$B$14)),IF(AND('Entrada das massas'!N18&lt;=$B$13,'Entrada das massas'!N18&gt;$B$12),'Entrada das massas'!N18-((($C$13-$C$12)*($B$13-'Entrada das massas'!N18)+($B$12*$C$13)-($B$13*$C$13))/($B$12-$B$13)),IF(AND('Entrada das massas'!N18&lt;=$B$12,'Entrada das massas'!N18&gt;$B$11),'Entrada das massas'!N18-((($C$12-$C$11)*($B$12-'Entrada das massas'!N18)+($B$11*$C$12)-($B$12*$C$12))/($B$11-$B$12)),IF(AND('Entrada das massas'!N18&lt;=$B$11,'Entrada das massas'!N18&gt;$B$10),'Entrada das massas'!N18-((($C$11-$C$10)*($B$11-'Entrada das massas'!N18)+($B$10*$C$11)-($B$11*$C$11))/($B$10-$B$11)),IF(AND('Entrada das massas'!N18&lt;=$B$10,'Entrada das massas'!N18&gt;$B$9),'Entrada das massas'!N18-((($C$10-$C$9)*($B$10-'Entrada das massas'!N18)+($B$9*$C$10)-($B$10*$C$10))/($B$9-$B$10)),IF(AND('Entrada das massas'!N18&lt;=$B$9,'Entrada das massas'!N18&gt;$B$8),'Entrada das massas'!N18-((($C$9-$C$8)*($B$9-'Entrada das massas'!N18)+($B$8*$C$9)-($B$9*$C$9))/($B$8-$B$9)),IF(AND('Entrada das massas'!N18&lt;=$B$8,'Entrada das massas'!N18&gt;$B$7),'Entrada das massas'!N18-((($C$8-$C$7)*($B$8-'Entrada das massas'!N18)+($B$7*$C$8)-($B$8*$C$8))/($B$7-$B$8)),IF(AND('Entrada das massas'!N18&lt;=$B$7,'Entrada das massas'!N18&gt;$B$6),'Entrada das massas'!N18-((($C$7-$C$6)*($B$7-'Entrada das massas'!N18)+($B$6*$C$7)-($B$7*$C$7))/($B$6-$B$7)),IF(AND('Entrada das massas'!N18&lt;=$B$6,'Entrada das massas'!N18&gt;$B$5),'Entrada das massas'!N18-((($C$6-$C$5)*($B$6-'Entrada das massas'!N18)+($B$5*$C$6)-($B$6*$C$6))/($B$5-$B$6)),IF('Entrada das massas'!N18&lt;=$B$5,'Entrada das massas'!N18-$C$5)))))))))))))))))</f>
        <v/>
      </c>
      <c r="Q38" s="117" t="str">
        <f t="shared" ref="Q38:Q39" si="10">IF(P38="","",(IF(AND(P38&lt;=$B$20,P38&gt;$B$19),$D$19+($B$19-P38)/($B$19-$B$20)*($D$20-$D$19),IF(AND(P38&lt;=$B$19,P38&gt;$B$18),$D$18+($B$18-P38)/($B$18-$B$19)*($D$19-$D$18),IF(AND(P38&lt;=$B$18,P38&gt;$B$17),$D$17+($B$17-P38)/($B$17-$B$18)*($D$18-$D$17),IF(AND(P38&lt;=$B$17,P38&gt;$B$16),$D$16+($B$16-P38)/($B$16-$B$17)*($D$17-$D$16),IF(AND(P38&lt;=$B$16,P38&gt;$B$15),$D$15+($B$15-P38)/($B$15-$B$16)*($D$16-$D$15),IF(AND(P38&lt;=$B$15,P38&gt;$B$14),$D$14+($B$14-P38)/($B$14-$B$15)*($D$15-$D$14),IF(AND(P38&lt;=$B$14,P38&gt;$B$13),$D$13+($B$13-P38)/($B$13-$B$14)*($D$14-$D$13),IF(AND(P38&lt;=$B$13,P38&gt;$B$12),$D$12+($B$12-P38)/($B$12-$B$13)*($D$13-$D$12),IF(AND(P38&lt;=$B$12,P38&gt;$B$11),$D$11+($B$11-P38)/($B$11-$B$12)*($D$12-$D$11),IF(AND(P38&lt;=$B$11,P38&gt;$B$10),$D$10+($B$10-P38)/($B$10-$B$11)*($D$11-$D$10),IF(AND(P38&lt;=$B$10,P38&gt;$B$9),$D$9+($B$9-P38)/($B$9-$B$10)*($D$10-$D$9),IF(AND(P38&lt;=$B$9,P38&gt;$B$8),$D$8+($B$8-P38)/($B$8-$B$9)*($D$9-$D$8),IF(AND(P38&lt;=$B$8,P38&gt;$B$7),$D$7+($B$7-P38)/($B$7-$B$8)*($D$8-$D$7),IF(AND(P38&lt;=$B$7,P38&gt;$B$6),$D$6+($B$6-P38)/($B$6-$B$7)*($D$7-$D$6),IF(P38&lt;=$B$6,$D$6)))))))))))))))))</f>
        <v/>
      </c>
      <c r="R38" s="120" t="str">
        <f>IF(P37="","",P38-P37)</f>
        <v/>
      </c>
      <c r="S38" s="117" t="str">
        <f>IF(Q37="","",SQRT(SUMSQ(Q37:Q38)))</f>
        <v/>
      </c>
      <c r="T38" s="93" t="str">
        <f>IF(P36="","","Amostra")</f>
        <v>Amostra</v>
      </c>
      <c r="U38" s="118"/>
      <c r="V38" s="115" t="str">
        <f>IF(W36="","","Frasco + Amostra")</f>
        <v/>
      </c>
      <c r="W38" s="95" t="str">
        <f>IF('Entrada das massas'!S18="","",IF(AND('Entrada das massas'!S18&lt;=$B$20,'Entrada das massas'!S18&gt;$B$19),'Entrada das massas'!S18-((($C$20-$C$19)*($B$20-'Entrada das massas'!S18)+($B$19*$C$20)-($B$20*$C$20))/($B$19-$B$20)),IF(AND('Entrada das massas'!S18&lt;=$B$19,'Entrada das massas'!S18&gt;$B$18),'Entrada das massas'!S18-((($C$19-$C$18)*($B$19-'Entrada das massas'!S18)+($B$18*$C$19)-($B$19*$C$19))/($B$18-$B$19)),IF(AND('Entrada das massas'!S18&lt;=$B$18,'Entrada das massas'!S18&gt;$B$17),'Entrada das massas'!S18-((($C$18-$C$17)*($B$18-'Entrada das massas'!S18)+($B$17*$C$18)-($B$18*$C$18))/($B$17-$B$18)),IF(AND('Entrada das massas'!S18&lt;=$B$17,'Entrada das massas'!S18&gt;$B$16),'Entrada das massas'!S18-((($C$17-$C$16)*($B$17-'Entrada das massas'!S18)+($B$16*$C$17)-($B$17*$C$17))/($B$16-$B$17)),IF(AND('Entrada das massas'!S18&lt;=$B$16,'Entrada das massas'!S18&gt;$B$15),'Entrada das massas'!S18-((($C$16-$C$15)*($B$16-'Entrada das massas'!S18)+($B$15*$C$16)-($B$16*$C$16))/($B$15-$B$16)),IF(AND('Entrada das massas'!S18&lt;=$B$15,'Entrada das massas'!S18&gt;$B$14),'Entrada das massas'!S18-((($C$15-$C$14)*($B$15-'Entrada das massas'!S18)+($B$14*$C$15)-($B$15*$C$15))/($B$14-$B$15)),IF(AND('Entrada das massas'!S18&lt;=$B$14,'Entrada das massas'!S18&gt;$B$13),'Entrada das massas'!S18-((($C$14-$C$13)*($B$14-'Entrada das massas'!S18)+($B$13*$C$14)-($B$14*$C$14))/($B$13-$B$14)),IF(AND('Entrada das massas'!S18&lt;=$B$13,'Entrada das massas'!S18&gt;$B$12),'Entrada das massas'!S18-((($C$13-$C$12)*($B$13-'Entrada das massas'!S18)+($B$12*$C$13)-($B$13*$C$13))/($B$12-$B$13)),IF(AND('Entrada das massas'!S18&lt;=$B$12,'Entrada das massas'!S18&gt;$B$11),'Entrada das massas'!S18-((($C$12-$C$11)*($B$12-'Entrada das massas'!S18)+($B$11*$C$12)-($B$12*$C$12))/($B$11-$B$12)),IF(AND('Entrada das massas'!S18&lt;=$B$11,'Entrada das massas'!S18&gt;$B$10),'Entrada das massas'!S18-((($C$11-$C$10)*($B$11-'Entrada das massas'!S18)+($B$10*$C$11)-($B$11*$C$11))/($B$10-$B$11)),IF(AND('Entrada das massas'!S18&lt;=$B$10,'Entrada das massas'!S18&gt;$B$9),'Entrada das massas'!S18-((($C$10-$C$9)*($B$10-'Entrada das massas'!S18)+($B$9*$C$10)-($B$10*$C$10))/($B$9-$B$10)),IF(AND('Entrada das massas'!S18&lt;=$B$9,'Entrada das massas'!S18&gt;$B$8),'Entrada das massas'!S18-((($C$9-$C$8)*($B$9-'Entrada das massas'!S18)+($B$8*$C$9)-($B$9*$C$9))/($B$8-$B$9)),IF(AND('Entrada das massas'!S18&lt;=$B$8,'Entrada das massas'!S18&gt;$B$7),'Entrada das massas'!S18-((($C$8-$C$7)*($B$8-'Entrada das massas'!S18)+($B$7*$C$8)-($B$8*$C$8))/($B$7-$B$8)),IF(AND('Entrada das massas'!S18&lt;=$B$7,'Entrada das massas'!S18&gt;$B$6),'Entrada das massas'!S18-((($C$7-$C$6)*($B$7-'Entrada das massas'!S18)+($B$6*$C$7)-($B$7*$C$7))/($B$6-$B$7)),IF(AND('Entrada das massas'!S18&lt;=$B$6,'Entrada das massas'!S18&gt;$B$5),'Entrada das massas'!S18-((($C$6-$C$5)*($B$6-'Entrada das massas'!S18)+($B$5*$C$6)-($B$6*$C$6))/($B$5-$B$6)),IF('Entrada das massas'!S18&lt;=$B$5,'Entrada das massas'!S18-$C$5)))))))))))))))))</f>
        <v/>
      </c>
      <c r="X38" s="117" t="str">
        <f t="shared" ref="X38:X39" si="11">IF(W38="","",(IF(AND(W38&lt;=$B$20,W38&gt;$B$19),$D$19+($B$19-W38)/($B$19-$B$20)*($D$20-$D$19),IF(AND(W38&lt;=$B$19,W38&gt;$B$18),$D$18+($B$18-W38)/($B$18-$B$19)*($D$19-$D$18),IF(AND(W38&lt;=$B$18,W38&gt;$B$17),$D$17+($B$17-W38)/($B$17-$B$18)*($D$18-$D$17),IF(AND(W38&lt;=$B$17,W38&gt;$B$16),$D$16+($B$16-W38)/($B$16-$B$17)*($D$17-$D$16),IF(AND(W38&lt;=$B$16,W38&gt;$B$15),$D$15+($B$15-W38)/($B$15-$B$16)*($D$16-$D$15),IF(AND(W38&lt;=$B$15,W38&gt;$B$14),$D$14+($B$14-W38)/($B$14-$B$15)*($D$15-$D$14),IF(AND(W38&lt;=$B$14,W38&gt;$B$13),$D$13+($B$13-W38)/($B$13-$B$14)*($D$14-$D$13),IF(AND(W38&lt;=$B$13,W38&gt;$B$12),$D$12+($B$12-W38)/($B$12-$B$13)*($D$13-$D$12),IF(AND(W38&lt;=$B$12,W38&gt;$B$11),$D$11+($B$11-W38)/($B$11-$B$12)*($D$12-$D$11),IF(AND(W38&lt;=$B$11,W38&gt;$B$10),$D$10+($B$10-W38)/($B$10-$B$11)*($D$11-$D$10),IF(AND(W38&lt;=$B$10,W38&gt;$B$9),$D$9+($B$9-W38)/($B$9-$B$10)*($D$10-$D$9),IF(AND(W38&lt;=$B$9,W38&gt;$B$8),$D$8+($B$8-W38)/($B$8-$B$9)*($D$9-$D$8),IF(AND(W38&lt;=$B$8,W38&gt;$B$7),$D$7+($B$7-W38)/($B$7-$B$8)*($D$8-$D$7),IF(AND(W38&lt;=$B$7,W38&gt;$B$6),$D$6+($B$6-W38)/($B$6-$B$7)*($D$7-$D$6),IF(W38&lt;=$B$6,$D$6)))))))))))))))))</f>
        <v/>
      </c>
      <c r="Y38" s="120" t="str">
        <f>IF(W37="","",W38-W37)</f>
        <v/>
      </c>
      <c r="Z38" s="117" t="str">
        <f>IF(X37="","",SQRT(SUMSQ(X37:X38)))</f>
        <v/>
      </c>
      <c r="AA38" s="93" t="str">
        <f>IF(W36="","","Amostra")</f>
        <v/>
      </c>
      <c r="AC38" s="102"/>
      <c r="AD38" s="93"/>
      <c r="AE38" s="101"/>
      <c r="AF38" s="102"/>
      <c r="AG38" s="319"/>
      <c r="AH38" s="93"/>
      <c r="AI38" s="93"/>
      <c r="AJ38" s="101"/>
      <c r="AK38" s="101"/>
      <c r="AL38" s="101"/>
      <c r="AM38" s="98"/>
      <c r="AN38" s="98"/>
      <c r="AO38" s="98"/>
      <c r="AP38" s="98"/>
      <c r="AQ38" s="98"/>
      <c r="AR38" s="98"/>
      <c r="AS38" s="98"/>
      <c r="AT38" s="98"/>
    </row>
    <row r="39" spans="1:46" x14ac:dyDescent="0.2">
      <c r="A39" s="122" t="s">
        <v>58</v>
      </c>
      <c r="B39" s="111">
        <f>IF(AND('Entrada das massas'!C19&lt;=$B$20,'Entrada das massas'!C19&gt;$B$19),'Entrada das massas'!C19-((($C$20-$C$19)*($B$20-'Entrada das massas'!C19)+($B$19*$C$20)-($B$20*$C$20))/($B$19-$B$20)),IF(AND('Entrada das massas'!C19&lt;=$B$19,'Entrada das massas'!C19&gt;$B$18),'Entrada das massas'!C19-((($C$19-$C$18)*($B$19-'Entrada das massas'!C19)+($B$18*$C$19)-($B$19*$C$19))/($B$18-$B$19)),IF(AND('Entrada das massas'!C19&lt;=$B$18,'Entrada das massas'!C19&gt;$B$17),'Entrada das massas'!C19-((($C$18-$C$17)*($B$18-'Entrada das massas'!C19)+($B$17*$C$18)-($B$18*$C$18))/($B$17-$B$18)),IF(AND('Entrada das massas'!C19&lt;=$B$17,'Entrada das massas'!C19&gt;$B$16),'Entrada das massas'!C19-((($C$17-$C$16)*($B$17-'Entrada das massas'!C19)+($B$16*$C$17)-($B$17*$C$17))/($B$16-$B$17)),IF(AND('Entrada das massas'!C19&lt;=$B$16,'Entrada das massas'!C19&gt;$B$15),'Entrada das massas'!C19-((($C$16-$C$15)*($B$16-'Entrada das massas'!C19)+($B$15*$C$16)-($B$16*$C$16))/($B$15-$B$16)),IF(AND('Entrada das massas'!C19&lt;=$B$15,'Entrada das massas'!C19&gt;$B$14),'Entrada das massas'!C19-((($C$15-$C$14)*($B$15-'Entrada das massas'!C19)+($B$14*$C$15)-($B$15*$C$15))/($B$14-$B$15)),IF(AND('Entrada das massas'!C19&lt;=$B$14,'Entrada das massas'!C19&gt;$B$13),'Entrada das massas'!C19-((($C$14-$C$13)*($B$14-'Entrada das massas'!C19)+($B$13*$C$14)-($B$14*$C$14))/($B$13-$B$14)),IF(AND('Entrada das massas'!C19&lt;=$B$13,'Entrada das massas'!C19&gt;$B$12),'Entrada das massas'!C19-((($C$13-$C$12)*($B$13-'Entrada das massas'!C19)+($B$12*$C$13)-($B$13*$C$13))/($B$12-$B$13)),IF(AND('Entrada das massas'!C19&lt;=$B$12,'Entrada das massas'!C19&gt;$B$11),'Entrada das massas'!C19-((($C$12-$C$11)*($B$12-'Entrada das massas'!C19)+($B$11*$C$12)-($B$12*$C$12))/($B$11-$B$12)), IF(AND('Entrada das massas'!C19&lt;=$B$11,'Entrada das massas'!C19&gt;$B$10),'Entrada das massas'!C19-((($C$11-$C$10)*($B$11-'Entrada das massas'!C19)+($B$10*$C$11)-($B$11*$C$11))/($B$10-$B$11)),IF(AND('Entrada das massas'!C19&lt;=$B$10,'Entrada das massas'!C19&gt;$B$9),'Entrada das massas'!C19-((($C$10-$C$9)*($B$10-'Entrada das massas'!C19)+($B$9*$C$10)-($B$10*$C$10))/($B$9-$B$10)),IF(AND('Entrada das massas'!C19&lt;=$B$9,'Entrada das massas'!C19&gt;$B$8),'Entrada das massas'!C19-((($C$9-$C$8)*($B$9-'Entrada das massas'!C19)+($B$8*$C$9)-($B$9*$C$9))/($B$8-$B$9)),IF(AND('Entrada das massas'!C19&lt;=$B$8,'Entrada das massas'!C19&gt;$B$7),'Entrada das massas'!C19-((($C$8-$C$7)*($B$8-'Entrada das massas'!C19)+($B$7*$C$8)-($B$8*$C$8))/($B$7-$B$8)),IF(AND('Entrada das massas'!C19&lt;=$B$7,'Entrada das massas'!C19&gt;$B$6),'Entrada das massas'!C19-((($C$7-$C$6)*($B$7-'Entrada das massas'!C19)+($B$6*$C$7)-($B$7*$C$7))/($B$6-$B$7)),IF(AND('Entrada das massas'!C19&lt;=$B$6,'Entrada das massas'!C19&gt;$B$5),'Entrada das massas'!C19-((($C$6-$C$5)*($B$6-'Entrada das massas'!C19)+($B$5*$C$6)-($B$6*$C$6))/($B$5-$B$6)),IF('Entrada das massas'!C19&lt;=$B$5,'Entrada das massas'!C19-$C$5))))))))))))))))</f>
        <v>0</v>
      </c>
      <c r="C39" s="112">
        <f>(IF(AND(B39&lt;=$B$20,B39&gt;$B$19),$D$19+($B$19-B39)/($B$19-$B$20)*($D$20-$D$19),IF(AND(B39&lt;=$B$19,B39&gt;$B$18),$D$18+($B$18-B39)/($B$18-$B$19)*($D$19-$D$18),IF(AND(B39&lt;=$B$18,B39&gt;$B$17),$D$17+($B$17-B39)/($B$17-$B$18)*($D$18-$D$17),IF(AND(B39&lt;=$B$17,B39&gt;$B$16),$D$16+($B$16-B39)/($B$16-$B$17)*($D$17-$D$16),IF(AND(B39&lt;=$B$16,B39&gt;$B$15),$D$15+($B$15-B39)/($B$15-$B$16)*($D$16-$D$15),IF(AND(B39&lt;=$B$15,B39&gt;$B$14),$D$14+($B$14-B39)/($B$14-$B$15)*($D$15-$D$14),IF(AND(B39&lt;=$B$14,B39&gt;$B$13),$D$13+($B$13-B39)/($B$13-$B$14)*($D$14-$D$13),IF(AND(B39&lt;=$B$13,B39&gt;$B$12),$D$12+($B$12-B39)/($B$12-$B$13)*($D$13-$D$12),IF(AND(B39&lt;=$B$12,B39&gt;$B$11),$D$11+($B$11-B39)/($B$11-$B$12)*($D$12-$D$11),IF(AND(B39&lt;=$B$11,B39&gt;$B$10),$D$10+($B$10-B39)/($B$10-$B$11)*($D$11-$D$10),IF(AND(B39&lt;=$B$10,B39&gt;$B$9),$D$9+($B$9-B39)/($B$9-$B$10)*($D$10-$D$9),IF(AND(B39&lt;=$B$9,B39&gt;$B$8),$D$8+($B$8-B39)/($B$8-$B$9)*($D$9-$D$8),IF(AND(B39&lt;=$B$8,B39&gt;$B$7),$D$7+($B$7-B39)/($B$7-$B$8)*($D$8-$D$7),IF(AND(B39&lt;=$B$7,B39&gt;$B$6),$D$6+($B$6-B39)/($B$6-$B$7)*($D$7-$D$6),IF(B39&lt;=$B$6,$D$6))))))))))))))))</f>
        <v>1.0000000000000001E-5</v>
      </c>
      <c r="D39" s="113" t="s">
        <v>83</v>
      </c>
      <c r="E39" s="119">
        <f>B39-B37</f>
        <v>0</v>
      </c>
      <c r="F39" s="112">
        <f>SQRT(SUMSQ(C37,C39))</f>
        <v>1.4142135623730951E-5</v>
      </c>
      <c r="H39" s="123" t="str">
        <f>IF(I36="","","Massa final")</f>
        <v>Massa final</v>
      </c>
      <c r="I39" s="116">
        <f>IF('Entrada das massas'!I19="","",IF(AND('Entrada das massas'!I19&lt;=$B$20,'Entrada das massas'!I19&gt;$B$19),'Entrada das massas'!I19-((($C$20-$C$19)*($B$20-'Entrada das massas'!I19)+($B$19*$C$20)-($B$20*$C$20))/($B$19-$B$20)),IF(AND('Entrada das massas'!I19&lt;=$B$19,'Entrada das massas'!I19&gt;$B$18),'Entrada das massas'!I19-((($C$19-$C$18)*($B$19-'Entrada das massas'!I19)+($B$18*$C$19)-($B$19*$C$19))/($B$18-$B$19)),IF(AND('Entrada das massas'!I19&lt;=$B$18,'Entrada das massas'!I19&gt;$B$17),'Entrada das massas'!I19-((($C$18-$C$17)*($B$18-'Entrada das massas'!I19)+($B$17*$C$18)-($B$18*$C$18))/($B$17-$B$18)),IF(AND('Entrada das massas'!I19&lt;=$B$17,'Entrada das massas'!I19&gt;$B$16),'Entrada das massas'!I19-((($C$17-$C$16)*($B$17-'Entrada das massas'!I19)+($B$16*$C$17)-($B$17*$C$17))/($B$16-$B$17)),IF(AND('Entrada das massas'!I19&lt;=$B$16,'Entrada das massas'!I19&gt;$B$15),'Entrada das massas'!I19-((($C$16-$C$15)*($B$16-'Entrada das massas'!I19)+($B$15*$C$16)-($B$16*$C$16))/($B$15-$B$16)),IF(AND('Entrada das massas'!I19&lt;=$B$15,'Entrada das massas'!I19&gt;$B$14),'Entrada das massas'!I19-((($C$15-$C$14)*($B$15-'Entrada das massas'!I19)+($B$14*$C$15)-($B$15*$C$15))/($B$14-$B$15)),IF(AND('Entrada das massas'!I19&lt;=$B$14,'Entrada das massas'!I19&gt;$B$13),'Entrada das massas'!I19-((($C$14-$C$13)*($B$14-'Entrada das massas'!I19)+($B$13*$C$14)-($B$14*$C$14))/($B$13-$B$14)),IF(AND('Entrada das massas'!I19&lt;=$B$13,'Entrada das massas'!I19&gt;$B$12),'Entrada das massas'!I19-((($C$13-$C$12)*($B$13-'Entrada das massas'!I19)+($B$12*$C$13)-($B$13*$C$13))/($B$12-$B$13)),IF(AND('Entrada das massas'!I19&lt;=$B$12,'Entrada das massas'!I19&gt;$B$11),'Entrada das massas'!I19-((($C$12-$C$11)*($B$12-'Entrada das massas'!I19)+($B$11*$C$12)-($B$12*$C$12))/($B$11-$B$12)),IF(AND('Entrada das massas'!I19&lt;=$B$11,'Entrada das massas'!I19&gt;$B$10),'Entrada das massas'!I19-((($C$11-$C$10)*($B$11-'Entrada das massas'!I19)+($B$10*$C$11)-($B$11*$C$11))/($B$10-$B$11)),IF(AND('Entrada das massas'!I19&lt;=$B$10,'Entrada das massas'!I19&gt;$B$9),'Entrada das massas'!I19-((($C$10-$C$9)*($B$10-'Entrada das massas'!I19)+($B$9*$C$10)-($B$10*$C$10))/($B$9-$B$10)),IF(AND('Entrada das massas'!I19&lt;=$B$9,'Entrada das massas'!I19&gt;$B$8),'Entrada das massas'!I19-((($C$9-$C$8)*($B$9-'Entrada das massas'!I19)+($B$8*$C$9)-($B$9*$C$9))/($B$8-$B$9)),IF(AND('Entrada das massas'!I19&lt;=$B$8,'Entrada das massas'!I19&gt;$B$7),'Entrada das massas'!I19-((($C$8-$C$7)*($B$8-'Entrada das massas'!I19)+($B$7*$C$8)-($B$8*$C$8))/($B$7-$B$8)),IF(AND('Entrada das massas'!I19&lt;=$B$7,'Entrada das massas'!I19&gt;$B$6),'Entrada das massas'!I19-((($C$7-$C$6)*($B$7-'Entrada das massas'!I19)+($B$6*$C$7)-($B$7*$C$7))/($B$6-$B$7)),IF(AND('Entrada das massas'!I19&lt;=$B$6,'Entrada das massas'!I19&gt;$B$5),'Entrada das massas'!I19-((($C$6-$C$5)*($B$6-'Entrada das massas'!I19)+($B$5*$C$6)-($B$6*$C$6))/($B$5-$B$6)),IF('Entrada das massas'!I19&lt;=$B$5,'Entrada das massas'!I19-$C$5)))))))))))))))))</f>
        <v>63.20532320529</v>
      </c>
      <c r="J39" s="117">
        <f t="shared" si="9"/>
        <v>2.5000000000000001E-5</v>
      </c>
      <c r="K39" s="120">
        <f>IF(I37="","",I39-I37)</f>
        <v>50.97853765883</v>
      </c>
      <c r="L39" s="117">
        <f>IF(J37="","",SQRT(SUMSQ(J37,J39)))</f>
        <v>2.6925824035672523E-5</v>
      </c>
      <c r="M39" s="93" t="str">
        <f>IF(I36="","","Solução")</f>
        <v>Solução</v>
      </c>
      <c r="N39" s="93"/>
      <c r="O39" s="123" t="str">
        <f>IF(P36="","","Massa final")</f>
        <v>Massa final</v>
      </c>
      <c r="P39" s="95" t="str">
        <f>IF('Entrada das massas'!N19="","",IF(AND('Entrada das massas'!N19&lt;=$B$20,'Entrada das massas'!N19&gt;$B$19),'Entrada das massas'!N19-((($C$20-$C$19)*($B$20-'Entrada das massas'!N19)+($B$19*$C$20)-($B$20*$C$20))/($B$19-$B$20)),IF(AND('Entrada das massas'!N19&lt;=$B$19,'Entrada das massas'!N19&gt;$B$18),'Entrada das massas'!N19-((($C$19-$C$18)*($B$19-'Entrada das massas'!N19)+($B$18*$C$19)-($B$19*$C$19))/($B$18-$B$19)),IF(AND('Entrada das massas'!N19&lt;=$B$18,'Entrada das massas'!N19&gt;$B$17),'Entrada das massas'!N19-((($C$18-$C$17)*($B$18-'Entrada das massas'!N19)+($B$17*$C$18)-($B$18*$C$18))/($B$17-$B$18)),IF(AND('Entrada das massas'!N19&lt;=$B$17,'Entrada das massas'!N19&gt;$B$16),'Entrada das massas'!N19-((($C$17-$C$16)*($B$17-'Entrada das massas'!N19)+($B$16*$C$17)-($B$17*$C$17))/($B$16-$B$17)),IF(AND('Entrada das massas'!N19&lt;=$B$16,'Entrada das massas'!N19&gt;$B$15),'Entrada das massas'!N19-((($C$16-$C$15)*($B$16-'Entrada das massas'!N19)+($B$15*$C$16)-($B$16*$C$16))/($B$15-$B$16)),IF(AND('Entrada das massas'!N19&lt;=$B$15,'Entrada das massas'!N19&gt;$B$14),'Entrada das massas'!N19-((($C$15-$C$14)*($B$15-'Entrada das massas'!N19)+($B$14*$C$15)-($B$15*$C$15))/($B$14-$B$15)),IF(AND('Entrada das massas'!N19&lt;=$B$14,'Entrada das massas'!N19&gt;$B$13),'Entrada das massas'!N19-((($C$14-$C$13)*($B$14-'Entrada das massas'!N19)+($B$13*$C$14)-($B$14*$C$14))/($B$13-$B$14)),IF(AND('Entrada das massas'!N19&lt;=$B$13,'Entrada das massas'!N19&gt;$B$12),'Entrada das massas'!N19-((($C$13-$C$12)*($B$13-'Entrada das massas'!N19)+($B$12*$C$13)-($B$13*$C$13))/($B$12-$B$13)),IF(AND('Entrada das massas'!N19&lt;=$B$12,'Entrada das massas'!N19&gt;$B$11),'Entrada das massas'!N19-((($C$12-$C$11)*($B$12-'Entrada das massas'!N19)+($B$11*$C$12)-($B$12*$C$12))/($B$11-$B$12)),IF(AND('Entrada das massas'!N19&lt;=$B$11,'Entrada das massas'!N19&gt;$B$10),'Entrada das massas'!N19-((($C$11-$C$10)*($B$11-'Entrada das massas'!N19)+($B$10*$C$11)-($B$11*$C$11))/($B$10-$B$11)),IF(AND('Entrada das massas'!N19&lt;=$B$10,'Entrada das massas'!N19&gt;$B$9),'Entrada das massas'!N19-((($C$10-$C$9)*($B$10-'Entrada das massas'!N19)+($B$9*$C$10)-($B$10*$C$10))/($B$9-$B$10)),IF(AND('Entrada das massas'!N19&lt;=$B$9,'Entrada das massas'!N19&gt;$B$8),'Entrada das massas'!N19-((($C$9-$C$8)*($B$9-'Entrada das massas'!N19)+($B$8*$C$9)-($B$9*$C$9))/($B$8-$B$9)),IF(AND('Entrada das massas'!N19&lt;=$B$8,'Entrada das massas'!N19&gt;$B$7),'Entrada das massas'!N19-((($C$8-$C$7)*($B$8-'Entrada das massas'!N19)+($B$7*$C$8)-($B$8*$C$8))/($B$7-$B$8)),IF(AND('Entrada das massas'!N19&lt;=$B$7,'Entrada das massas'!N19&gt;$B$6),'Entrada das massas'!N19-((($C$7-$C$6)*($B$7-'Entrada das massas'!N19)+($B$6*$C$7)-($B$7*$C$7))/($B$6-$B$7)),IF(AND('Entrada das massas'!N19&lt;=$B$6,'Entrada das massas'!N19&gt;$B$5),'Entrada das massas'!N19-((($C$6-$C$5)*($B$6-'Entrada das massas'!N19)+($B$5*$C$6)-($B$6*$C$6))/($B$5-$B$6)),IF('Entrada das massas'!N19&lt;=$B$5,'Entrada das massas'!N19-$C$5)))))))))))))))))</f>
        <v/>
      </c>
      <c r="Q39" s="117" t="str">
        <f t="shared" si="10"/>
        <v/>
      </c>
      <c r="R39" s="120" t="str">
        <f>IF(P37="","",P39-P37)</f>
        <v/>
      </c>
      <c r="S39" s="117" t="str">
        <f>IF(Q37="","",SQRT(SUMSQ(Q37,Q39)))</f>
        <v/>
      </c>
      <c r="T39" s="93" t="str">
        <f>IF(P36="","","Solução")</f>
        <v>Solução</v>
      </c>
      <c r="U39" s="93"/>
      <c r="V39" s="123" t="str">
        <f>IF(W36="","","Massa final")</f>
        <v/>
      </c>
      <c r="W39" s="95" t="str">
        <f>IF('Entrada das massas'!S19="","",IF(AND('Entrada das massas'!S19&lt;=$B$20,'Entrada das massas'!S19&gt;$B$19),'Entrada das massas'!S19-((($C$20-$C$19)*($B$20-'Entrada das massas'!S19)+($B$19*$C$20)-($B$20*$C$20))/($B$19-$B$20)),IF(AND('Entrada das massas'!S19&lt;=$B$19,'Entrada das massas'!S19&gt;$B$18),'Entrada das massas'!S19-((($C$19-$C$18)*($B$19-'Entrada das massas'!S19)+($B$18*$C$19)-($B$19*$C$19))/($B$18-$B$19)),IF(AND('Entrada das massas'!S19&lt;=$B$18,'Entrada das massas'!S19&gt;$B$17),'Entrada das massas'!S19-((($C$18-$C$17)*($B$18-'Entrada das massas'!S19)+($B$17*$C$18)-($B$18*$C$18))/($B$17-$B$18)),IF(AND('Entrada das massas'!S19&lt;=$B$17,'Entrada das massas'!S19&gt;$B$16),'Entrada das massas'!S19-((($C$17-$C$16)*($B$17-'Entrada das massas'!S19)+($B$16*$C$17)-($B$17*$C$17))/($B$16-$B$17)),IF(AND('Entrada das massas'!S19&lt;=$B$16,'Entrada das massas'!S19&gt;$B$15),'Entrada das massas'!S19-((($C$16-$C$15)*($B$16-'Entrada das massas'!S19)+($B$15*$C$16)-($B$16*$C$16))/($B$15-$B$16)),IF(AND('Entrada das massas'!S19&lt;=$B$15,'Entrada das massas'!S19&gt;$B$14),'Entrada das massas'!S19-((($C$15-$C$14)*($B$15-'Entrada das massas'!S19)+($B$14*$C$15)-($B$15*$C$15))/($B$14-$B$15)),IF(AND('Entrada das massas'!S19&lt;=$B$14,'Entrada das massas'!S19&gt;$B$13),'Entrada das massas'!S19-((($C$14-$C$13)*($B$14-'Entrada das massas'!S19)+($B$13*$C$14)-($B$14*$C$14))/($B$13-$B$14)),IF(AND('Entrada das massas'!S19&lt;=$B$13,'Entrada das massas'!S19&gt;$B$12),'Entrada das massas'!S19-((($C$13-$C$12)*($B$13-'Entrada das massas'!S19)+($B$12*$C$13)-($B$13*$C$13))/($B$12-$B$13)),IF(AND('Entrada das massas'!S19&lt;=$B$12,'Entrada das massas'!S19&gt;$B$11),'Entrada das massas'!S19-((($C$12-$C$11)*($B$12-'Entrada das massas'!S19)+($B$11*$C$12)-($B$12*$C$12))/($B$11-$B$12)),IF(AND('Entrada das massas'!S19&lt;=$B$11,'Entrada das massas'!S19&gt;$B$10),'Entrada das massas'!S19-((($C$11-$C$10)*($B$11-'Entrada das massas'!S19)+($B$10*$C$11)-($B$11*$C$11))/($B$10-$B$11)),IF(AND('Entrada das massas'!S19&lt;=$B$10,'Entrada das massas'!S19&gt;$B$9),'Entrada das massas'!S19-((($C$10-$C$9)*($B$10-'Entrada das massas'!S19)+($B$9*$C$10)-($B$10*$C$10))/($B$9-$B$10)),IF(AND('Entrada das massas'!S19&lt;=$B$9,'Entrada das massas'!S19&gt;$B$8),'Entrada das massas'!S19-((($C$9-$C$8)*($B$9-'Entrada das massas'!S19)+($B$8*$C$9)-($B$9*$C$9))/($B$8-$B$9)),IF(AND('Entrada das massas'!S19&lt;=$B$8,'Entrada das massas'!S19&gt;$B$7),'Entrada das massas'!S19-((($C$8-$C$7)*($B$8-'Entrada das massas'!S19)+($B$7*$C$8)-($B$8*$C$8))/($B$7-$B$8)),IF(AND('Entrada das massas'!S19&lt;=$B$7,'Entrada das massas'!S19&gt;$B$6),'Entrada das massas'!S19-((($C$7-$C$6)*($B$7-'Entrada das massas'!S19)+($B$6*$C$7)-($B$7*$C$7))/($B$6-$B$7)),IF(AND('Entrada das massas'!S19&lt;=$B$6,'Entrada das massas'!S19&gt;$B$5),'Entrada das massas'!S19-((($C$6-$C$5)*($B$6-'Entrada das massas'!S19)+($B$5*$C$6)-($B$6*$C$6))/($B$5-$B$6)),IF('Entrada das massas'!S19&lt;=$B$5,'Entrada das massas'!S19-$C$5)))))))))))))))))</f>
        <v/>
      </c>
      <c r="X39" s="117" t="str">
        <f t="shared" si="11"/>
        <v/>
      </c>
      <c r="Y39" s="120" t="str">
        <f>IF(W37="","",W39-W37)</f>
        <v/>
      </c>
      <c r="Z39" s="117" t="str">
        <f>IF(X37="","",SQRT(SUMSQ(X37,X39)))</f>
        <v/>
      </c>
      <c r="AA39" s="93" t="str">
        <f>IF(W36="","","Solução")</f>
        <v/>
      </c>
      <c r="AC39" s="102"/>
      <c r="AD39" s="93"/>
      <c r="AE39" s="101"/>
      <c r="AF39" s="102"/>
      <c r="AG39" s="142"/>
      <c r="AH39" s="101"/>
      <c r="AI39" s="101"/>
      <c r="AJ39" s="101"/>
      <c r="AK39" s="101"/>
      <c r="AL39" s="101"/>
      <c r="AM39" s="98"/>
      <c r="AN39" s="98"/>
      <c r="AO39" s="98"/>
      <c r="AP39" s="98"/>
      <c r="AQ39" s="98"/>
      <c r="AR39" s="98"/>
      <c r="AS39" s="98"/>
      <c r="AT39" s="98"/>
    </row>
    <row r="40" spans="1:46" ht="13.5" thickBot="1" x14ac:dyDescent="0.25">
      <c r="A40" s="143"/>
      <c r="B40" s="98"/>
      <c r="C40" s="98"/>
      <c r="D40" s="98"/>
      <c r="E40" s="98"/>
      <c r="F40" s="98"/>
      <c r="H40" s="98"/>
      <c r="I40" s="93"/>
      <c r="J40" s="144"/>
      <c r="K40" s="139"/>
      <c r="L40" s="139"/>
      <c r="M40" s="98"/>
      <c r="N40" s="98"/>
      <c r="O40" s="98"/>
      <c r="P40" s="93"/>
      <c r="Q40" s="120"/>
      <c r="R40" s="120"/>
      <c r="S40" s="120"/>
      <c r="T40" s="98"/>
      <c r="U40" s="98"/>
      <c r="V40" s="98"/>
      <c r="W40" s="93"/>
      <c r="X40" s="120"/>
      <c r="Y40" s="120"/>
      <c r="Z40" s="120"/>
      <c r="AA40" s="98"/>
      <c r="AC40" s="102"/>
      <c r="AD40" s="93"/>
      <c r="AE40" s="101"/>
      <c r="AF40" s="101"/>
      <c r="AG40" s="142"/>
      <c r="AH40" s="101"/>
      <c r="AI40" s="101"/>
      <c r="AJ40" s="101"/>
      <c r="AK40" s="101"/>
      <c r="AL40" s="101"/>
      <c r="AM40" s="98"/>
      <c r="AN40" s="98"/>
      <c r="AO40" s="98"/>
      <c r="AP40" s="98"/>
      <c r="AQ40" s="98"/>
      <c r="AR40" s="98"/>
      <c r="AS40" s="98"/>
      <c r="AT40" s="98"/>
    </row>
    <row r="41" spans="1:46" ht="13.5" thickBot="1" x14ac:dyDescent="0.25">
      <c r="A41" s="572" t="s">
        <v>32</v>
      </c>
      <c r="B41" s="573"/>
      <c r="C41" s="573"/>
      <c r="D41" s="573"/>
      <c r="E41" s="573"/>
      <c r="F41" s="574"/>
      <c r="H41" s="126" t="str">
        <f>IF(I36="","","Amostra")</f>
        <v>Amostra</v>
      </c>
      <c r="I41" s="127" t="str">
        <f>IF('Entrada das massas'!I21="","",'Entrada das massas'!I21)</f>
        <v>CCQM K158B</v>
      </c>
      <c r="J41" s="120" t="str">
        <f>IF(I41="","","uc(g)")</f>
        <v>uc(g)</v>
      </c>
      <c r="K41" s="120" t="str">
        <f>IF(J41="","","Massa (g)")</f>
        <v>Massa (g)</v>
      </c>
      <c r="L41" s="120" t="str">
        <f>IF(K41="","","ucomb (g)")</f>
        <v>ucomb (g)</v>
      </c>
      <c r="M41" s="98" t="str">
        <f>IF(I41="","","Fdiluição")</f>
        <v>Fdiluição</v>
      </c>
      <c r="N41" s="98"/>
      <c r="O41" s="126" t="str">
        <f>IF(M42="","","Amostra")</f>
        <v>Amostra</v>
      </c>
      <c r="P41" s="127" t="str">
        <f>IF('Entrada das massas'!N21="","",'Entrada das massas'!N21)</f>
        <v>CCQM K158B</v>
      </c>
      <c r="Q41" s="120" t="str">
        <f>IF(P41="","","uc(g)")</f>
        <v>uc(g)</v>
      </c>
      <c r="R41" s="120" t="str">
        <f>IF(Q41="","","Massa (g)")</f>
        <v>Massa (g)</v>
      </c>
      <c r="S41" s="120" t="str">
        <f>IF(R41="","","ucomb (g)")</f>
        <v>ucomb (g)</v>
      </c>
      <c r="T41" s="98" t="str">
        <f>IF(P41="","","Fdiluição")</f>
        <v>Fdiluição</v>
      </c>
      <c r="U41" s="98"/>
      <c r="V41" s="126" t="str">
        <f>IF(T42="","","Amostra")</f>
        <v/>
      </c>
      <c r="W41" s="127" t="str">
        <f>IF('Entrada das massas'!S21="","",'Entrada das massas'!S21)</f>
        <v/>
      </c>
      <c r="X41" s="120" t="str">
        <f>IF(W41="","","uc(g)")</f>
        <v/>
      </c>
      <c r="Y41" s="120" t="str">
        <f>IF(X41="","","Massa (g)")</f>
        <v/>
      </c>
      <c r="Z41" s="120" t="str">
        <f>IF(Y41="","","ucomb (g)")</f>
        <v/>
      </c>
      <c r="AA41" s="98" t="str">
        <f>IF(W41="","","Fdiluição")</f>
        <v/>
      </c>
      <c r="AC41" s="101"/>
      <c r="AD41" s="121"/>
      <c r="AE41" s="101"/>
      <c r="AF41" s="101"/>
      <c r="AG41" s="101"/>
      <c r="AH41" s="101"/>
      <c r="AI41" s="121"/>
      <c r="AJ41" s="101"/>
      <c r="AK41" s="101"/>
      <c r="AL41" s="101"/>
      <c r="AM41" s="98"/>
      <c r="AN41" s="121"/>
      <c r="AO41" s="98"/>
      <c r="AP41" s="98"/>
      <c r="AQ41" s="98"/>
      <c r="AR41" s="98"/>
      <c r="AS41" s="98"/>
      <c r="AT41" s="98"/>
    </row>
    <row r="42" spans="1:46" ht="15.75" x14ac:dyDescent="0.3">
      <c r="A42" s="130" t="s">
        <v>57</v>
      </c>
      <c r="B42" s="111">
        <f>IF(AND('Entrada das massas'!C22&lt;=$B$20,'Entrada das massas'!C22&gt;$B$19),'Entrada das massas'!C22-((($C$20-$C$19)*($B$20-'Entrada das massas'!C22)+($B$19*$C$20)-($B$20*$C$20))/($B$19-$B$20)),IF(AND('Entrada das massas'!C22&lt;=$B$19,'Entrada das massas'!C22&gt;$B$18),'Entrada das massas'!C22-((($C$19-$C$18)*($B$19-'Entrada das massas'!C22)+($B$18*$C$19)-($B$19*$C$19))/($B$18-$B$19)),IF(AND('Entrada das massas'!C22&lt;=$B$18,'Entrada das massas'!C22&gt;$B$17),'Entrada das massas'!C22-((($C$18-$C$17)*($B$18-'Entrada das massas'!C22)+($B$17*$C$18)-($B$18*$C$18))/($B$17-$B$18)),IF(AND('Entrada das massas'!C22&lt;=$B$17,'Entrada das massas'!C22&gt;$B$16),'Entrada das massas'!C22-((($C$17-$C$16)*($B$17-'Entrada das massas'!C22)+($B$16*$C$17)-($B$17*$C$17))/($B$16-$B$17)),IF(AND('Entrada das massas'!C22&lt;=$B$16,'Entrada das massas'!C22&gt;$B$15),'Entrada das massas'!C22-((($C$16-$C$15)*($B$16-'Entrada das massas'!C22)+($B$15*$C$16)-($B$16*$C$16))/($B$15-$B$16)),IF(AND('Entrada das massas'!C22&lt;=$B$15,'Entrada das massas'!C22&gt;$B$14),'Entrada das massas'!C22-((($C$15-$C$14)*($B$15-'Entrada das massas'!C22)+($B$14*$C$15)-($B$15*$C$15))/($B$14-$B$15)),IF(AND('Entrada das massas'!C22&lt;=$B$14,'Entrada das massas'!C22&gt;$B$13),'Entrada das massas'!C22-((($C$14-$C$13)*($B$14-'Entrada das massas'!C22)+($B$13*$C$14)-($B$14*$C$14))/($B$13-$B$14)),IF(AND('Entrada das massas'!C22&lt;=$B$13,'Entrada das massas'!C22&gt;$B$12),'Entrada das massas'!C22-((($C$13-$C$12)*($B$13-'Entrada das massas'!C22)+($B$12*$C$13)-($B$13*$C$13))/($B$12-$B$13)),IF(AND('Entrada das massas'!C22&lt;=$B$12,'Entrada das massas'!C22&gt;$B$11),'Entrada das massas'!C22-((($C$12-$C$11)*($B$12-'Entrada das massas'!C22)+($B$11*$C$12)-($B$12*$C$12))/($B$11-$B$12)), IF(AND('Entrada das massas'!C22&lt;=$B$11,'Entrada das massas'!C22&gt;$B$10),'Entrada das massas'!C22-((($C$11-$C$10)*($B$11-'Entrada das massas'!C22)+($B$10*$C$11)-($B$11*$C$11))/($B$10-$B$11)),IF(AND('Entrada das massas'!C22&lt;=$B$10,'Entrada das massas'!C22&gt;$B$9),'Entrada das massas'!C22-((($C$10-$C$9)*($B$10-'Entrada das massas'!C22)+($B$9*$C$10)-($B$10*$C$10))/($B$9-$B$10)),IF(AND('Entrada das massas'!C22&lt;=$B$9,'Entrada das massas'!C22&gt;$B$8),'Entrada das massas'!C22-((($C$9-$C$8)*($B$9-'Entrada das massas'!C22)+($B$8*$C$9)-($B$9*$C$9))/($B$8-$B$9)),IF(AND('Entrada das massas'!C22&lt;=$B$8,'Entrada das massas'!C22&gt;$B$7),'Entrada das massas'!C22-((($C$8-$C$7)*($B$8-'Entrada das massas'!C22)+($B$7*$C$8)-($B$8*$C$8))/($B$7-$B$8)),IF(AND('Entrada das massas'!C22&lt;=$B$7,'Entrada das massas'!C22&gt;$B$6),'Entrada das massas'!C22-((($C$7-$C$6)*($B$7-'Entrada das massas'!C22)+($B$6*$C$7)-($B$7*$C$7))/($B$6-$B$7)),IF(AND('Entrada das massas'!C22&lt;=$B$6,'Entrada das massas'!C22&gt;$B$5),'Entrada das massas'!C22-((($C$6-$C$5)*($B$6-'Entrada das massas'!C22)+($B$5*$C$6)-($B$6*$C$6))/($B$5-$B$6)),IF('Entrada das massas'!C22&lt;=$B$5,'Entrada das massas'!C22-$C$5))))))))))))))))</f>
        <v>14.409891180239999</v>
      </c>
      <c r="C42" s="112">
        <f>(IF(AND(B42&lt;=$B$20,B42&gt;$B$19),$D$19+($B$19-B42)/($B$19-$B$20)*($D$20-$D$19),IF(AND(B42&lt;=$B$19,B42&gt;$B$18),$D$18+($B$18-B42)/($B$18-$B$19)*($D$19-$D$18),IF(AND(B42&lt;=$B$18,B42&gt;$B$17),$D$17+($B$17-B42)/($B$17-$B$18)*($D$18-$D$17),IF(AND(B42&lt;=$B$17,B42&gt;$B$16),$D$16+($B$16-B42)/($B$16-$B$17)*($D$17-$D$16),IF(AND(B42&lt;=$B$16,B42&gt;$B$15),$D$15+($B$15-B42)/($B$15-$B$16)*($D$16-$D$15),IF(AND(B42&lt;=$B$15,B42&gt;$B$14),$D$14+($B$14-B42)/($B$14-$B$15)*($D$15-$D$14),IF(AND(B42&lt;=$B$14,B42&gt;$B$13),$D$13+($B$13-B42)/($B$13-$B$14)*($D$14-$D$13),IF(AND(B42&lt;=$B$13,B42&gt;$B$12),$D$12+($B$12-B42)/($B$12-$B$13)*($D$13-$D$12),IF(AND(B42&lt;=$B$12,B42&gt;$B$11),$D$11+($B$11-B42)/($B$11-$B$12)*($D$12-$D$11),IF(AND(B42&lt;=$B$11,B42&gt;$B$10),$D$10+($B$10-B42)/($B$10-$B$11)*($D$11-$D$10),IF(AND(B42&lt;=$B$10,B42&gt;$B$9),$D$9+($B$9-B42)/($B$9-$B$10)*($D$10-$D$9),IF(AND(B42&lt;=$B$9,B42&gt;$B$8),$D$8+($B$8-B42)/($B$8-$B$9)*($D$9-$D$8),IF(AND(B42&lt;=$B$8,B42&gt;$B$7),$D$7+($B$7-B42)/($B$7-$B$8)*($D$8-$D$7),IF(AND(B42&lt;=$B$7,B42&gt;$B$6),$D$6+($B$6-B42)/($B$6-$B$7)*($D$7-$D$6),IF(B42&lt;=$B$6,$D$6))))))))))))))))</f>
        <v>1.0000000000000001E-5</v>
      </c>
      <c r="D42" s="131"/>
      <c r="E42" s="131"/>
      <c r="F42" s="132" t="s">
        <v>70</v>
      </c>
      <c r="H42" s="115" t="str">
        <f>IF(I41="","","Frasco")</f>
        <v>Frasco</v>
      </c>
      <c r="I42" s="116">
        <f>IF('Entrada das massas'!I22="","",IF(AND('Entrada das massas'!I22&lt;=$B$20,'Entrada das massas'!I22&gt;$B$19),'Entrada das massas'!I22-((($C$20-$C$19)*($B$20-'Entrada das massas'!I22)+($B$19*$C$20)-($B$20*$C$20))/($B$19-$B$20)),IF(AND('Entrada das massas'!I22&lt;=$B$19,'Entrada das massas'!I22&gt;$B$18),'Entrada das massas'!I22-((($C$19-$C$18)*($B$19-'Entrada das massas'!I22)+($B$18*$C$19)-($B$19*$C$19))/($B$18-$B$19)),IF(AND('Entrada das massas'!I22&lt;=$B$18,'Entrada das massas'!I22&gt;$B$17),'Entrada das massas'!I22-((($C$18-$C$17)*($B$18-'Entrada das massas'!I22)+($B$17*$C$18)-($B$18*$C$18))/($B$17-$B$18)),IF(AND('Entrada das massas'!I22&lt;=$B$17,'Entrada das massas'!I22&gt;$B$16),'Entrada das massas'!I22-((($C$17-$C$16)*($B$17-'Entrada das massas'!I22)+($B$16*$C$17)-($B$17*$C$17))/($B$16-$B$17)),IF(AND('Entrada das massas'!I22&lt;=$B$16,'Entrada das massas'!I22&gt;$B$15),'Entrada das massas'!I22-((($C$16-$C$15)*($B$16-'Entrada das massas'!I22)+($B$15*$C$16)-($B$16*$C$16))/($B$15-$B$16)),IF(AND('Entrada das massas'!I22&lt;=$B$15,'Entrada das massas'!I22&gt;$B$14),'Entrada das massas'!I22-((($C$15-$C$14)*($B$15-'Entrada das massas'!I22)+($B$14*$C$15)-($B$15*$C$15))/($B$14-$B$15)),IF(AND('Entrada das massas'!I22&lt;=$B$14,'Entrada das massas'!I22&gt;$B$13),'Entrada das massas'!I22-((($C$14-$C$13)*($B$14-'Entrada das massas'!I22)+($B$13*$C$14)-($B$14*$C$14))/($B$13-$B$14)),IF(AND('Entrada das massas'!I22&lt;=$B$13,'Entrada das massas'!I22&gt;$B$12),'Entrada das massas'!I22-((($C$13-$C$12)*($B$13-'Entrada das massas'!I22)+($B$12*$C$13)-($B$13*$C$13))/($B$12-$B$13)),IF(AND('Entrada das massas'!I22&lt;=$B$12,'Entrada das massas'!I22&gt;$B$11),'Entrada das massas'!I22-((($C$12-$C$11)*($B$12-'Entrada das massas'!I22)+($B$11*$C$12)-($B$12*$C$12))/($B$11-$B$12)),IF(AND('Entrada das massas'!I22&lt;=$B$11,'Entrada das massas'!I22&gt;$B$10),'Entrada das massas'!I22-((($C$11-$C$10)*($B$11-'Entrada das massas'!I22)+($B$10*$C$11)-($B$11*$C$11))/($B$10-$B$11)),IF(AND('Entrada das massas'!I22&lt;=$B$10,'Entrada das massas'!I22&gt;$B$9),'Entrada das massas'!I22-((($C$10-$C$9)*($B$10-'Entrada das massas'!I22)+($B$9*$C$10)-($B$10*$C$10))/($B$9-$B$10)),IF(AND('Entrada das massas'!I22&lt;=$B$9,'Entrada das massas'!I22&gt;$B$8),'Entrada das massas'!I22-((($C$9-$C$8)*($B$9-'Entrada das massas'!I22)+($B$8*$C$9)-($B$9*$C$9))/($B$8-$B$9)),IF(AND('Entrada das massas'!I22&lt;=$B$8,'Entrada das massas'!I22&gt;$B$7),'Entrada das massas'!I22-((($C$8-$C$7)*($B$8-'Entrada das massas'!I22)+($B$7*$C$8)-($B$8*$C$8))/($B$7-$B$8)),IF(AND('Entrada das massas'!I22&lt;=$B$7,'Entrada das massas'!I22&gt;$B$6),'Entrada das massas'!I22-((($C$7-$C$6)*($B$7-'Entrada das massas'!I22)+($B$6*$C$7)-($B$7*$C$7))/($B$6-$B$7)),IF(AND('Entrada das massas'!I22&lt;=$B$6,'Entrada das massas'!I22&gt;$B$5),'Entrada das massas'!I22-((($C$6-$C$5)*($B$6-'Entrada das massas'!I22)+($B$5*$C$6)-($B$6*$C$6))/($B$5-$B$6)),IF('Entrada das massas'!I22&lt;=$B$5,'Entrada das massas'!I22-$C$5)))))))))))))))))</f>
        <v>12.337815324399999</v>
      </c>
      <c r="J42" s="117">
        <f>IF(I42="","",(IF(AND(I42&lt;=$B$20,I42&gt;$B$19),$D$19+($B$19-I42)/($B$19-$B$20)*($D$20-$D$19),IF(AND(I42&lt;=$B$19,I42&gt;$B$18),$D$18+($B$18-I42)/($B$18-$B$19)*($D$19-$D$18),IF(AND(I42&lt;=$B$18,I42&gt;$B$17),$D$17+($B$17-I42)/($B$17-$B$18)*($D$18-$D$17),IF(AND(I42&lt;=$B$17,I42&gt;$B$16),$D$16+($B$16-I42)/($B$16-$B$17)*($D$17-$D$16),IF(AND(I42&lt;=$B$16,I42&gt;$B$15),$D$15+($B$15-I42)/($B$15-$B$16)*($D$16-$D$15),IF(AND(I42&lt;=$B$15,I42&gt;$B$14),$D$14+($B$14-I42)/($B$14-$B$15)*($D$15-$D$14),IF(AND(I42&lt;=$B$14,I42&gt;$B$13),$D$13+($B$13-I42)/($B$13-$B$14)*($D$14-$D$13),IF(AND(I42&lt;=$B$13,I42&gt;$B$12),$D$12+($B$12-I42)/($B$12-$B$13)*($D$13-$D$12),IF(AND(I42&lt;=$B$12,I42&gt;$B$11),$D$11+($B$11-I42)/($B$11-$B$12)*($D$12-$D$11),IF(AND(I42&lt;=$B$11,I42&gt;$B$10),$D$10+($B$10-I42)/($B$10-$B$11)*($D$11-$D$10),IF(AND(I42&lt;=$B$10,I42&gt;$B$9),$D$9+($B$9-I42)/($B$9-$B$10)*($D$10-$D$9),IF(AND(I42&lt;=$B$9,I42&gt;$B$8),$D$8+($B$8-I42)/($B$8-$B$9)*($D$9-$D$8),IF(AND(I42&lt;=$B$8,I42&gt;$B$7),$D$7+($B$7-I42)/($B$7-$B$8)*($D$8-$D$7),IF(AND(I42&lt;=$B$7,I42&gt;$B$6),$D$6+($B$6-I42)/($B$6-$B$7)*($D$7-$D$6),IF(I42&lt;=$B$6,$D$6)))))))))))))))))</f>
        <v>1.0000000000000001E-5</v>
      </c>
      <c r="K42" s="117"/>
      <c r="L42" s="117"/>
      <c r="M42" s="118">
        <f>IFERROR(K44/K43,"")</f>
        <v>167.92118681241439</v>
      </c>
      <c r="N42" s="93"/>
      <c r="O42" s="115" t="str">
        <f>IF(P41="","","Frasco")</f>
        <v>Frasco</v>
      </c>
      <c r="P42" s="95" t="str">
        <f>IF('Entrada das massas'!N22="","",IF(AND('Entrada das massas'!N22&lt;=$B$20,'Entrada das massas'!N22&gt;$B$19),'Entrada das massas'!N22-((($C$20-$C$19)*($B$20-'Entrada das massas'!N22)+($B$19*$C$20)-($B$20*$C$20))/($B$19-$B$20)),IF(AND('Entrada das massas'!N22&lt;=$B$19,'Entrada das massas'!N22&gt;$B$18),'Entrada das massas'!N22-((($C$19-$C$18)*($B$19-'Entrada das massas'!N22)+($B$18*$C$19)-($B$19*$C$19))/($B$18-$B$19)),IF(AND('Entrada das massas'!N22&lt;=$B$18,'Entrada das massas'!N22&gt;$B$17),'Entrada das massas'!N22-((($C$18-$C$17)*($B$18-'Entrada das massas'!N22)+($B$17*$C$18)-($B$18*$C$18))/($B$17-$B$18)),IF(AND('Entrada das massas'!N22&lt;=$B$17,'Entrada das massas'!N22&gt;$B$16),'Entrada das massas'!N22-((($C$17-$C$16)*($B$17-'Entrada das massas'!N22)+($B$16*$C$17)-($B$17*$C$17))/($B$16-$B$17)),IF(AND('Entrada das massas'!N22&lt;=$B$16,'Entrada das massas'!N22&gt;$B$15),'Entrada das massas'!N22-((($C$16-$C$15)*($B$16-'Entrada das massas'!N22)+($B$15*$C$16)-($B$16*$C$16))/($B$15-$B$16)),IF(AND('Entrada das massas'!N22&lt;=$B$15,'Entrada das massas'!N22&gt;$B$14),'Entrada das massas'!N22-((($C$15-$C$14)*($B$15-'Entrada das massas'!N22)+($B$14*$C$15)-($B$15*$C$15))/($B$14-$B$15)),IF(AND('Entrada das massas'!N22&lt;=$B$14,'Entrada das massas'!N22&gt;$B$13),'Entrada das massas'!N22-((($C$14-$C$13)*($B$14-'Entrada das massas'!N22)+($B$13*$C$14)-($B$14*$C$14))/($B$13-$B$14)),IF(AND('Entrada das massas'!N22&lt;=$B$13,'Entrada das massas'!N22&gt;$B$12),'Entrada das massas'!N22-((($C$13-$C$12)*($B$13-'Entrada das massas'!N22)+($B$12*$C$13)-($B$13*$C$13))/($B$12-$B$13)),IF(AND('Entrada das massas'!N22&lt;=$B$12,'Entrada das massas'!N22&gt;$B$11),'Entrada das massas'!N22-((($C$12-$C$11)*($B$12-'Entrada das massas'!N22)+($B$11*$C$12)-($B$12*$C$12))/($B$11-$B$12)),IF(AND('Entrada das massas'!N22&lt;=$B$11,'Entrada das massas'!N22&gt;$B$10),'Entrada das massas'!N22-((($C$11-$C$10)*($B$11-'Entrada das massas'!N22)+($B$10*$C$11)-($B$11*$C$11))/($B$10-$B$11)),IF(AND('Entrada das massas'!N22&lt;=$B$10,'Entrada das massas'!N22&gt;$B$9),'Entrada das massas'!N22-((($C$10-$C$9)*($B$10-'Entrada das massas'!N22)+($B$9*$C$10)-($B$10*$C$10))/($B$9-$B$10)),IF(AND('Entrada das massas'!N22&lt;=$B$9,'Entrada das massas'!N22&gt;$B$8),'Entrada das massas'!N22-((($C$9-$C$8)*($B$9-'Entrada das massas'!N22)+($B$8*$C$9)-($B$9*$C$9))/($B$8-$B$9)),IF(AND('Entrada das massas'!N22&lt;=$B$8,'Entrada das massas'!N22&gt;$B$7),'Entrada das massas'!N22-((($C$8-$C$7)*($B$8-'Entrada das massas'!N22)+($B$7*$C$8)-($B$8*$C$8))/($B$7-$B$8)),IF(AND('Entrada das massas'!N22&lt;=$B$7,'Entrada das massas'!N22&gt;$B$6),'Entrada das massas'!N22-((($C$7-$C$6)*($B$7-'Entrada das massas'!N22)+($B$6*$C$7)-($B$7*$C$7))/($B$6-$B$7)),IF(AND('Entrada das massas'!N22&lt;=$B$6,'Entrada das massas'!N22&gt;$B$5),'Entrada das massas'!N22-((($C$6-$C$5)*($B$6-'Entrada das massas'!N22)+($B$5*$C$6)-($B$6*$C$6))/($B$5-$B$6)),IF('Entrada das massas'!N22&lt;=$B$5,'Entrada das massas'!N22-$C$5)))))))))))))))))</f>
        <v/>
      </c>
      <c r="Q42" s="117" t="str">
        <f>IF(P42="","",(IF(AND(P42&lt;=$B$20,P42&gt;$B$19),$D$19+($B$19-P42)/($B$19-$B$20)*($D$20-$D$19),IF(AND(P42&lt;=$B$19,P42&gt;$B$18),$D$18+($B$18-P42)/($B$18-$B$19)*($D$19-$D$18),IF(AND(P42&lt;=$B$18,P42&gt;$B$17),$D$17+($B$17-P42)/($B$17-$B$18)*($D$18-$D$17),IF(AND(P42&lt;=$B$17,P42&gt;$B$16),$D$16+($B$16-P42)/($B$16-$B$17)*($D$17-$D$16),IF(AND(P42&lt;=$B$16,P42&gt;$B$15),$D$15+($B$15-P42)/($B$15-$B$16)*($D$16-$D$15),IF(AND(P42&lt;=$B$15,P42&gt;$B$14),$D$14+($B$14-P42)/($B$14-$B$15)*($D$15-$D$14),IF(AND(P42&lt;=$B$14,P42&gt;$B$13),$D$13+($B$13-P42)/($B$13-$B$14)*($D$14-$D$13),IF(AND(P42&lt;=$B$13,P42&gt;$B$12),$D$12+($B$12-P42)/($B$12-$B$13)*($D$13-$D$12),IF(AND(P42&lt;=$B$12,P42&gt;$B$11),$D$11+($B$11-P42)/($B$11-$B$12)*($D$12-$D$11),IF(AND(P42&lt;=$B$11,P42&gt;$B$10),$D$10+($B$10-P42)/($B$10-$B$11)*($D$11-$D$10),IF(AND(P42&lt;=$B$10,P42&gt;$B$9),$D$9+($B$9-P42)/($B$9-$B$10)*($D$10-$D$9),IF(AND(P42&lt;=$B$9,P42&gt;$B$8),$D$8+($B$8-P42)/($B$8-$B$9)*($D$9-$D$8),IF(AND(P42&lt;=$B$8,P42&gt;$B$7),$D$7+($B$7-P42)/($B$7-$B$8)*($D$8-$D$7),IF(AND(P42&lt;=$B$7,P42&gt;$B$6),$D$6+($B$6-P42)/($B$6-$B$7)*($D$7-$D$6),IF(P42&lt;=$B$6,$D$6)))))))))))))))))</f>
        <v/>
      </c>
      <c r="R42" s="117"/>
      <c r="S42" s="117"/>
      <c r="T42" s="118" t="str">
        <f>IFERROR(R44/R43,"")</f>
        <v/>
      </c>
      <c r="U42" s="93"/>
      <c r="V42" s="115" t="str">
        <f>IF(W41="","","Frasco")</f>
        <v/>
      </c>
      <c r="W42" s="95" t="str">
        <f>IF('Entrada das massas'!S22="","",IF(AND('Entrada das massas'!S22&lt;=$B$20,'Entrada das massas'!S22&gt;$B$19),'Entrada das massas'!S22-((($C$20-$C$19)*($B$20-'Entrada das massas'!S22)+($B$19*$C$20)-($B$20*$C$20))/($B$19-$B$20)),IF(AND('Entrada das massas'!S22&lt;=$B$19,'Entrada das massas'!S22&gt;$B$18),'Entrada das massas'!S22-((($C$19-$C$18)*($B$19-'Entrada das massas'!S22)+($B$18*$C$19)-($B$19*$C$19))/($B$18-$B$19)),IF(AND('Entrada das massas'!S22&lt;=$B$18,'Entrada das massas'!S22&gt;$B$17),'Entrada das massas'!S22-((($C$18-$C$17)*($B$18-'Entrada das massas'!S22)+($B$17*$C$18)-($B$18*$C$18))/($B$17-$B$18)),IF(AND('Entrada das massas'!S22&lt;=$B$17,'Entrada das massas'!S22&gt;$B$16),'Entrada das massas'!S22-((($C$17-$C$16)*($B$17-'Entrada das massas'!S22)+($B$16*$C$17)-($B$17*$C$17))/($B$16-$B$17)),IF(AND('Entrada das massas'!S22&lt;=$B$16,'Entrada das massas'!S22&gt;$B$15),'Entrada das massas'!S22-((($C$16-$C$15)*($B$16-'Entrada das massas'!S22)+($B$15*$C$16)-($B$16*$C$16))/($B$15-$B$16)),IF(AND('Entrada das massas'!S22&lt;=$B$15,'Entrada das massas'!S22&gt;$B$14),'Entrada das massas'!S22-((($C$15-$C$14)*($B$15-'Entrada das massas'!S22)+($B$14*$C$15)-($B$15*$C$15))/($B$14-$B$15)),IF(AND('Entrada das massas'!S22&lt;=$B$14,'Entrada das massas'!S22&gt;$B$13),'Entrada das massas'!S22-((($C$14-$C$13)*($B$14-'Entrada das massas'!S22)+($B$13*$C$14)-($B$14*$C$14))/($B$13-$B$14)),IF(AND('Entrada das massas'!S22&lt;=$B$13,'Entrada das massas'!S22&gt;$B$12),'Entrada das massas'!S22-((($C$13-$C$12)*($B$13-'Entrada das massas'!S22)+($B$12*$C$13)-($B$13*$C$13))/($B$12-$B$13)),IF(AND('Entrada das massas'!S22&lt;=$B$12,'Entrada das massas'!S22&gt;$B$11),'Entrada das massas'!S22-((($C$12-$C$11)*($B$12-'Entrada das massas'!S22)+($B$11*$C$12)-($B$12*$C$12))/($B$11-$B$12)),IF(AND('Entrada das massas'!S22&lt;=$B$11,'Entrada das massas'!S22&gt;$B$10),'Entrada das massas'!S22-((($C$11-$C$10)*($B$11-'Entrada das massas'!S22)+($B$10*$C$11)-($B$11*$C$11))/($B$10-$B$11)),IF(AND('Entrada das massas'!S22&lt;=$B$10,'Entrada das massas'!S22&gt;$B$9),'Entrada das massas'!S22-((($C$10-$C$9)*($B$10-'Entrada das massas'!S22)+($B$9*$C$10)-($B$10*$C$10))/($B$9-$B$10)),IF(AND('Entrada das massas'!S22&lt;=$B$9,'Entrada das massas'!S22&gt;$B$8),'Entrada das massas'!S22-((($C$9-$C$8)*($B$9-'Entrada das massas'!S22)+($B$8*$C$9)-($B$9*$C$9))/($B$8-$B$9)),IF(AND('Entrada das massas'!S22&lt;=$B$8,'Entrada das massas'!S22&gt;$B$7),'Entrada das massas'!S22-((($C$8-$C$7)*($B$8-'Entrada das massas'!S22)+($B$7*$C$8)-($B$8*$C$8))/($B$7-$B$8)),IF(AND('Entrada das massas'!S22&lt;=$B$7,'Entrada das massas'!S22&gt;$B$6),'Entrada das massas'!S22-((($C$7-$C$6)*($B$7-'Entrada das massas'!S22)+($B$6*$C$7)-($B$7*$C$7))/($B$6-$B$7)),IF(AND('Entrada das massas'!S22&lt;=$B$6,'Entrada das massas'!S22&gt;$B$5),'Entrada das massas'!S22-((($C$6-$C$5)*($B$6-'Entrada das massas'!S22)+($B$5*$C$6)-($B$6*$C$6))/($B$5-$B$6)),IF('Entrada das massas'!S22&lt;=$B$5,'Entrada das massas'!S22-$C$5)))))))))))))))))</f>
        <v/>
      </c>
      <c r="X42" s="117" t="str">
        <f>IF(W42="","",(IF(AND(W42&lt;=$B$20,W42&gt;$B$19),$D$19+($B$19-W42)/($B$19-$B$20)*($D$20-$D$19),IF(AND(W42&lt;=$B$19,W42&gt;$B$18),$D$18+($B$18-W42)/($B$18-$B$19)*($D$19-$D$18),IF(AND(W42&lt;=$B$18,W42&gt;$B$17),$D$17+($B$17-W42)/($B$17-$B$18)*($D$18-$D$17),IF(AND(W42&lt;=$B$17,W42&gt;$B$16),$D$16+($B$16-W42)/($B$16-$B$17)*($D$17-$D$16),IF(AND(W42&lt;=$B$16,W42&gt;$B$15),$D$15+($B$15-W42)/($B$15-$B$16)*($D$16-$D$15),IF(AND(W42&lt;=$B$15,W42&gt;$B$14),$D$14+($B$14-W42)/($B$14-$B$15)*($D$15-$D$14),IF(AND(W42&lt;=$B$14,W42&gt;$B$13),$D$13+($B$13-W42)/($B$13-$B$14)*($D$14-$D$13),IF(AND(W42&lt;=$B$13,W42&gt;$B$12),$D$12+($B$12-W42)/($B$12-$B$13)*($D$13-$D$12),IF(AND(W42&lt;=$B$12,W42&gt;$B$11),$D$11+($B$11-W42)/($B$11-$B$12)*($D$12-$D$11),IF(AND(W42&lt;=$B$11,W42&gt;$B$10),$D$10+($B$10-W42)/($B$10-$B$11)*($D$11-$D$10),IF(AND(W42&lt;=$B$10,W42&gt;$B$9),$D$9+($B$9-W42)/($B$9-$B$10)*($D$10-$D$9),IF(AND(W42&lt;=$B$9,W42&gt;$B$8),$D$8+($B$8-W42)/($B$8-$B$9)*($D$9-$D$8),IF(AND(W42&lt;=$B$8,W42&gt;$B$7),$D$7+($B$7-W42)/($B$7-$B$8)*($D$8-$D$7),IF(AND(W42&lt;=$B$7,W42&gt;$B$6),$D$6+($B$6-W42)/($B$6-$B$7)*($D$7-$D$6),IF(W42&lt;=$B$6,$D$6)))))))))))))))))</f>
        <v/>
      </c>
      <c r="Y42" s="117"/>
      <c r="Z42" s="117"/>
      <c r="AA42" s="118" t="str">
        <f>IFERROR(Y44/Y43,"")</f>
        <v/>
      </c>
      <c r="AC42" s="101"/>
      <c r="AD42" s="101"/>
      <c r="AE42" s="101"/>
      <c r="AF42" s="101"/>
      <c r="AG42" s="101"/>
      <c r="AH42" s="101"/>
      <c r="AI42" s="101"/>
      <c r="AJ42" s="101"/>
      <c r="AK42" s="101"/>
      <c r="AL42" s="101"/>
      <c r="AM42" s="98"/>
      <c r="AN42" s="98"/>
      <c r="AO42" s="98"/>
      <c r="AP42" s="98"/>
      <c r="AQ42" s="98"/>
      <c r="AR42" s="98"/>
      <c r="AS42" s="98"/>
      <c r="AT42" s="98"/>
    </row>
    <row r="43" spans="1:46" x14ac:dyDescent="0.2">
      <c r="A43" s="110" t="s">
        <v>59</v>
      </c>
      <c r="B43" s="111">
        <f>IF(AND('Entrada das massas'!C23&lt;=$B$20,'Entrada das massas'!C23&gt;$B$19),'Entrada das massas'!C23-((($C$20-$C$19)*($B$20-'Entrada das massas'!C23)+($B$19*$C$20)-($B$20*$C$20))/($B$19-$B$20)),IF(AND('Entrada das massas'!C23&lt;=$B$19,'Entrada das massas'!C23&gt;$B$18),'Entrada das massas'!C23-((($C$19-$C$18)*($B$19-'Entrada das massas'!C23)+($B$18*$C$19)-($B$19*$C$19))/($B$18-$B$19)),IF(AND('Entrada das massas'!C23&lt;=$B$18,'Entrada das massas'!C23&gt;$B$17),'Entrada das massas'!C23-((($C$18-$C$17)*($B$18-'Entrada das massas'!C23)+($B$17*$C$18)-($B$18*$C$18))/($B$17-$B$18)),IF(AND('Entrada das massas'!C23&lt;=$B$17,'Entrada das massas'!C23&gt;$B$16),'Entrada das massas'!C23-((($C$17-$C$16)*($B$17-'Entrada das massas'!C23)+($B$16*$C$17)-($B$17*$C$17))/($B$16-$B$17)),IF(AND('Entrada das massas'!C23&lt;=$B$16,'Entrada das massas'!C23&gt;$B$15),'Entrada das massas'!C23-((($C$16-$C$15)*($B$16-'Entrada das massas'!C23)+($B$15*$C$16)-($B$16*$C$16))/($B$15-$B$16)),IF(AND('Entrada das massas'!C23&lt;=$B$15,'Entrada das massas'!C23&gt;$B$14),'Entrada das massas'!C23-((($C$15-$C$14)*($B$15-'Entrada das massas'!C23)+($B$14*$C$15)-($B$15*$C$15))/($B$14-$B$15)),IF(AND('Entrada das massas'!C23&lt;=$B$14,'Entrada das massas'!C23&gt;$B$13),'Entrada das massas'!C23-((($C$14-$C$13)*($B$14-'Entrada das massas'!C23)+($B$13*$C$14)-($B$14*$C$14))/($B$13-$B$14)),IF(AND('Entrada das massas'!C23&lt;=$B$13,'Entrada das massas'!C23&gt;$B$12),'Entrada das massas'!C23-((($C$13-$C$12)*($B$13-'Entrada das massas'!C23)+($B$12*$C$13)-($B$13*$C$13))/($B$12-$B$13)),IF(AND('Entrada das massas'!C23&lt;=$B$12,'Entrada das massas'!C23&gt;$B$11),'Entrada das massas'!C23-((($C$12-$C$11)*($B$12-'Entrada das massas'!C23)+($B$11*$C$12)-($B$12*$C$12))/($B$11-$B$12)), IF(AND('Entrada das massas'!C23&lt;=$B$11,'Entrada das massas'!C23&gt;$B$10),'Entrada das massas'!C23-((($C$11-$C$10)*($B$11-'Entrada das massas'!C23)+($B$10*$C$11)-($B$11*$C$11))/($B$10-$B$11)),IF(AND('Entrada das massas'!C23&lt;=$B$10,'Entrada das massas'!C23&gt;$B$9),'Entrada das massas'!C23-((($C$10-$C$9)*($B$10-'Entrada das massas'!C23)+($B$9*$C$10)-($B$10*$C$10))/($B$9-$B$10)),IF(AND('Entrada das massas'!C23&lt;=$B$9,'Entrada das massas'!C23&gt;$B$8),'Entrada das massas'!C23-((($C$9-$C$8)*($B$9-'Entrada das massas'!C23)+($B$8*$C$9)-($B$9*$C$9))/($B$8-$B$9)),IF(AND('Entrada das massas'!C23&lt;=$B$8,'Entrada das massas'!C23&gt;$B$7),'Entrada das massas'!C23-((($C$8-$C$7)*($B$8-'Entrada das massas'!C23)+($B$7*$C$8)-($B$8*$C$8))/($B$7-$B$8)),IF(AND('Entrada das massas'!C23&lt;=$B$7,'Entrada das massas'!C23&gt;$B$6),'Entrada das massas'!C23-((($C$7-$C$6)*($B$7-'Entrada das massas'!C23)+($B$6*$C$7)-($B$7*$C$7))/($B$6-$B$7)),IF(AND('Entrada das massas'!C23&lt;=$B$6,'Entrada das massas'!C23&gt;$B$5),'Entrada das massas'!C23-((($C$6-$C$5)*($B$6-'Entrada das massas'!C23)+($B$5*$C$6)-($B$6*$C$6))/($B$5-$B$6)),IF('Entrada das massas'!C23&lt;=$B$5,'Entrada das massas'!C23-$C$5))))))))))))))))</f>
        <v>14.89513020976</v>
      </c>
      <c r="C43" s="112">
        <f>(IF(AND(B43&lt;=$B$20,B43&gt;$B$19),$D$19+($B$19-B43)/($B$19-$B$20)*($D$20-$D$19),IF(AND(B43&lt;=$B$19,B43&gt;$B$18),$D$18+($B$18-B43)/($B$18-$B$19)*($D$19-$D$18),IF(AND(B43&lt;=$B$18,B43&gt;$B$17),$D$17+($B$17-B43)/($B$17-$B$18)*($D$18-$D$17),IF(AND(B43&lt;=$B$17,B43&gt;$B$16),$D$16+($B$16-B43)/($B$16-$B$17)*($D$17-$D$16),IF(AND(B43&lt;=$B$16,B43&gt;$B$15),$D$15+($B$15-B43)/($B$15-$B$16)*($D$16-$D$15),IF(AND(B43&lt;=$B$15,B43&gt;$B$14),$D$14+($B$14-B43)/($B$14-$B$15)*($D$15-$D$14),IF(AND(B43&lt;=$B$14,B43&gt;$B$13),$D$13+($B$13-B43)/($B$13-$B$14)*($D$14-$D$13),IF(AND(B43&lt;=$B$13,B43&gt;$B$12),$D$12+($B$12-B43)/($B$12-$B$13)*($D$13-$D$12),IF(AND(B43&lt;=$B$12,B43&gt;$B$11),$D$11+($B$11-B43)/($B$11-$B$12)*($D$12-$D$11),IF(AND(B43&lt;=$B$11,B43&gt;$B$10),$D$10+($B$10-B43)/($B$10-$B$11)*($D$11-$D$10),IF(AND(B43&lt;=$B$10,B43&gt;$B$9),$D$9+($B$9-B43)/($B$9-$B$10)*($D$10-$D$9),IF(AND(B43&lt;=$B$9,B43&gt;$B$8),$D$8+($B$8-B43)/($B$8-$B$9)*($D$9-$D$8),IF(AND(B43&lt;=$B$8,B43&gt;$B$7),$D$7+($B$7-B43)/($B$7-$B$8)*($D$8-$D$7),IF(AND(B43&lt;=$B$7,B43&gt;$B$6),$D$6+($B$6-B43)/($B$6-$B$7)*($D$7-$D$6),IF(B43&lt;=$B$6,$D$6))))))))))))))))</f>
        <v>1.0000000000000001E-5</v>
      </c>
      <c r="D43" s="110" t="s">
        <v>144</v>
      </c>
      <c r="E43" s="119">
        <f>B43-B42</f>
        <v>0.48523902952000064</v>
      </c>
      <c r="F43" s="112">
        <f>SQRT(SUMSQ(C42:C43))</f>
        <v>1.4142135623730951E-5</v>
      </c>
      <c r="H43" s="115" t="str">
        <f>IF(I41="","","Frasco + Amostra")</f>
        <v>Frasco + Amostra</v>
      </c>
      <c r="I43" s="116">
        <f>IF('Entrada das massas'!I23="","",IF(AND('Entrada das massas'!I23&lt;=$B$20,'Entrada das massas'!I23&gt;$B$19),'Entrada das massas'!I23-((($C$20-$C$19)*($B$20-'Entrada das massas'!I23)+($B$19*$C$20)-($B$20*$C$20))/($B$19-$B$20)),IF(AND('Entrada das massas'!I23&lt;=$B$19,'Entrada das massas'!I23&gt;$B$18),'Entrada das massas'!I23-((($C$19-$C$18)*($B$19-'Entrada das massas'!I23)+($B$18*$C$19)-($B$19*$C$19))/($B$18-$B$19)),IF(AND('Entrada das massas'!I23&lt;=$B$18,'Entrada das massas'!I23&gt;$B$17),'Entrada das massas'!I23-((($C$18-$C$17)*($B$18-'Entrada das massas'!I23)+($B$17*$C$18)-($B$18*$C$18))/($B$17-$B$18)),IF(AND('Entrada das massas'!I23&lt;=$B$17,'Entrada das massas'!I23&gt;$B$16),'Entrada das massas'!I23-((($C$17-$C$16)*($B$17-'Entrada das massas'!I23)+($B$16*$C$17)-($B$17*$C$17))/($B$16-$B$17)),IF(AND('Entrada das massas'!I23&lt;=$B$16,'Entrada das massas'!I23&gt;$B$15),'Entrada das massas'!I23-((($C$16-$C$15)*($B$16-'Entrada das massas'!I23)+($B$15*$C$16)-($B$16*$C$16))/($B$15-$B$16)),IF(AND('Entrada das massas'!I23&lt;=$B$15,'Entrada das massas'!I23&gt;$B$14),'Entrada das massas'!I23-((($C$15-$C$14)*($B$15-'Entrada das massas'!I23)+($B$14*$C$15)-($B$15*$C$15))/($B$14-$B$15)),IF(AND('Entrada das massas'!I23&lt;=$B$14,'Entrada das massas'!I23&gt;$B$13),'Entrada das massas'!I23-((($C$14-$C$13)*($B$14-'Entrada das massas'!I23)+($B$13*$C$14)-($B$14*$C$14))/($B$13-$B$14)),IF(AND('Entrada das massas'!I23&lt;=$B$13,'Entrada das massas'!I23&gt;$B$12),'Entrada das massas'!I23-((($C$13-$C$12)*($B$13-'Entrada das massas'!I23)+($B$12*$C$13)-($B$13*$C$13))/($B$12-$B$13)),IF(AND('Entrada das massas'!I23&lt;=$B$12,'Entrada das massas'!I23&gt;$B$11),'Entrada das massas'!I23-((($C$12-$C$11)*($B$12-'Entrada das massas'!I23)+($B$11*$C$12)-($B$12*$C$12))/($B$11-$B$12)),IF(AND('Entrada das massas'!I23&lt;=$B$11,'Entrada das massas'!I23&gt;$B$10),'Entrada das massas'!I23-((($C$11-$C$10)*($B$11-'Entrada das massas'!I23)+($B$10*$C$11)-($B$11*$C$11))/($B$10-$B$11)),IF(AND('Entrada das massas'!I23&lt;=$B$10,'Entrada das massas'!I23&gt;$B$9),'Entrada das massas'!I23-((($C$10-$C$9)*($B$10-'Entrada das massas'!I23)+($B$9*$C$10)-($B$10*$C$10))/($B$9-$B$10)),IF(AND('Entrada das massas'!I23&lt;=$B$9,'Entrada das massas'!I23&gt;$B$8),'Entrada das massas'!I23-((($C$9-$C$8)*($B$9-'Entrada das massas'!I23)+($B$8*$C$9)-($B$9*$C$9))/($B$8-$B$9)),IF(AND('Entrada das massas'!I23&lt;=$B$8,'Entrada das massas'!I23&gt;$B$7),'Entrada das massas'!I23-((($C$8-$C$7)*($B$8-'Entrada das massas'!I23)+($B$7*$C$8)-($B$8*$C$8))/($B$7-$B$8)),IF(AND('Entrada das massas'!I23&lt;=$B$7,'Entrada das massas'!I23&gt;$B$6),'Entrada das massas'!I23-((($C$7-$C$6)*($B$7-'Entrada das massas'!I23)+($B$6*$C$7)-($B$7*$C$7))/($B$6-$B$7)),IF(AND('Entrada das massas'!I23&lt;=$B$6,'Entrada das massas'!I23&gt;$B$5),'Entrada das massas'!I23-((($C$6-$C$5)*($B$6-'Entrada das massas'!I23)+($B$5*$C$6)-($B$6*$C$6))/($B$5-$B$6)),IF('Entrada das massas'!I23&lt;=$B$5,'Entrada das massas'!I23-$C$5)))))))))))))))))</f>
        <v>12.638544722939997</v>
      </c>
      <c r="J43" s="117">
        <f t="shared" ref="J43:J44" si="12">IF(I43="","",(IF(AND(I43&lt;=$B$20,I43&gt;$B$19),$D$19+($B$19-I43)/($B$19-$B$20)*($D$20-$D$19),IF(AND(I43&lt;=$B$19,I43&gt;$B$18),$D$18+($B$18-I43)/($B$18-$B$19)*($D$19-$D$18),IF(AND(I43&lt;=$B$18,I43&gt;$B$17),$D$17+($B$17-I43)/($B$17-$B$18)*($D$18-$D$17),IF(AND(I43&lt;=$B$17,I43&gt;$B$16),$D$16+($B$16-I43)/($B$16-$B$17)*($D$17-$D$16),IF(AND(I43&lt;=$B$16,I43&gt;$B$15),$D$15+($B$15-I43)/($B$15-$B$16)*($D$16-$D$15),IF(AND(I43&lt;=$B$15,I43&gt;$B$14),$D$14+($B$14-I43)/($B$14-$B$15)*($D$15-$D$14),IF(AND(I43&lt;=$B$14,I43&gt;$B$13),$D$13+($B$13-I43)/($B$13-$B$14)*($D$14-$D$13),IF(AND(I43&lt;=$B$13,I43&gt;$B$12),$D$12+($B$12-I43)/($B$12-$B$13)*($D$13-$D$12),IF(AND(I43&lt;=$B$12,I43&gt;$B$11),$D$11+($B$11-I43)/($B$11-$B$12)*($D$12-$D$11),IF(AND(I43&lt;=$B$11,I43&gt;$B$10),$D$10+($B$10-I43)/($B$10-$B$11)*($D$11-$D$10),IF(AND(I43&lt;=$B$10,I43&gt;$B$9),$D$9+($B$9-I43)/($B$9-$B$10)*($D$10-$D$9),IF(AND(I43&lt;=$B$9,I43&gt;$B$8),$D$8+($B$8-I43)/($B$8-$B$9)*($D$9-$D$8),IF(AND(I43&lt;=$B$8,I43&gt;$B$7),$D$7+($B$7-I43)/($B$7-$B$8)*($D$8-$D$7),IF(AND(I43&lt;=$B$7,I43&gt;$B$6),$D$6+($B$6-I43)/($B$6-$B$7)*($D$7-$D$6),IF(I43&lt;=$B$6,$D$6)))))))))))))))))</f>
        <v>1.0000000000000001E-5</v>
      </c>
      <c r="K43" s="120">
        <f>IF(I42="","",I43-I42)</f>
        <v>0.30072939853999792</v>
      </c>
      <c r="L43" s="117">
        <f>IF(J42="","",SQRT(SUMSQ(J42:J43)))</f>
        <v>1.4142135623730951E-5</v>
      </c>
      <c r="M43" s="93" t="str">
        <f>IF(I41="","","Amostra")</f>
        <v>Amostra</v>
      </c>
      <c r="N43" s="118"/>
      <c r="O43" s="115" t="str">
        <f>IF(P41="","","Frasco + Amostra")</f>
        <v>Frasco + Amostra</v>
      </c>
      <c r="P43" s="95" t="str">
        <f>IF('Entrada das massas'!N23="","",IF(AND('Entrada das massas'!N23&lt;=$B$20,'Entrada das massas'!N23&gt;$B$19),'Entrada das massas'!N23-((($C$20-$C$19)*($B$20-'Entrada das massas'!N23)+($B$19*$C$20)-($B$20*$C$20))/($B$19-$B$20)),IF(AND('Entrada das massas'!N23&lt;=$B$19,'Entrada das massas'!N23&gt;$B$18),'Entrada das massas'!N23-((($C$19-$C$18)*($B$19-'Entrada das massas'!N23)+($B$18*$C$19)-($B$19*$C$19))/($B$18-$B$19)),IF(AND('Entrada das massas'!N23&lt;=$B$18,'Entrada das massas'!N23&gt;$B$17),'Entrada das massas'!N23-((($C$18-$C$17)*($B$18-'Entrada das massas'!N23)+($B$17*$C$18)-($B$18*$C$18))/($B$17-$B$18)),IF(AND('Entrada das massas'!N23&lt;=$B$17,'Entrada das massas'!N23&gt;$B$16),'Entrada das massas'!N23-((($C$17-$C$16)*($B$17-'Entrada das massas'!N23)+($B$16*$C$17)-($B$17*$C$17))/($B$16-$B$17)),IF(AND('Entrada das massas'!N23&lt;=$B$16,'Entrada das massas'!N23&gt;$B$15),'Entrada das massas'!N23-((($C$16-$C$15)*($B$16-'Entrada das massas'!N23)+($B$15*$C$16)-($B$16*$C$16))/($B$15-$B$16)),IF(AND('Entrada das massas'!N23&lt;=$B$15,'Entrada das massas'!N23&gt;$B$14),'Entrada das massas'!N23-((($C$15-$C$14)*($B$15-'Entrada das massas'!N23)+($B$14*$C$15)-($B$15*$C$15))/($B$14-$B$15)),IF(AND('Entrada das massas'!N23&lt;=$B$14,'Entrada das massas'!N23&gt;$B$13),'Entrada das massas'!N23-((($C$14-$C$13)*($B$14-'Entrada das massas'!N23)+($B$13*$C$14)-($B$14*$C$14))/($B$13-$B$14)),IF(AND('Entrada das massas'!N23&lt;=$B$13,'Entrada das massas'!N23&gt;$B$12),'Entrada das massas'!N23-((($C$13-$C$12)*($B$13-'Entrada das massas'!N23)+($B$12*$C$13)-($B$13*$C$13))/($B$12-$B$13)),IF(AND('Entrada das massas'!N23&lt;=$B$12,'Entrada das massas'!N23&gt;$B$11),'Entrada das massas'!N23-((($C$12-$C$11)*($B$12-'Entrada das massas'!N23)+($B$11*$C$12)-($B$12*$C$12))/($B$11-$B$12)),IF(AND('Entrada das massas'!N23&lt;=$B$11,'Entrada das massas'!N23&gt;$B$10),'Entrada das massas'!N23-((($C$11-$C$10)*($B$11-'Entrada das massas'!N23)+($B$10*$C$11)-($B$11*$C$11))/($B$10-$B$11)),IF(AND('Entrada das massas'!N23&lt;=$B$10,'Entrada das massas'!N23&gt;$B$9),'Entrada das massas'!N23-((($C$10-$C$9)*($B$10-'Entrada das massas'!N23)+($B$9*$C$10)-($B$10*$C$10))/($B$9-$B$10)),IF(AND('Entrada das massas'!N23&lt;=$B$9,'Entrada das massas'!N23&gt;$B$8),'Entrada das massas'!N23-((($C$9-$C$8)*($B$9-'Entrada das massas'!N23)+($B$8*$C$9)-($B$9*$C$9))/($B$8-$B$9)),IF(AND('Entrada das massas'!N23&lt;=$B$8,'Entrada das massas'!N23&gt;$B$7),'Entrada das massas'!N23-((($C$8-$C$7)*($B$8-'Entrada das massas'!N23)+($B$7*$C$8)-($B$8*$C$8))/($B$7-$B$8)),IF(AND('Entrada das massas'!N23&lt;=$B$7,'Entrada das massas'!N23&gt;$B$6),'Entrada das massas'!N23-((($C$7-$C$6)*($B$7-'Entrada das massas'!N23)+($B$6*$C$7)-($B$7*$C$7))/($B$6-$B$7)),IF(AND('Entrada das massas'!N23&lt;=$B$6,'Entrada das massas'!N23&gt;$B$5),'Entrada das massas'!N23-((($C$6-$C$5)*($B$6-'Entrada das massas'!N23)+($B$5*$C$6)-($B$6*$C$6))/($B$5-$B$6)),IF('Entrada das massas'!N23&lt;=$B$5,'Entrada das massas'!N23-$C$5)))))))))))))))))</f>
        <v/>
      </c>
      <c r="Q43" s="117" t="str">
        <f t="shared" ref="Q43:Q44" si="13">IF(P43="","",(IF(AND(P43&lt;=$B$20,P43&gt;$B$19),$D$19+($B$19-P43)/($B$19-$B$20)*($D$20-$D$19),IF(AND(P43&lt;=$B$19,P43&gt;$B$18),$D$18+($B$18-P43)/($B$18-$B$19)*($D$19-$D$18),IF(AND(P43&lt;=$B$18,P43&gt;$B$17),$D$17+($B$17-P43)/($B$17-$B$18)*($D$18-$D$17),IF(AND(P43&lt;=$B$17,P43&gt;$B$16),$D$16+($B$16-P43)/($B$16-$B$17)*($D$17-$D$16),IF(AND(P43&lt;=$B$16,P43&gt;$B$15),$D$15+($B$15-P43)/($B$15-$B$16)*($D$16-$D$15),IF(AND(P43&lt;=$B$15,P43&gt;$B$14),$D$14+($B$14-P43)/($B$14-$B$15)*($D$15-$D$14),IF(AND(P43&lt;=$B$14,P43&gt;$B$13),$D$13+($B$13-P43)/($B$13-$B$14)*($D$14-$D$13),IF(AND(P43&lt;=$B$13,P43&gt;$B$12),$D$12+($B$12-P43)/($B$12-$B$13)*($D$13-$D$12),IF(AND(P43&lt;=$B$12,P43&gt;$B$11),$D$11+($B$11-P43)/($B$11-$B$12)*($D$12-$D$11),IF(AND(P43&lt;=$B$11,P43&gt;$B$10),$D$10+($B$10-P43)/($B$10-$B$11)*($D$11-$D$10),IF(AND(P43&lt;=$B$10,P43&gt;$B$9),$D$9+($B$9-P43)/($B$9-$B$10)*($D$10-$D$9),IF(AND(P43&lt;=$B$9,P43&gt;$B$8),$D$8+($B$8-P43)/($B$8-$B$9)*($D$9-$D$8),IF(AND(P43&lt;=$B$8,P43&gt;$B$7),$D$7+($B$7-P43)/($B$7-$B$8)*($D$8-$D$7),IF(AND(P43&lt;=$B$7,P43&gt;$B$6),$D$6+($B$6-P43)/($B$6-$B$7)*($D$7-$D$6),IF(P43&lt;=$B$6,$D$6)))))))))))))))))</f>
        <v/>
      </c>
      <c r="R43" s="120" t="str">
        <f>IF(P42="","",P43-P42)</f>
        <v/>
      </c>
      <c r="S43" s="117" t="str">
        <f>IF(Q42="","",SQRT(SUMSQ(Q42:Q43)))</f>
        <v/>
      </c>
      <c r="T43" s="93" t="str">
        <f>IF(P41="","","Amostra")</f>
        <v>Amostra</v>
      </c>
      <c r="U43" s="118"/>
      <c r="V43" s="115" t="str">
        <f>IF(W41="","","Frasco + Amostra")</f>
        <v/>
      </c>
      <c r="W43" s="95" t="str">
        <f>IF('Entrada das massas'!S23="","",IF(AND('Entrada das massas'!S23&lt;=$B$20,'Entrada das massas'!S23&gt;$B$19),'Entrada das massas'!S23-((($C$20-$C$19)*($B$20-'Entrada das massas'!S23)+($B$19*$C$20)-($B$20*$C$20))/($B$19-$B$20)),IF(AND('Entrada das massas'!S23&lt;=$B$19,'Entrada das massas'!S23&gt;$B$18),'Entrada das massas'!S23-((($C$19-$C$18)*($B$19-'Entrada das massas'!S23)+($B$18*$C$19)-($B$19*$C$19))/($B$18-$B$19)),IF(AND('Entrada das massas'!S23&lt;=$B$18,'Entrada das massas'!S23&gt;$B$17),'Entrada das massas'!S23-((($C$18-$C$17)*($B$18-'Entrada das massas'!S23)+($B$17*$C$18)-($B$18*$C$18))/($B$17-$B$18)),IF(AND('Entrada das massas'!S23&lt;=$B$17,'Entrada das massas'!S23&gt;$B$16),'Entrada das massas'!S23-((($C$17-$C$16)*($B$17-'Entrada das massas'!S23)+($B$16*$C$17)-($B$17*$C$17))/($B$16-$B$17)),IF(AND('Entrada das massas'!S23&lt;=$B$16,'Entrada das massas'!S23&gt;$B$15),'Entrada das massas'!S23-((($C$16-$C$15)*($B$16-'Entrada das massas'!S23)+($B$15*$C$16)-($B$16*$C$16))/($B$15-$B$16)),IF(AND('Entrada das massas'!S23&lt;=$B$15,'Entrada das massas'!S23&gt;$B$14),'Entrada das massas'!S23-((($C$15-$C$14)*($B$15-'Entrada das massas'!S23)+($B$14*$C$15)-($B$15*$C$15))/($B$14-$B$15)),IF(AND('Entrada das massas'!S23&lt;=$B$14,'Entrada das massas'!S23&gt;$B$13),'Entrada das massas'!S23-((($C$14-$C$13)*($B$14-'Entrada das massas'!S23)+($B$13*$C$14)-($B$14*$C$14))/($B$13-$B$14)),IF(AND('Entrada das massas'!S23&lt;=$B$13,'Entrada das massas'!S23&gt;$B$12),'Entrada das massas'!S23-((($C$13-$C$12)*($B$13-'Entrada das massas'!S23)+($B$12*$C$13)-($B$13*$C$13))/($B$12-$B$13)),IF(AND('Entrada das massas'!S23&lt;=$B$12,'Entrada das massas'!S23&gt;$B$11),'Entrada das massas'!S23-((($C$12-$C$11)*($B$12-'Entrada das massas'!S23)+($B$11*$C$12)-($B$12*$C$12))/($B$11-$B$12)),IF(AND('Entrada das massas'!S23&lt;=$B$11,'Entrada das massas'!S23&gt;$B$10),'Entrada das massas'!S23-((($C$11-$C$10)*($B$11-'Entrada das massas'!S23)+($B$10*$C$11)-($B$11*$C$11))/($B$10-$B$11)),IF(AND('Entrada das massas'!S23&lt;=$B$10,'Entrada das massas'!S23&gt;$B$9),'Entrada das massas'!S23-((($C$10-$C$9)*($B$10-'Entrada das massas'!S23)+($B$9*$C$10)-($B$10*$C$10))/($B$9-$B$10)),IF(AND('Entrada das massas'!S23&lt;=$B$9,'Entrada das massas'!S23&gt;$B$8),'Entrada das massas'!S23-((($C$9-$C$8)*($B$9-'Entrada das massas'!S23)+($B$8*$C$9)-($B$9*$C$9))/($B$8-$B$9)),IF(AND('Entrada das massas'!S23&lt;=$B$8,'Entrada das massas'!S23&gt;$B$7),'Entrada das massas'!S23-((($C$8-$C$7)*($B$8-'Entrada das massas'!S23)+($B$7*$C$8)-($B$8*$C$8))/($B$7-$B$8)),IF(AND('Entrada das massas'!S23&lt;=$B$7,'Entrada das massas'!S23&gt;$B$6),'Entrada das massas'!S23-((($C$7-$C$6)*($B$7-'Entrada das massas'!S23)+($B$6*$C$7)-($B$7*$C$7))/($B$6-$B$7)),IF(AND('Entrada das massas'!S23&lt;=$B$6,'Entrada das massas'!S23&gt;$B$5),'Entrada das massas'!S23-((($C$6-$C$5)*($B$6-'Entrada das massas'!S23)+($B$5*$C$6)-($B$6*$C$6))/($B$5-$B$6)),IF('Entrada das massas'!S23&lt;=$B$5,'Entrada das massas'!S23-$C$5)))))))))))))))))</f>
        <v/>
      </c>
      <c r="X43" s="117" t="str">
        <f t="shared" ref="X43:X44" si="14">IF(W43="","",(IF(AND(W43&lt;=$B$20,W43&gt;$B$19),$D$19+($B$19-W43)/($B$19-$B$20)*($D$20-$D$19),IF(AND(W43&lt;=$B$19,W43&gt;$B$18),$D$18+($B$18-W43)/($B$18-$B$19)*($D$19-$D$18),IF(AND(W43&lt;=$B$18,W43&gt;$B$17),$D$17+($B$17-W43)/($B$17-$B$18)*($D$18-$D$17),IF(AND(W43&lt;=$B$17,W43&gt;$B$16),$D$16+($B$16-W43)/($B$16-$B$17)*($D$17-$D$16),IF(AND(W43&lt;=$B$16,W43&gt;$B$15),$D$15+($B$15-W43)/($B$15-$B$16)*($D$16-$D$15),IF(AND(W43&lt;=$B$15,W43&gt;$B$14),$D$14+($B$14-W43)/($B$14-$B$15)*($D$15-$D$14),IF(AND(W43&lt;=$B$14,W43&gt;$B$13),$D$13+($B$13-W43)/($B$13-$B$14)*($D$14-$D$13),IF(AND(W43&lt;=$B$13,W43&gt;$B$12),$D$12+($B$12-W43)/($B$12-$B$13)*($D$13-$D$12),IF(AND(W43&lt;=$B$12,W43&gt;$B$11),$D$11+($B$11-W43)/($B$11-$B$12)*($D$12-$D$11),IF(AND(W43&lt;=$B$11,W43&gt;$B$10),$D$10+($B$10-W43)/($B$10-$B$11)*($D$11-$D$10),IF(AND(W43&lt;=$B$10,W43&gt;$B$9),$D$9+($B$9-W43)/($B$9-$B$10)*($D$10-$D$9),IF(AND(W43&lt;=$B$9,W43&gt;$B$8),$D$8+($B$8-W43)/($B$8-$B$9)*($D$9-$D$8),IF(AND(W43&lt;=$B$8,W43&gt;$B$7),$D$7+($B$7-W43)/($B$7-$B$8)*($D$8-$D$7),IF(AND(W43&lt;=$B$7,W43&gt;$B$6),$D$6+($B$6-W43)/($B$6-$B$7)*($D$7-$D$6),IF(W43&lt;=$B$6,$D$6)))))))))))))))))</f>
        <v/>
      </c>
      <c r="Y43" s="120" t="str">
        <f>IF(W42="","",W43-W42)</f>
        <v/>
      </c>
      <c r="Z43" s="117" t="str">
        <f>IF(X42="","",SQRT(SUMSQ(X42:X43)))</f>
        <v/>
      </c>
      <c r="AA43" s="93" t="str">
        <f>IF(W41="","","Amostra")</f>
        <v/>
      </c>
      <c r="AC43" s="101"/>
      <c r="AD43" s="95"/>
      <c r="AE43" s="93"/>
      <c r="AF43" s="93"/>
      <c r="AG43" s="93"/>
      <c r="AH43" s="101"/>
      <c r="AI43" s="95"/>
      <c r="AJ43" s="93"/>
      <c r="AK43" s="93"/>
      <c r="AL43" s="101"/>
      <c r="AM43" s="98"/>
      <c r="AN43" s="95"/>
      <c r="AO43" s="93"/>
      <c r="AP43" s="93"/>
      <c r="AQ43" s="98"/>
      <c r="AR43" s="98"/>
      <c r="AS43" s="98"/>
      <c r="AT43" s="98"/>
    </row>
    <row r="44" spans="1:46" x14ac:dyDescent="0.2">
      <c r="A44" s="122" t="s">
        <v>58</v>
      </c>
      <c r="B44" s="111">
        <f>IF(AND('Entrada das massas'!C24&lt;=$B$20,'Entrada das massas'!C24&gt;$B$19),'Entrada das massas'!C24-((($C$20-$C$19)*($B$20-'Entrada das massas'!C24)+($B$19*$C$20)-($B$20*$C$20))/($B$19-$B$20)),IF(AND('Entrada das massas'!C24&lt;=$B$19,'Entrada das massas'!C24&gt;$B$18),'Entrada das massas'!C24-((($C$19-$C$18)*($B$19-'Entrada das massas'!C24)+($B$18*$C$19)-($B$19*$C$19))/($B$18-$B$19)),IF(AND('Entrada das massas'!C24&lt;=$B$18,'Entrada das massas'!C24&gt;$B$17),'Entrada das massas'!C24-((($C$18-$C$17)*($B$18-'Entrada das massas'!C24)+($B$17*$C$18)-($B$18*$C$18))/($B$17-$B$18)),IF(AND('Entrada das massas'!C24&lt;=$B$17,'Entrada das massas'!C24&gt;$B$16),'Entrada das massas'!C24-((($C$17-$C$16)*($B$17-'Entrada das massas'!C24)+($B$16*$C$17)-($B$17*$C$17))/($B$16-$B$17)),IF(AND('Entrada das massas'!C24&lt;=$B$16,'Entrada das massas'!C24&gt;$B$15),'Entrada das massas'!C24-((($C$16-$C$15)*($B$16-'Entrada das massas'!C24)+($B$15*$C$16)-($B$16*$C$16))/($B$15-$B$16)),IF(AND('Entrada das massas'!C24&lt;=$B$15,'Entrada das massas'!C24&gt;$B$14),'Entrada das massas'!C24-((($C$15-$C$14)*($B$15-'Entrada das massas'!C24)+($B$14*$C$15)-($B$15*$C$15))/($B$14-$B$15)),IF(AND('Entrada das massas'!C24&lt;=$B$14,'Entrada das massas'!C24&gt;$B$13),'Entrada das massas'!C24-((($C$14-$C$13)*($B$14-'Entrada das massas'!C24)+($B$13*$C$14)-($B$14*$C$14))/($B$13-$B$14)),IF(AND('Entrada das massas'!C24&lt;=$B$13,'Entrada das massas'!C24&gt;$B$12),'Entrada das massas'!C24-((($C$13-$C$12)*($B$13-'Entrada das massas'!C24)+($B$12*$C$13)-($B$13*$C$13))/($B$12-$B$13)),IF(AND('Entrada das massas'!C24&lt;=$B$12,'Entrada das massas'!C24&gt;$B$11),'Entrada das massas'!C24-((($C$12-$C$11)*($B$12-'Entrada das massas'!C24)+($B$11*$C$12)-($B$12*$C$12))/($B$11-$B$12)), IF(AND('Entrada das massas'!C24&lt;=$B$11,'Entrada das massas'!C24&gt;$B$10),'Entrada das massas'!C24-((($C$11-$C$10)*($B$11-'Entrada das massas'!C24)+($B$10*$C$11)-($B$11*$C$11))/($B$10-$B$11)),IF(AND('Entrada das massas'!C24&lt;=$B$10,'Entrada das massas'!C24&gt;$B$9),'Entrada das massas'!C24-((($C$10-$C$9)*($B$10-'Entrada das massas'!C24)+($B$9*$C$10)-($B$10*$C$10))/($B$9-$B$10)),IF(AND('Entrada das massas'!C24&lt;=$B$9,'Entrada das massas'!C24&gt;$B$8),'Entrada das massas'!C24-((($C$9-$C$8)*($B$9-'Entrada das massas'!C24)+($B$8*$C$9)-($B$9*$C$9))/($B$8-$B$9)),IF(AND('Entrada das massas'!C24&lt;=$B$8,'Entrada das massas'!C24&gt;$B$7),'Entrada das massas'!C24-((($C$8-$C$7)*($B$8-'Entrada das massas'!C24)+($B$7*$C$8)-($B$8*$C$8))/($B$7-$B$8)),IF(AND('Entrada das massas'!C24&lt;=$B$7,'Entrada das massas'!C24&gt;$B$6),'Entrada das massas'!C24-((($C$7-$C$6)*($B$7-'Entrada das massas'!C24)+($B$6*$C$7)-($B$7*$C$7))/($B$6-$B$7)),IF(AND('Entrada das massas'!C24&lt;=$B$6,'Entrada das massas'!C24&gt;$B$5),'Entrada das massas'!C24-((($C$6-$C$5)*($B$6-'Entrada das massas'!C24)+($B$5*$C$6)-($B$6*$C$6))/($B$5-$B$6)),IF('Entrada das massas'!C24&lt;=$B$5,'Entrada das massas'!C24-$C$5))))))))))))))))</f>
        <v>64.40026440023</v>
      </c>
      <c r="C44" s="112">
        <f>(IF(AND(B44&lt;=$B$20,B44&gt;$B$19),$D$19+($B$19-B44)/($B$19-$B$20)*($D$20-$D$19),IF(AND(B44&lt;=$B$19,B44&gt;$B$18),$D$18+($B$18-B44)/($B$18-$B$19)*($D$19-$D$18),IF(AND(B44&lt;=$B$18,B44&gt;$B$17),$D$17+($B$17-B44)/($B$17-$B$18)*($D$18-$D$17),IF(AND(B44&lt;=$B$17,B44&gt;$B$16),$D$16+($B$16-B44)/($B$16-$B$17)*($D$17-$D$16),IF(AND(B44&lt;=$B$16,B44&gt;$B$15),$D$15+($B$15-B44)/($B$15-$B$16)*($D$16-$D$15),IF(AND(B44&lt;=$B$15,B44&gt;$B$14),$D$14+($B$14-B44)/($B$14-$B$15)*($D$15-$D$14),IF(AND(B44&lt;=$B$14,B44&gt;$B$13),$D$13+($B$13-B44)/($B$13-$B$14)*($D$14-$D$13),IF(AND(B44&lt;=$B$13,B44&gt;$B$12),$D$12+($B$12-B44)/($B$12-$B$13)*($D$13-$D$12),IF(AND(B44&lt;=$B$12,B44&gt;$B$11),$D$11+($B$11-B44)/($B$11-$B$12)*($D$12-$D$11),IF(AND(B44&lt;=$B$11,B44&gt;$B$10),$D$10+($B$10-B44)/($B$10-$B$11)*($D$11-$D$10),IF(AND(B44&lt;=$B$10,B44&gt;$B$9),$D$9+($B$9-B44)/($B$9-$B$10)*($D$10-$D$9),IF(AND(B44&lt;=$B$9,B44&gt;$B$8),$D$8+($B$8-B44)/($B$8-$B$9)*($D$9-$D$8),IF(AND(B44&lt;=$B$8,B44&gt;$B$7),$D$7+($B$7-B44)/($B$7-$B$8)*($D$8-$D$7),IF(AND(B44&lt;=$B$7,B44&gt;$B$6),$D$6+($B$6-B44)/($B$6-$B$7)*($D$7-$D$6),IF(B44&lt;=$B$6,$D$6))))))))))))))))</f>
        <v>2.5000000000000001E-5</v>
      </c>
      <c r="D44" s="113" t="s">
        <v>78</v>
      </c>
      <c r="E44" s="119">
        <f>B44-B42</f>
        <v>49.990373219990005</v>
      </c>
      <c r="F44" s="112">
        <f>SQRT(SUMSQ(C42,C44))</f>
        <v>2.6925824035672523E-5</v>
      </c>
      <c r="H44" s="123" t="str">
        <f>IF(I41="","","Massa final")</f>
        <v>Massa final</v>
      </c>
      <c r="I44" s="116">
        <f>IF('Entrada das massas'!I24="","",IF(AND('Entrada das massas'!I24&lt;=$B$20,'Entrada das massas'!I24&gt;$B$19),'Entrada das massas'!I24-((($C$20-$C$19)*($B$20-'Entrada das massas'!I24)+($B$19*$C$20)-($B$20*$C$20))/($B$19-$B$20)),IF(AND('Entrada das massas'!I24&lt;=$B$19,'Entrada das massas'!I24&gt;$B$18),'Entrada das massas'!I24-((($C$19-$C$18)*($B$19-'Entrada das massas'!I24)+($B$18*$C$19)-($B$19*$C$19))/($B$18-$B$19)),IF(AND('Entrada das massas'!I24&lt;=$B$18,'Entrada das massas'!I24&gt;$B$17),'Entrada das massas'!I24-((($C$18-$C$17)*($B$18-'Entrada das massas'!I24)+($B$17*$C$18)-($B$18*$C$18))/($B$17-$B$18)),IF(AND('Entrada das massas'!I24&lt;=$B$17,'Entrada das massas'!I24&gt;$B$16),'Entrada das massas'!I24-((($C$17-$C$16)*($B$17-'Entrada das massas'!I24)+($B$16*$C$17)-($B$17*$C$17))/($B$16-$B$17)),IF(AND('Entrada das massas'!I24&lt;=$B$16,'Entrada das massas'!I24&gt;$B$15),'Entrada das massas'!I24-((($C$16-$C$15)*($B$16-'Entrada das massas'!I24)+($B$15*$C$16)-($B$16*$C$16))/($B$15-$B$16)),IF(AND('Entrada das massas'!I24&lt;=$B$15,'Entrada das massas'!I24&gt;$B$14),'Entrada das massas'!I24-((($C$15-$C$14)*($B$15-'Entrada das massas'!I24)+($B$14*$C$15)-($B$15*$C$15))/($B$14-$B$15)),IF(AND('Entrada das massas'!I24&lt;=$B$14,'Entrada das massas'!I24&gt;$B$13),'Entrada das massas'!I24-((($C$14-$C$13)*($B$14-'Entrada das massas'!I24)+($B$13*$C$14)-($B$14*$C$14))/($B$13-$B$14)),IF(AND('Entrada das massas'!I24&lt;=$B$13,'Entrada das massas'!I24&gt;$B$12),'Entrada das massas'!I24-((($C$13-$C$12)*($B$13-'Entrada das massas'!I24)+($B$12*$C$13)-($B$13*$C$13))/($B$12-$B$13)),IF(AND('Entrada das massas'!I24&lt;=$B$12,'Entrada das massas'!I24&gt;$B$11),'Entrada das massas'!I24-((($C$12-$C$11)*($B$12-'Entrada das massas'!I24)+($B$11*$C$12)-($B$12*$C$12))/($B$11-$B$12)),IF(AND('Entrada das massas'!I24&lt;=$B$11,'Entrada das massas'!I24&gt;$B$10),'Entrada das massas'!I24-((($C$11-$C$10)*($B$11-'Entrada das massas'!I24)+($B$10*$C$11)-($B$11*$C$11))/($B$10-$B$11)),IF(AND('Entrada das massas'!I24&lt;=$B$10,'Entrada das massas'!I24&gt;$B$9),'Entrada das massas'!I24-((($C$10-$C$9)*($B$10-'Entrada das massas'!I24)+($B$9*$C$10)-($B$10*$C$10))/($B$9-$B$10)),IF(AND('Entrada das massas'!I24&lt;=$B$9,'Entrada das massas'!I24&gt;$B$8),'Entrada das massas'!I24-((($C$9-$C$8)*($B$9-'Entrada das massas'!I24)+($B$8*$C$9)-($B$9*$C$9))/($B$8-$B$9)),IF(AND('Entrada das massas'!I24&lt;=$B$8,'Entrada das massas'!I24&gt;$B$7),'Entrada das massas'!I24-((($C$8-$C$7)*($B$8-'Entrada das massas'!I24)+($B$7*$C$8)-($B$8*$C$8))/($B$7-$B$8)),IF(AND('Entrada das massas'!I24&lt;=$B$7,'Entrada das massas'!I24&gt;$B$6),'Entrada das massas'!I24-((($C$7-$C$6)*($B$7-'Entrada das massas'!I24)+($B$6*$C$7)-($B$7*$C$7))/($B$6-$B$7)),IF(AND('Entrada das massas'!I24&lt;=$B$6,'Entrada das massas'!I24&gt;$B$5),'Entrada das massas'!I24-((($C$6-$C$5)*($B$6-'Entrada das massas'!I24)+($B$5*$C$6)-($B$6*$C$6))/($B$5-$B$6)),IF('Entrada das massas'!I24&lt;=$B$5,'Entrada das massas'!I24-$C$5)))))))))))))))))</f>
        <v>62.836652836620004</v>
      </c>
      <c r="J44" s="117">
        <f t="shared" si="12"/>
        <v>2.5000000000000001E-5</v>
      </c>
      <c r="K44" s="120">
        <f>IF(I42="","",I44-I42)</f>
        <v>50.498837512220007</v>
      </c>
      <c r="L44" s="117">
        <f>IF(J42="","",SQRT(SUMSQ(J42,J44)))</f>
        <v>2.6925824035672523E-5</v>
      </c>
      <c r="M44" s="93" t="str">
        <f>IF(I41="","","Solução")</f>
        <v>Solução</v>
      </c>
      <c r="N44" s="93"/>
      <c r="O44" s="123" t="str">
        <f>IF(P41="","","Massa final")</f>
        <v>Massa final</v>
      </c>
      <c r="P44" s="95" t="str">
        <f>IF('Entrada das massas'!N24="","",IF(AND('Entrada das massas'!N24&lt;=$B$20,'Entrada das massas'!N24&gt;$B$19),'Entrada das massas'!N24-((($C$20-$C$19)*($B$20-'Entrada das massas'!N24)+($B$19*$C$20)-($B$20*$C$20))/($B$19-$B$20)),IF(AND('Entrada das massas'!N24&lt;=$B$19,'Entrada das massas'!N24&gt;$B$18),'Entrada das massas'!N24-((($C$19-$C$18)*($B$19-'Entrada das massas'!N24)+($B$18*$C$19)-($B$19*$C$19))/($B$18-$B$19)),IF(AND('Entrada das massas'!N24&lt;=$B$18,'Entrada das massas'!N24&gt;$B$17),'Entrada das massas'!N24-((($C$18-$C$17)*($B$18-'Entrada das massas'!N24)+($B$17*$C$18)-($B$18*$C$18))/($B$17-$B$18)),IF(AND('Entrada das massas'!N24&lt;=$B$17,'Entrada das massas'!N24&gt;$B$16),'Entrada das massas'!N24-((($C$17-$C$16)*($B$17-'Entrada das massas'!N24)+($B$16*$C$17)-($B$17*$C$17))/($B$16-$B$17)),IF(AND('Entrada das massas'!N24&lt;=$B$16,'Entrada das massas'!N24&gt;$B$15),'Entrada das massas'!N24-((($C$16-$C$15)*($B$16-'Entrada das massas'!N24)+($B$15*$C$16)-($B$16*$C$16))/($B$15-$B$16)),IF(AND('Entrada das massas'!N24&lt;=$B$15,'Entrada das massas'!N24&gt;$B$14),'Entrada das massas'!N24-((($C$15-$C$14)*($B$15-'Entrada das massas'!N24)+($B$14*$C$15)-($B$15*$C$15))/($B$14-$B$15)),IF(AND('Entrada das massas'!N24&lt;=$B$14,'Entrada das massas'!N24&gt;$B$13),'Entrada das massas'!N24-((($C$14-$C$13)*($B$14-'Entrada das massas'!N24)+($B$13*$C$14)-($B$14*$C$14))/($B$13-$B$14)),IF(AND('Entrada das massas'!N24&lt;=$B$13,'Entrada das massas'!N24&gt;$B$12),'Entrada das massas'!N24-((($C$13-$C$12)*($B$13-'Entrada das massas'!N24)+($B$12*$C$13)-($B$13*$C$13))/($B$12-$B$13)),IF(AND('Entrada das massas'!N24&lt;=$B$12,'Entrada das massas'!N24&gt;$B$11),'Entrada das massas'!N24-((($C$12-$C$11)*($B$12-'Entrada das massas'!N24)+($B$11*$C$12)-($B$12*$C$12))/($B$11-$B$12)),IF(AND('Entrada das massas'!N24&lt;=$B$11,'Entrada das massas'!N24&gt;$B$10),'Entrada das massas'!N24-((($C$11-$C$10)*($B$11-'Entrada das massas'!N24)+($B$10*$C$11)-($B$11*$C$11))/($B$10-$B$11)),IF(AND('Entrada das massas'!N24&lt;=$B$10,'Entrada das massas'!N24&gt;$B$9),'Entrada das massas'!N24-((($C$10-$C$9)*($B$10-'Entrada das massas'!N24)+($B$9*$C$10)-($B$10*$C$10))/($B$9-$B$10)),IF(AND('Entrada das massas'!N24&lt;=$B$9,'Entrada das massas'!N24&gt;$B$8),'Entrada das massas'!N24-((($C$9-$C$8)*($B$9-'Entrada das massas'!N24)+($B$8*$C$9)-($B$9*$C$9))/($B$8-$B$9)),IF(AND('Entrada das massas'!N24&lt;=$B$8,'Entrada das massas'!N24&gt;$B$7),'Entrada das massas'!N24-((($C$8-$C$7)*($B$8-'Entrada das massas'!N24)+($B$7*$C$8)-($B$8*$C$8))/($B$7-$B$8)),IF(AND('Entrada das massas'!N24&lt;=$B$7,'Entrada das massas'!N24&gt;$B$6),'Entrada das massas'!N24-((($C$7-$C$6)*($B$7-'Entrada das massas'!N24)+($B$6*$C$7)-($B$7*$C$7))/($B$6-$B$7)),IF(AND('Entrada das massas'!N24&lt;=$B$6,'Entrada das massas'!N24&gt;$B$5),'Entrada das massas'!N24-((($C$6-$C$5)*($B$6-'Entrada das massas'!N24)+($B$5*$C$6)-($B$6*$C$6))/($B$5-$B$6)),IF('Entrada das massas'!N24&lt;=$B$5,'Entrada das massas'!N24-$C$5)))))))))))))))))</f>
        <v/>
      </c>
      <c r="Q44" s="117" t="str">
        <f t="shared" si="13"/>
        <v/>
      </c>
      <c r="R44" s="120" t="str">
        <f>IF(P42="","",P44-P42)</f>
        <v/>
      </c>
      <c r="S44" s="117" t="str">
        <f>IF(Q42="","",SQRT(SUMSQ(Q42,Q44)))</f>
        <v/>
      </c>
      <c r="T44" s="93" t="str">
        <f>IF(P41="","","Solução")</f>
        <v>Solução</v>
      </c>
      <c r="U44" s="93"/>
      <c r="V44" s="123" t="str">
        <f>IF(W41="","","Massa final")</f>
        <v/>
      </c>
      <c r="W44" s="95" t="str">
        <f>IF('Entrada das massas'!S24="","",IF(AND('Entrada das massas'!S24&lt;=$B$20,'Entrada das massas'!S24&gt;$B$19),'Entrada das massas'!S24-((($C$20-$C$19)*($B$20-'Entrada das massas'!S24)+($B$19*$C$20)-($B$20*$C$20))/($B$19-$B$20)),IF(AND('Entrada das massas'!S24&lt;=$B$19,'Entrada das massas'!S24&gt;$B$18),'Entrada das massas'!S24-((($C$19-$C$18)*($B$19-'Entrada das massas'!S24)+($B$18*$C$19)-($B$19*$C$19))/($B$18-$B$19)),IF(AND('Entrada das massas'!S24&lt;=$B$18,'Entrada das massas'!S24&gt;$B$17),'Entrada das massas'!S24-((($C$18-$C$17)*($B$18-'Entrada das massas'!S24)+($B$17*$C$18)-($B$18*$C$18))/($B$17-$B$18)),IF(AND('Entrada das massas'!S24&lt;=$B$17,'Entrada das massas'!S24&gt;$B$16),'Entrada das massas'!S24-((($C$17-$C$16)*($B$17-'Entrada das massas'!S24)+($B$16*$C$17)-($B$17*$C$17))/($B$16-$B$17)),IF(AND('Entrada das massas'!S24&lt;=$B$16,'Entrada das massas'!S24&gt;$B$15),'Entrada das massas'!S24-((($C$16-$C$15)*($B$16-'Entrada das massas'!S24)+($B$15*$C$16)-($B$16*$C$16))/($B$15-$B$16)),IF(AND('Entrada das massas'!S24&lt;=$B$15,'Entrada das massas'!S24&gt;$B$14),'Entrada das massas'!S24-((($C$15-$C$14)*($B$15-'Entrada das massas'!S24)+($B$14*$C$15)-($B$15*$C$15))/($B$14-$B$15)),IF(AND('Entrada das massas'!S24&lt;=$B$14,'Entrada das massas'!S24&gt;$B$13),'Entrada das massas'!S24-((($C$14-$C$13)*($B$14-'Entrada das massas'!S24)+($B$13*$C$14)-($B$14*$C$14))/($B$13-$B$14)),IF(AND('Entrada das massas'!S24&lt;=$B$13,'Entrada das massas'!S24&gt;$B$12),'Entrada das massas'!S24-((($C$13-$C$12)*($B$13-'Entrada das massas'!S24)+($B$12*$C$13)-($B$13*$C$13))/($B$12-$B$13)),IF(AND('Entrada das massas'!S24&lt;=$B$12,'Entrada das massas'!S24&gt;$B$11),'Entrada das massas'!S24-((($C$12-$C$11)*($B$12-'Entrada das massas'!S24)+($B$11*$C$12)-($B$12*$C$12))/($B$11-$B$12)),IF(AND('Entrada das massas'!S24&lt;=$B$11,'Entrada das massas'!S24&gt;$B$10),'Entrada das massas'!S24-((($C$11-$C$10)*($B$11-'Entrada das massas'!S24)+($B$10*$C$11)-($B$11*$C$11))/($B$10-$B$11)),IF(AND('Entrada das massas'!S24&lt;=$B$10,'Entrada das massas'!S24&gt;$B$9),'Entrada das massas'!S24-((($C$10-$C$9)*($B$10-'Entrada das massas'!S24)+($B$9*$C$10)-($B$10*$C$10))/($B$9-$B$10)),IF(AND('Entrada das massas'!S24&lt;=$B$9,'Entrada das massas'!S24&gt;$B$8),'Entrada das massas'!S24-((($C$9-$C$8)*($B$9-'Entrada das massas'!S24)+($B$8*$C$9)-($B$9*$C$9))/($B$8-$B$9)),IF(AND('Entrada das massas'!S24&lt;=$B$8,'Entrada das massas'!S24&gt;$B$7),'Entrada das massas'!S24-((($C$8-$C$7)*($B$8-'Entrada das massas'!S24)+($B$7*$C$8)-($B$8*$C$8))/($B$7-$B$8)),IF(AND('Entrada das massas'!S24&lt;=$B$7,'Entrada das massas'!S24&gt;$B$6),'Entrada das massas'!S24-((($C$7-$C$6)*($B$7-'Entrada das massas'!S24)+($B$6*$C$7)-($B$7*$C$7))/($B$6-$B$7)),IF(AND('Entrada das massas'!S24&lt;=$B$6,'Entrada das massas'!S24&gt;$B$5),'Entrada das massas'!S24-((($C$6-$C$5)*($B$6-'Entrada das massas'!S24)+($B$5*$C$6)-($B$6*$C$6))/($B$5-$B$6)),IF('Entrada das massas'!S24&lt;=$B$5,'Entrada das massas'!S24-$C$5)))))))))))))))))</f>
        <v/>
      </c>
      <c r="X44" s="117" t="str">
        <f t="shared" si="14"/>
        <v/>
      </c>
      <c r="Y44" s="120" t="str">
        <f>IF(W42="","",W44-W42)</f>
        <v/>
      </c>
      <c r="Z44" s="117" t="str">
        <f>IF(X42="","",SQRT(SUMSQ(X42,X44)))</f>
        <v/>
      </c>
      <c r="AA44" s="93" t="str">
        <f>IF(W41="","","Solução")</f>
        <v/>
      </c>
      <c r="AC44" s="128"/>
      <c r="AD44" s="125"/>
      <c r="AE44" s="120"/>
      <c r="AF44" s="118"/>
      <c r="AG44" s="118"/>
      <c r="AH44" s="128"/>
      <c r="AI44" s="95"/>
      <c r="AJ44" s="120"/>
      <c r="AK44" s="118"/>
      <c r="AL44" s="101"/>
      <c r="AM44" s="129"/>
      <c r="AN44" s="95"/>
      <c r="AO44" s="120"/>
      <c r="AP44" s="118"/>
      <c r="AQ44" s="98"/>
      <c r="AR44" s="98"/>
      <c r="AS44" s="98"/>
      <c r="AT44" s="98"/>
    </row>
    <row r="45" spans="1:46" ht="13.5" thickBot="1" x14ac:dyDescent="0.25">
      <c r="A45" s="143"/>
      <c r="B45" s="98"/>
      <c r="C45" s="98"/>
      <c r="D45" s="98"/>
      <c r="E45" s="98"/>
      <c r="F45" s="98"/>
      <c r="H45" s="98"/>
      <c r="I45" s="93"/>
      <c r="J45" s="139"/>
      <c r="K45" s="139"/>
      <c r="L45" s="139"/>
      <c r="M45" s="98"/>
      <c r="N45" s="98"/>
      <c r="O45" s="98"/>
      <c r="P45" s="93"/>
      <c r="Q45" s="120"/>
      <c r="R45" s="120"/>
      <c r="S45" s="120"/>
      <c r="T45" s="98"/>
      <c r="U45" s="98"/>
      <c r="V45" s="98"/>
      <c r="W45" s="93"/>
      <c r="X45" s="120"/>
      <c r="Y45" s="120"/>
      <c r="Z45" s="120"/>
      <c r="AA45" s="98"/>
      <c r="AC45" s="124"/>
      <c r="AD45" s="95"/>
      <c r="AE45" s="120"/>
      <c r="AF45" s="93"/>
      <c r="AG45" s="93"/>
      <c r="AH45" s="124"/>
      <c r="AI45" s="95"/>
      <c r="AJ45" s="120"/>
      <c r="AK45" s="93"/>
      <c r="AL45" s="101"/>
      <c r="AM45" s="124"/>
      <c r="AN45" s="95"/>
      <c r="AO45" s="120"/>
      <c r="AP45" s="93"/>
      <c r="AQ45" s="98"/>
      <c r="AR45" s="98"/>
      <c r="AS45" s="98"/>
      <c r="AT45" s="98"/>
    </row>
    <row r="46" spans="1:46" ht="13.5" thickBot="1" x14ac:dyDescent="0.25">
      <c r="A46" s="572" t="s">
        <v>33</v>
      </c>
      <c r="B46" s="573"/>
      <c r="C46" s="573"/>
      <c r="D46" s="573"/>
      <c r="E46" s="573"/>
      <c r="F46" s="574"/>
      <c r="H46" s="126" t="str">
        <f>IF(I41="","","Amostra")</f>
        <v>Amostra</v>
      </c>
      <c r="I46" s="127" t="str">
        <f>IF('Entrada das massas'!I26="","",'Entrada das massas'!I26)</f>
        <v>CCQM K56A</v>
      </c>
      <c r="J46" s="120" t="str">
        <f>IF(I46="","","uc(g)")</f>
        <v>uc(g)</v>
      </c>
      <c r="K46" s="120" t="str">
        <f>IF(J46="","","Massa (g)")</f>
        <v>Massa (g)</v>
      </c>
      <c r="L46" s="120" t="str">
        <f>IF(K46="","","ucomb (g)")</f>
        <v>ucomb (g)</v>
      </c>
      <c r="M46" s="98" t="str">
        <f>IF(I46="","","Fdiluição")</f>
        <v>Fdiluição</v>
      </c>
      <c r="N46" s="98"/>
      <c r="O46" s="126" t="str">
        <f>IF(M47="","","Amostra")</f>
        <v>Amostra</v>
      </c>
      <c r="P46" s="127" t="str">
        <f>IF('Entrada das massas'!N26="","",'Entrada das massas'!N26)</f>
        <v>CCQM K56A</v>
      </c>
      <c r="Q46" s="120" t="str">
        <f>IF(P46="","","uc(g)")</f>
        <v>uc(g)</v>
      </c>
      <c r="R46" s="120" t="str">
        <f>IF(Q46="","","Massa (g)")</f>
        <v>Massa (g)</v>
      </c>
      <c r="S46" s="120" t="str">
        <f>IF(R46="","","ucomb (g)")</f>
        <v>ucomb (g)</v>
      </c>
      <c r="T46" s="98" t="str">
        <f>IF(P46="","","Fdiluição")</f>
        <v>Fdiluição</v>
      </c>
      <c r="U46" s="98"/>
      <c r="V46" s="126" t="str">
        <f>IF(T47="","","Amostra")</f>
        <v/>
      </c>
      <c r="W46" s="127" t="str">
        <f>IF('Entrada das massas'!S26="","",'Entrada das massas'!S26)</f>
        <v/>
      </c>
      <c r="X46" s="120" t="str">
        <f>IF(W46="","","uc(g)")</f>
        <v/>
      </c>
      <c r="Y46" s="120" t="str">
        <f>IF(X46="","","Massa (g)")</f>
        <v/>
      </c>
      <c r="Z46" s="120" t="str">
        <f>IF(Y46="","","ucomb (g)")</f>
        <v/>
      </c>
      <c r="AA46" s="98" t="str">
        <f>IF(W46="","","Fdiluição")</f>
        <v/>
      </c>
      <c r="AC46" s="101"/>
      <c r="AD46" s="101"/>
      <c r="AE46" s="133"/>
      <c r="AF46" s="134"/>
      <c r="AG46" s="135"/>
      <c r="AH46" s="101"/>
      <c r="AI46" s="134"/>
      <c r="AJ46" s="101"/>
      <c r="AK46" s="101"/>
      <c r="AL46" s="101"/>
      <c r="AM46" s="98"/>
      <c r="AN46" s="136"/>
      <c r="AO46" s="98"/>
      <c r="AP46" s="98"/>
      <c r="AQ46" s="98"/>
      <c r="AR46" s="98"/>
      <c r="AS46" s="98"/>
      <c r="AT46" s="98"/>
    </row>
    <row r="47" spans="1:46" ht="12.75" customHeight="1" x14ac:dyDescent="0.3">
      <c r="A47" s="130" t="s">
        <v>57</v>
      </c>
      <c r="B47" s="111">
        <f>IF(AND('Entrada das massas'!C27&lt;=$B$20,'Entrada das massas'!C27&gt;$B$19),'Entrada das massas'!C27-((($C$20-$C$19)*($B$20-'Entrada das massas'!C27)+($B$19*$C$20)-($B$20*$C$20))/($B$19-$B$20)),IF(AND('Entrada das massas'!C27&lt;=$B$19,'Entrada das massas'!C27&gt;$B$18),'Entrada das massas'!C27-((($C$19-$C$18)*($B$19-'Entrada das massas'!C27)+($B$18*$C$19)-($B$19*$C$19))/($B$18-$B$19)),IF(AND('Entrada das massas'!C27&lt;=$B$18,'Entrada das massas'!C27&gt;$B$17),'Entrada das massas'!C27-((($C$18-$C$17)*($B$18-'Entrada das massas'!C27)+($B$17*$C$18)-($B$18*$C$18))/($B$17-$B$18)),IF(AND('Entrada das massas'!C27&lt;=$B$17,'Entrada das massas'!C27&gt;$B$16),'Entrada das massas'!C27-((($C$17-$C$16)*($B$17-'Entrada das massas'!C27)+($B$16*$C$17)-($B$17*$C$17))/($B$16-$B$17)),IF(AND('Entrada das massas'!C27&lt;=$B$16,'Entrada das massas'!C27&gt;$B$15),'Entrada das massas'!C27-((($C$16-$C$15)*($B$16-'Entrada das massas'!C27)+($B$15*$C$16)-($B$16*$C$16))/($B$15-$B$16)),IF(AND('Entrada das massas'!C27&lt;=$B$15,'Entrada das massas'!C27&gt;$B$14),'Entrada das massas'!C27-((($C$15-$C$14)*($B$15-'Entrada das massas'!C27)+($B$14*$C$15)-($B$15*$C$15))/($B$14-$B$15)),IF(AND('Entrada das massas'!C27&lt;=$B$14,'Entrada das massas'!C27&gt;$B$13),'Entrada das massas'!C27-((($C$14-$C$13)*($B$14-'Entrada das massas'!C27)+($B$13*$C$14)-($B$14*$C$14))/($B$13-$B$14)),IF(AND('Entrada das massas'!C27&lt;=$B$13,'Entrada das massas'!C27&gt;$B$12),'Entrada das massas'!C27-((($C$13-$C$12)*($B$13-'Entrada das massas'!C27)+($B$12*$C$13)-($B$13*$C$13))/($B$12-$B$13)),IF(AND('Entrada das massas'!C27&lt;=$B$12,'Entrada das massas'!C27&gt;$B$11),'Entrada das massas'!C27-((($C$12-$C$11)*($B$12-'Entrada das massas'!C27)+($B$11*$C$12)-($B$12*$C$12))/($B$11-$B$12)), IF(AND('Entrada das massas'!C27&lt;=$B$11,'Entrada das massas'!C27&gt;$B$10),'Entrada das massas'!C27-((($C$11-$C$10)*($B$11-'Entrada das massas'!C27)+($B$10*$C$11)-($B$11*$C$11))/($B$10-$B$11)),IF(AND('Entrada das massas'!C27&lt;=$B$10,'Entrada das massas'!C27&gt;$B$9),'Entrada das massas'!C27-((($C$10-$C$9)*($B$10-'Entrada das massas'!C27)+($B$9*$C$10)-($B$10*$C$10))/($B$9-$B$10)),IF(AND('Entrada das massas'!C27&lt;=$B$9,'Entrada das massas'!C27&gt;$B$8),'Entrada das massas'!C27-((($C$9-$C$8)*($B$9-'Entrada das massas'!C27)+($B$8*$C$9)-($B$9*$C$9))/($B$8-$B$9)),IF(AND('Entrada das massas'!C27&lt;=$B$8,'Entrada das massas'!C27&gt;$B$7),'Entrada das massas'!C27-((($C$8-$C$7)*($B$8-'Entrada das massas'!C27)+($B$7*$C$8)-($B$8*$C$8))/($B$7-$B$8)),IF(AND('Entrada das massas'!C27&lt;=$B$7,'Entrada das massas'!C27&gt;$B$6),'Entrada das massas'!C27-((($C$7-$C$6)*($B$7-'Entrada das massas'!C27)+($B$6*$C$7)-($B$7*$C$7))/($B$6-$B$7)),IF(AND('Entrada das massas'!C27&lt;=$B$6,'Entrada das massas'!C27&gt;$B$5),'Entrada das massas'!C27-((($C$6-$C$5)*($B$6-'Entrada das massas'!C27)+($B$5*$C$6)-($B$6*$C$6))/($B$5-$B$6)),IF('Entrada das massas'!C27&lt;=$B$5,'Entrada das massas'!C27-$C$5))))))))))))))))</f>
        <v>14.48700102602</v>
      </c>
      <c r="C47" s="112">
        <f>(IF(AND(B47&lt;=$B$20,B47&gt;$B$19),$D$19+($B$19-B47)/($B$19-$B$20)*($D$20-$D$19),IF(AND(B47&lt;=$B$19,B47&gt;$B$18),$D$18+($B$18-B47)/($B$18-$B$19)*($D$19-$D$18),IF(AND(B47&lt;=$B$18,B47&gt;$B$17),$D$17+($B$17-B47)/($B$17-$B$18)*($D$18-$D$17),IF(AND(B47&lt;=$B$17,B47&gt;$B$16),$D$16+($B$16-B47)/($B$16-$B$17)*($D$17-$D$16),IF(AND(B47&lt;=$B$16,B47&gt;$B$15),$D$15+($B$15-B47)/($B$15-$B$16)*($D$16-$D$15),IF(AND(B47&lt;=$B$15,B47&gt;$B$14),$D$14+($B$14-B47)/($B$14-$B$15)*($D$15-$D$14),IF(AND(B47&lt;=$B$14,B47&gt;$B$13),$D$13+($B$13-B47)/($B$13-$B$14)*($D$14-$D$13),IF(AND(B47&lt;=$B$13,B47&gt;$B$12),$D$12+($B$12-B47)/($B$12-$B$13)*($D$13-$D$12),IF(AND(B47&lt;=$B$12,B47&gt;$B$11),$D$11+($B$11-B47)/($B$11-$B$12)*($D$12-$D$11),IF(AND(B47&lt;=$B$11,B47&gt;$B$10),$D$10+($B$10-B47)/($B$10-$B$11)*($D$11-$D$10),IF(AND(B47&lt;=$B$10,B47&gt;$B$9),$D$9+($B$9-B47)/($B$9-$B$10)*($D$10-$D$9),IF(AND(B47&lt;=$B$9,B47&gt;$B$8),$D$8+($B$8-B47)/($B$8-$B$9)*($D$9-$D$8),IF(AND(B47&lt;=$B$8,B47&gt;$B$7),$D$7+($B$7-B47)/($B$7-$B$8)*($D$8-$D$7),IF(AND(B47&lt;=$B$7,B47&gt;$B$6),$D$6+($B$6-B47)/($B$6-$B$7)*($D$7-$D$6),IF(B47&lt;=$B$6,$D$6))))))))))))))))</f>
        <v>1.0000000000000001E-5</v>
      </c>
      <c r="D47" s="131"/>
      <c r="E47" s="131"/>
      <c r="F47" s="132" t="s">
        <v>70</v>
      </c>
      <c r="H47" s="115" t="str">
        <f>IF(I46="","","Frasco")</f>
        <v>Frasco</v>
      </c>
      <c r="I47" s="116">
        <f>IF('Entrada das massas'!I27="","",IF(AND('Entrada das massas'!I27&lt;=$B$20,'Entrada das massas'!I27&gt;$B$19),'Entrada das massas'!I27-((($C$20-$C$19)*($B$20-'Entrada das massas'!I27)+($B$19*$C$20)-($B$20*$C$20))/($B$19-$B$20)),IF(AND('Entrada das massas'!I27&lt;=$B$19,'Entrada das massas'!I27&gt;$B$18),'Entrada das massas'!I27-((($C$19-$C$18)*($B$19-'Entrada das massas'!I27)+($B$18*$C$19)-($B$19*$C$19))/($B$18-$B$19)),IF(AND('Entrada das massas'!I27&lt;=$B$18,'Entrada das massas'!I27&gt;$B$17),'Entrada das massas'!I27-((($C$18-$C$17)*($B$18-'Entrada das massas'!I27)+($B$17*$C$18)-($B$18*$C$18))/($B$17-$B$18)),IF(AND('Entrada das massas'!I27&lt;=$B$17,'Entrada das massas'!I27&gt;$B$16),'Entrada das massas'!I27-((($C$17-$C$16)*($B$17-'Entrada das massas'!I27)+($B$16*$C$17)-($B$17*$C$17))/($B$16-$B$17)),IF(AND('Entrada das massas'!I27&lt;=$B$16,'Entrada das massas'!I27&gt;$B$15),'Entrada das massas'!I27-((($C$16-$C$15)*($B$16-'Entrada das massas'!I27)+($B$15*$C$16)-($B$16*$C$16))/($B$15-$B$16)),IF(AND('Entrada das massas'!I27&lt;=$B$15,'Entrada das massas'!I27&gt;$B$14),'Entrada das massas'!I27-((($C$15-$C$14)*($B$15-'Entrada das massas'!I27)+($B$14*$C$15)-($B$15*$C$15))/($B$14-$B$15)),IF(AND('Entrada das massas'!I27&lt;=$B$14,'Entrada das massas'!I27&gt;$B$13),'Entrada das massas'!I27-((($C$14-$C$13)*($B$14-'Entrada das massas'!I27)+($B$13*$C$14)-($B$14*$C$14))/($B$13-$B$14)),IF(AND('Entrada das massas'!I27&lt;=$B$13,'Entrada das massas'!I27&gt;$B$12),'Entrada das massas'!I27-((($C$13-$C$12)*($B$13-'Entrada das massas'!I27)+($B$12*$C$13)-($B$13*$C$13))/($B$12-$B$13)),IF(AND('Entrada das massas'!I27&lt;=$B$12,'Entrada das massas'!I27&gt;$B$11),'Entrada das massas'!I27-((($C$12-$C$11)*($B$12-'Entrada das massas'!I27)+($B$11*$C$12)-($B$12*$C$12))/($B$11-$B$12)),IF(AND('Entrada das massas'!I27&lt;=$B$11,'Entrada das massas'!I27&gt;$B$10),'Entrada das massas'!I27-((($C$11-$C$10)*($B$11-'Entrada das massas'!I27)+($B$10*$C$11)-($B$11*$C$11))/($B$10-$B$11)),IF(AND('Entrada das massas'!I27&lt;=$B$10,'Entrada das massas'!I27&gt;$B$9),'Entrada das massas'!I27-((($C$10-$C$9)*($B$10-'Entrada das massas'!I27)+($B$9*$C$10)-($B$10*$C$10))/($B$9-$B$10)),IF(AND('Entrada das massas'!I27&lt;=$B$9,'Entrada das massas'!I27&gt;$B$8),'Entrada das massas'!I27-((($C$9-$C$8)*($B$9-'Entrada das massas'!I27)+($B$8*$C$9)-($B$9*$C$9))/($B$8-$B$9)),IF(AND('Entrada das massas'!I27&lt;=$B$8,'Entrada das massas'!I27&gt;$B$7),'Entrada das massas'!I27-((($C$8-$C$7)*($B$8-'Entrada das massas'!I27)+($B$7*$C$8)-($B$8*$C$8))/($B$7-$B$8)),IF(AND('Entrada das massas'!I27&lt;=$B$7,'Entrada das massas'!I27&gt;$B$6),'Entrada das massas'!I27-((($C$7-$C$6)*($B$7-'Entrada das massas'!I27)+($B$6*$C$7)-($B$7*$C$7))/($B$6-$B$7)),IF(AND('Entrada das massas'!I27&lt;=$B$6,'Entrada das massas'!I27&gt;$B$5),'Entrada das massas'!I27-((($C$6-$C$5)*($B$6-'Entrada das massas'!I27)+($B$5*$C$6)-($B$6*$C$6))/($B$5-$B$6)),IF('Entrada das massas'!I27&lt;=$B$5,'Entrada das massas'!I27-$C$5)))))))))))))))))</f>
        <v>12.341025317980002</v>
      </c>
      <c r="J47" s="117">
        <f>IF(I47="","",(IF(AND(I47&lt;=$B$20,I47&gt;$B$19),$D$19+($B$19-I47)/($B$19-$B$20)*($D$20-$D$19),IF(AND(I47&lt;=$B$19,I47&gt;$B$18),$D$18+($B$18-I47)/($B$18-$B$19)*($D$19-$D$18),IF(AND(I47&lt;=$B$18,I47&gt;$B$17),$D$17+($B$17-I47)/($B$17-$B$18)*($D$18-$D$17),IF(AND(I47&lt;=$B$17,I47&gt;$B$16),$D$16+($B$16-I47)/($B$16-$B$17)*($D$17-$D$16),IF(AND(I47&lt;=$B$16,I47&gt;$B$15),$D$15+($B$15-I47)/($B$15-$B$16)*($D$16-$D$15),IF(AND(I47&lt;=$B$15,I47&gt;$B$14),$D$14+($B$14-I47)/($B$14-$B$15)*($D$15-$D$14),IF(AND(I47&lt;=$B$14,I47&gt;$B$13),$D$13+($B$13-I47)/($B$13-$B$14)*($D$14-$D$13),IF(AND(I47&lt;=$B$13,I47&gt;$B$12),$D$12+($B$12-I47)/($B$12-$B$13)*($D$13-$D$12),IF(AND(I47&lt;=$B$12,I47&gt;$B$11),$D$11+($B$11-I47)/($B$11-$B$12)*($D$12-$D$11),IF(AND(I47&lt;=$B$11,I47&gt;$B$10),$D$10+($B$10-I47)/($B$10-$B$11)*($D$11-$D$10),IF(AND(I47&lt;=$B$10,I47&gt;$B$9),$D$9+($B$9-I47)/($B$9-$B$10)*($D$10-$D$9),IF(AND(I47&lt;=$B$9,I47&gt;$B$8),$D$8+($B$8-I47)/($B$8-$B$9)*($D$9-$D$8),IF(AND(I47&lt;=$B$8,I47&gt;$B$7),$D$7+($B$7-I47)/($B$7-$B$8)*($D$8-$D$7),IF(AND(I47&lt;=$B$7,I47&gt;$B$6),$D$6+($B$6-I47)/($B$6-$B$7)*($D$7-$D$6),IF(I47&lt;=$B$6,$D$6)))))))))))))))))</f>
        <v>1.0000000000000001E-5</v>
      </c>
      <c r="K47" s="117"/>
      <c r="L47" s="117"/>
      <c r="M47" s="118">
        <f>IFERROR(K49/K48,"")</f>
        <v>165.425801090318</v>
      </c>
      <c r="N47" s="93"/>
      <c r="O47" s="115" t="str">
        <f>IF(P46="","","Frasco")</f>
        <v>Frasco</v>
      </c>
      <c r="P47" s="95" t="str">
        <f>IF('Entrada das massas'!N27="","",IF(AND('Entrada das massas'!N27&lt;=$B$20,'Entrada das massas'!N27&gt;$B$19),'Entrada das massas'!N27-((($C$20-$C$19)*($B$20-'Entrada das massas'!N27)+($B$19*$C$20)-($B$20*$C$20))/($B$19-$B$20)),IF(AND('Entrada das massas'!N27&lt;=$B$19,'Entrada das massas'!N27&gt;$B$18),'Entrada das massas'!N27-((($C$19-$C$18)*($B$19-'Entrada das massas'!N27)+($B$18*$C$19)-($B$19*$C$19))/($B$18-$B$19)),IF(AND('Entrada das massas'!N27&lt;=$B$18,'Entrada das massas'!N27&gt;$B$17),'Entrada das massas'!N27-((($C$18-$C$17)*($B$18-'Entrada das massas'!N27)+($B$17*$C$18)-($B$18*$C$18))/($B$17-$B$18)),IF(AND('Entrada das massas'!N27&lt;=$B$17,'Entrada das massas'!N27&gt;$B$16),'Entrada das massas'!N27-((($C$17-$C$16)*($B$17-'Entrada das massas'!N27)+($B$16*$C$17)-($B$17*$C$17))/($B$16-$B$17)),IF(AND('Entrada das massas'!N27&lt;=$B$16,'Entrada das massas'!N27&gt;$B$15),'Entrada das massas'!N27-((($C$16-$C$15)*($B$16-'Entrada das massas'!N27)+($B$15*$C$16)-($B$16*$C$16))/($B$15-$B$16)),IF(AND('Entrada das massas'!N27&lt;=$B$15,'Entrada das massas'!N27&gt;$B$14),'Entrada das massas'!N27-((($C$15-$C$14)*($B$15-'Entrada das massas'!N27)+($B$14*$C$15)-($B$15*$C$15))/($B$14-$B$15)),IF(AND('Entrada das massas'!N27&lt;=$B$14,'Entrada das massas'!N27&gt;$B$13),'Entrada das massas'!N27-((($C$14-$C$13)*($B$14-'Entrada das massas'!N27)+($B$13*$C$14)-($B$14*$C$14))/($B$13-$B$14)),IF(AND('Entrada das massas'!N27&lt;=$B$13,'Entrada das massas'!N27&gt;$B$12),'Entrada das massas'!N27-((($C$13-$C$12)*($B$13-'Entrada das massas'!N27)+($B$12*$C$13)-($B$13*$C$13))/($B$12-$B$13)),IF(AND('Entrada das massas'!N27&lt;=$B$12,'Entrada das massas'!N27&gt;$B$11),'Entrada das massas'!N27-((($C$12-$C$11)*($B$12-'Entrada das massas'!N27)+($B$11*$C$12)-($B$12*$C$12))/($B$11-$B$12)),IF(AND('Entrada das massas'!N27&lt;=$B$11,'Entrada das massas'!N27&gt;$B$10),'Entrada das massas'!N27-((($C$11-$C$10)*($B$11-'Entrada das massas'!N27)+($B$10*$C$11)-($B$11*$C$11))/($B$10-$B$11)),IF(AND('Entrada das massas'!N27&lt;=$B$10,'Entrada das massas'!N27&gt;$B$9),'Entrada das massas'!N27-((($C$10-$C$9)*($B$10-'Entrada das massas'!N27)+($B$9*$C$10)-($B$10*$C$10))/($B$9-$B$10)),IF(AND('Entrada das massas'!N27&lt;=$B$9,'Entrada das massas'!N27&gt;$B$8),'Entrada das massas'!N27-((($C$9-$C$8)*($B$9-'Entrada das massas'!N27)+($B$8*$C$9)-($B$9*$C$9))/($B$8-$B$9)),IF(AND('Entrada das massas'!N27&lt;=$B$8,'Entrada das massas'!N27&gt;$B$7),'Entrada das massas'!N27-((($C$8-$C$7)*($B$8-'Entrada das massas'!N27)+($B$7*$C$8)-($B$8*$C$8))/($B$7-$B$8)),IF(AND('Entrada das massas'!N27&lt;=$B$7,'Entrada das massas'!N27&gt;$B$6),'Entrada das massas'!N27-((($C$7-$C$6)*($B$7-'Entrada das massas'!N27)+($B$6*$C$7)-($B$7*$C$7))/($B$6-$B$7)),IF(AND('Entrada das massas'!N27&lt;=$B$6,'Entrada das massas'!N27&gt;$B$5),'Entrada das massas'!N27-((($C$6-$C$5)*($B$6-'Entrada das massas'!N27)+($B$5*$C$6)-($B$6*$C$6))/($B$5-$B$6)),IF('Entrada das massas'!N27&lt;=$B$5,'Entrada das massas'!N27-$C$5)))))))))))))))))</f>
        <v/>
      </c>
      <c r="Q47" s="117" t="str">
        <f>IF(P47="","",(IF(AND(P47&lt;=$B$20,P47&gt;$B$19),$D$19+($B$19-P47)/($B$19-$B$20)*($D$20-$D$19),IF(AND(P47&lt;=$B$19,P47&gt;$B$18),$D$18+($B$18-P47)/($B$18-$B$19)*($D$19-$D$18),IF(AND(P47&lt;=$B$18,P47&gt;$B$17),$D$17+($B$17-P47)/($B$17-$B$18)*($D$18-$D$17),IF(AND(P47&lt;=$B$17,P47&gt;$B$16),$D$16+($B$16-P47)/($B$16-$B$17)*($D$17-$D$16),IF(AND(P47&lt;=$B$16,P47&gt;$B$15),$D$15+($B$15-P47)/($B$15-$B$16)*($D$16-$D$15),IF(AND(P47&lt;=$B$15,P47&gt;$B$14),$D$14+($B$14-P47)/($B$14-$B$15)*($D$15-$D$14),IF(AND(P47&lt;=$B$14,P47&gt;$B$13),$D$13+($B$13-P47)/($B$13-$B$14)*($D$14-$D$13),IF(AND(P47&lt;=$B$13,P47&gt;$B$12),$D$12+($B$12-P47)/($B$12-$B$13)*($D$13-$D$12),IF(AND(P47&lt;=$B$12,P47&gt;$B$11),$D$11+($B$11-P47)/($B$11-$B$12)*($D$12-$D$11),IF(AND(P47&lt;=$B$11,P47&gt;$B$10),$D$10+($B$10-P47)/($B$10-$B$11)*($D$11-$D$10),IF(AND(P47&lt;=$B$10,P47&gt;$B$9),$D$9+($B$9-P47)/($B$9-$B$10)*($D$10-$D$9),IF(AND(P47&lt;=$B$9,P47&gt;$B$8),$D$8+($B$8-P47)/($B$8-$B$9)*($D$9-$D$8),IF(AND(P47&lt;=$B$8,P47&gt;$B$7),$D$7+($B$7-P47)/($B$7-$B$8)*($D$8-$D$7),IF(AND(P47&lt;=$B$7,P47&gt;$B$6),$D$6+($B$6-P47)/($B$6-$B$7)*($D$7-$D$6),IF(P47&lt;=$B$6,$D$6)))))))))))))))))</f>
        <v/>
      </c>
      <c r="R47" s="117"/>
      <c r="S47" s="117"/>
      <c r="T47" s="118" t="str">
        <f>IFERROR(R49/R48,"")</f>
        <v/>
      </c>
      <c r="U47" s="93"/>
      <c r="V47" s="115" t="str">
        <f>IF(W46="","","Frasco")</f>
        <v/>
      </c>
      <c r="W47" s="95" t="str">
        <f>IF('Entrada das massas'!S27="","",IF(AND('Entrada das massas'!S27&lt;=$B$20,'Entrada das massas'!S27&gt;$B$19),'Entrada das massas'!S27-((($C$20-$C$19)*($B$20-'Entrada das massas'!S27)+($B$19*$C$20)-($B$20*$C$20))/($B$19-$B$20)),IF(AND('Entrada das massas'!S27&lt;=$B$19,'Entrada das massas'!S27&gt;$B$18),'Entrada das massas'!S27-((($C$19-$C$18)*($B$19-'Entrada das massas'!S27)+($B$18*$C$19)-($B$19*$C$19))/($B$18-$B$19)),IF(AND('Entrada das massas'!S27&lt;=$B$18,'Entrada das massas'!S27&gt;$B$17),'Entrada das massas'!S27-((($C$18-$C$17)*($B$18-'Entrada das massas'!S27)+($B$17*$C$18)-($B$18*$C$18))/($B$17-$B$18)),IF(AND('Entrada das massas'!S27&lt;=$B$17,'Entrada das massas'!S27&gt;$B$16),'Entrada das massas'!S27-((($C$17-$C$16)*($B$17-'Entrada das massas'!S27)+($B$16*$C$17)-($B$17*$C$17))/($B$16-$B$17)),IF(AND('Entrada das massas'!S27&lt;=$B$16,'Entrada das massas'!S27&gt;$B$15),'Entrada das massas'!S27-((($C$16-$C$15)*($B$16-'Entrada das massas'!S27)+($B$15*$C$16)-($B$16*$C$16))/($B$15-$B$16)),IF(AND('Entrada das massas'!S27&lt;=$B$15,'Entrada das massas'!S27&gt;$B$14),'Entrada das massas'!S27-((($C$15-$C$14)*($B$15-'Entrada das massas'!S27)+($B$14*$C$15)-($B$15*$C$15))/($B$14-$B$15)),IF(AND('Entrada das massas'!S27&lt;=$B$14,'Entrada das massas'!S27&gt;$B$13),'Entrada das massas'!S27-((($C$14-$C$13)*($B$14-'Entrada das massas'!S27)+($B$13*$C$14)-($B$14*$C$14))/($B$13-$B$14)),IF(AND('Entrada das massas'!S27&lt;=$B$13,'Entrada das massas'!S27&gt;$B$12),'Entrada das massas'!S27-((($C$13-$C$12)*($B$13-'Entrada das massas'!S27)+($B$12*$C$13)-($B$13*$C$13))/($B$12-$B$13)),IF(AND('Entrada das massas'!S27&lt;=$B$12,'Entrada das massas'!S27&gt;$B$11),'Entrada das massas'!S27-((($C$12-$C$11)*($B$12-'Entrada das massas'!S27)+($B$11*$C$12)-($B$12*$C$12))/($B$11-$B$12)),IF(AND('Entrada das massas'!S27&lt;=$B$11,'Entrada das massas'!S27&gt;$B$10),'Entrada das massas'!S27-((($C$11-$C$10)*($B$11-'Entrada das massas'!S27)+($B$10*$C$11)-($B$11*$C$11))/($B$10-$B$11)),IF(AND('Entrada das massas'!S27&lt;=$B$10,'Entrada das massas'!S27&gt;$B$9),'Entrada das massas'!S27-((($C$10-$C$9)*($B$10-'Entrada das massas'!S27)+($B$9*$C$10)-($B$10*$C$10))/($B$9-$B$10)),IF(AND('Entrada das massas'!S27&lt;=$B$9,'Entrada das massas'!S27&gt;$B$8),'Entrada das massas'!S27-((($C$9-$C$8)*($B$9-'Entrada das massas'!S27)+($B$8*$C$9)-($B$9*$C$9))/($B$8-$B$9)),IF(AND('Entrada das massas'!S27&lt;=$B$8,'Entrada das massas'!S27&gt;$B$7),'Entrada das massas'!S27-((($C$8-$C$7)*($B$8-'Entrada das massas'!S27)+($B$7*$C$8)-($B$8*$C$8))/($B$7-$B$8)),IF(AND('Entrada das massas'!S27&lt;=$B$7,'Entrada das massas'!S27&gt;$B$6),'Entrada das massas'!S27-((($C$7-$C$6)*($B$7-'Entrada das massas'!S27)+($B$6*$C$7)-($B$7*$C$7))/($B$6-$B$7)),IF(AND('Entrada das massas'!S27&lt;=$B$6,'Entrada das massas'!S27&gt;$B$5),'Entrada das massas'!S27-((($C$6-$C$5)*($B$6-'Entrada das massas'!S27)+($B$5*$C$6)-($B$6*$C$6))/($B$5-$B$6)),IF('Entrada das massas'!S27&lt;=$B$5,'Entrada das massas'!S27-$C$5)))))))))))))))))</f>
        <v/>
      </c>
      <c r="X47" s="117" t="str">
        <f>IF(W47="","",(IF(AND(W47&lt;=$B$20,W47&gt;$B$19),$D$19+($B$19-W47)/($B$19-$B$20)*($D$20-$D$19),IF(AND(W47&lt;=$B$19,W47&gt;$B$18),$D$18+($B$18-W47)/($B$18-$B$19)*($D$19-$D$18),IF(AND(W47&lt;=$B$18,W47&gt;$B$17),$D$17+($B$17-W47)/($B$17-$B$18)*($D$18-$D$17),IF(AND(W47&lt;=$B$17,W47&gt;$B$16),$D$16+($B$16-W47)/($B$16-$B$17)*($D$17-$D$16),IF(AND(W47&lt;=$B$16,W47&gt;$B$15),$D$15+($B$15-W47)/($B$15-$B$16)*($D$16-$D$15),IF(AND(W47&lt;=$B$15,W47&gt;$B$14),$D$14+($B$14-W47)/($B$14-$B$15)*($D$15-$D$14),IF(AND(W47&lt;=$B$14,W47&gt;$B$13),$D$13+($B$13-W47)/($B$13-$B$14)*($D$14-$D$13),IF(AND(W47&lt;=$B$13,W47&gt;$B$12),$D$12+($B$12-W47)/($B$12-$B$13)*($D$13-$D$12),IF(AND(W47&lt;=$B$12,W47&gt;$B$11),$D$11+($B$11-W47)/($B$11-$B$12)*($D$12-$D$11),IF(AND(W47&lt;=$B$11,W47&gt;$B$10),$D$10+($B$10-W47)/($B$10-$B$11)*($D$11-$D$10),IF(AND(W47&lt;=$B$10,W47&gt;$B$9),$D$9+($B$9-W47)/($B$9-$B$10)*($D$10-$D$9),IF(AND(W47&lt;=$B$9,W47&gt;$B$8),$D$8+($B$8-W47)/($B$8-$B$9)*($D$9-$D$8),IF(AND(W47&lt;=$B$8,W47&gt;$B$7),$D$7+($B$7-W47)/($B$7-$B$8)*($D$8-$D$7),IF(AND(W47&lt;=$B$7,W47&gt;$B$6),$D$6+($B$6-W47)/($B$6-$B$7)*($D$7-$D$6),IF(W47&lt;=$B$6,$D$6)))))))))))))))))</f>
        <v/>
      </c>
      <c r="Y47" s="117"/>
      <c r="Z47" s="117"/>
      <c r="AA47" s="118" t="str">
        <f>IFERROR(Y49/Y48,"")</f>
        <v/>
      </c>
      <c r="AC47" s="101"/>
      <c r="AD47" s="102"/>
      <c r="AE47" s="133"/>
      <c r="AF47" s="134"/>
      <c r="AG47" s="135"/>
      <c r="AH47" s="101"/>
      <c r="AI47" s="137"/>
      <c r="AJ47" s="101"/>
      <c r="AK47" s="101"/>
      <c r="AL47" s="101"/>
      <c r="AM47" s="98"/>
      <c r="AN47" s="138"/>
      <c r="AO47" s="98"/>
      <c r="AP47" s="98"/>
      <c r="AQ47" s="98"/>
      <c r="AR47" s="98"/>
      <c r="AS47" s="98"/>
      <c r="AT47" s="98"/>
    </row>
    <row r="48" spans="1:46" ht="12.75" customHeight="1" x14ac:dyDescent="0.2">
      <c r="A48" s="110" t="s">
        <v>59</v>
      </c>
      <c r="B48" s="111">
        <f>IF(AND('Entrada das massas'!C28&lt;=$B$20,'Entrada das massas'!C28&gt;$B$19),'Entrada das massas'!C28-((($C$20-$C$19)*($B$20-'Entrada das massas'!C28)+($B$19*$C$20)-($B$20*$C$20))/($B$19-$B$20)),IF(AND('Entrada das massas'!C28&lt;=$B$19,'Entrada das massas'!C28&gt;$B$18),'Entrada das massas'!C28-((($C$19-$C$18)*($B$19-'Entrada das massas'!C28)+($B$18*$C$19)-($B$19*$C$19))/($B$18-$B$19)),IF(AND('Entrada das massas'!C28&lt;=$B$18,'Entrada das massas'!C28&gt;$B$17),'Entrada das massas'!C28-((($C$18-$C$17)*($B$18-'Entrada das massas'!C28)+($B$17*$C$18)-($B$18*$C$18))/($B$17-$B$18)),IF(AND('Entrada das massas'!C28&lt;=$B$17,'Entrada das massas'!C28&gt;$B$16),'Entrada das massas'!C28-((($C$17-$C$16)*($B$17-'Entrada das massas'!C28)+($B$16*$C$17)-($B$17*$C$17))/($B$16-$B$17)),IF(AND('Entrada das massas'!C28&lt;=$B$16,'Entrada das massas'!C28&gt;$B$15),'Entrada das massas'!C28-((($C$16-$C$15)*($B$16-'Entrada das massas'!C28)+($B$15*$C$16)-($B$16*$C$16))/($B$15-$B$16)),IF(AND('Entrada das massas'!C28&lt;=$B$15,'Entrada das massas'!C28&gt;$B$14),'Entrada das massas'!C28-((($C$15-$C$14)*($B$15-'Entrada das massas'!C28)+($B$14*$C$15)-($B$15*$C$15))/($B$14-$B$15)),IF(AND('Entrada das massas'!C28&lt;=$B$14,'Entrada das massas'!C28&gt;$B$13),'Entrada das massas'!C28-((($C$14-$C$13)*($B$14-'Entrada das massas'!C28)+($B$13*$C$14)-($B$14*$C$14))/($B$13-$B$14)),IF(AND('Entrada das massas'!C28&lt;=$B$13,'Entrada das massas'!C28&gt;$B$12),'Entrada das massas'!C28-((($C$13-$C$12)*($B$13-'Entrada das massas'!C28)+($B$12*$C$13)-($B$13*$C$13))/($B$12-$B$13)),IF(AND('Entrada das massas'!C28&lt;=$B$12,'Entrada das massas'!C28&gt;$B$11),'Entrada das massas'!C28-((($C$12-$C$11)*($B$12-'Entrada das massas'!C28)+($B$11*$C$12)-($B$12*$C$12))/($B$11-$B$12)), IF(AND('Entrada das massas'!C28&lt;=$B$11,'Entrada das massas'!C28&gt;$B$10),'Entrada das massas'!C28-((($C$11-$C$10)*($B$11-'Entrada das massas'!C28)+($B$10*$C$11)-($B$11*$C$11))/($B$10-$B$11)),IF(AND('Entrada das massas'!C28&lt;=$B$10,'Entrada das massas'!C28&gt;$B$9),'Entrada das massas'!C28-((($C$10-$C$9)*($B$10-'Entrada das massas'!C28)+($B$9*$C$10)-($B$10*$C$10))/($B$9-$B$10)),IF(AND('Entrada das massas'!C28&lt;=$B$9,'Entrada das massas'!C28&gt;$B$8),'Entrada das massas'!C28-((($C$9-$C$8)*($B$9-'Entrada das massas'!C28)+($B$8*$C$9)-($B$9*$C$9))/($B$8-$B$9)),IF(AND('Entrada das massas'!C28&lt;=$B$8,'Entrada das massas'!C28&gt;$B$7),'Entrada das massas'!C28-((($C$8-$C$7)*($B$8-'Entrada das massas'!C28)+($B$7*$C$8)-($B$8*$C$8))/($B$7-$B$8)),IF(AND('Entrada das massas'!C28&lt;=$B$7,'Entrada das massas'!C28&gt;$B$6),'Entrada das massas'!C28-((($C$7-$C$6)*($B$7-'Entrada das massas'!C28)+($B$6*$C$7)-($B$7*$C$7))/($B$6-$B$7)),IF(AND('Entrada das massas'!C28&lt;=$B$6,'Entrada das massas'!C28&gt;$B$5),'Entrada das massas'!C28-((($C$6-$C$5)*($B$6-'Entrada das massas'!C28)+($B$5*$C$6)-($B$6*$C$6))/($B$5-$B$6)),IF('Entrada das massas'!C28&lt;=$B$5,'Entrada das massas'!C28-$C$5))))))))))))))))</f>
        <v>15.22354955292</v>
      </c>
      <c r="C48" s="112">
        <f>(IF(AND(B48&lt;=$B$20,B48&gt;$B$19),$D$19+($B$19-B48)/($B$19-$B$20)*($D$20-$D$19),IF(AND(B48&lt;=$B$19,B48&gt;$B$18),$D$18+($B$18-B48)/($B$18-$B$19)*($D$19-$D$18),IF(AND(B48&lt;=$B$18,B48&gt;$B$17),$D$17+($B$17-B48)/($B$17-$B$18)*($D$18-$D$17),IF(AND(B48&lt;=$B$17,B48&gt;$B$16),$D$16+($B$16-B48)/($B$16-$B$17)*($D$17-$D$16),IF(AND(B48&lt;=$B$16,B48&gt;$B$15),$D$15+($B$15-B48)/($B$15-$B$16)*($D$16-$D$15),IF(AND(B48&lt;=$B$15,B48&gt;$B$14),$D$14+($B$14-B48)/($B$14-$B$15)*($D$15-$D$14),IF(AND(B48&lt;=$B$14,B48&gt;$B$13),$D$13+($B$13-B48)/($B$13-$B$14)*($D$14-$D$13),IF(AND(B48&lt;=$B$13,B48&gt;$B$12),$D$12+($B$12-B48)/($B$12-$B$13)*($D$13-$D$12),IF(AND(B48&lt;=$B$12,B48&gt;$B$11),$D$11+($B$11-B48)/($B$11-$B$12)*($D$12-$D$11),IF(AND(B48&lt;=$B$11,B48&gt;$B$10),$D$10+($B$10-B48)/($B$10-$B$11)*($D$11-$D$10),IF(AND(B48&lt;=$B$10,B48&gt;$B$9),$D$9+($B$9-B48)/($B$9-$B$10)*($D$10-$D$9),IF(AND(B48&lt;=$B$9,B48&gt;$B$8),$D$8+($B$8-B48)/($B$8-$B$9)*($D$9-$D$8),IF(AND(B48&lt;=$B$8,B48&gt;$B$7),$D$7+($B$7-B48)/($B$7-$B$8)*($D$8-$D$7),IF(AND(B48&lt;=$B$7,B48&gt;$B$6),$D$6+($B$6-B48)/($B$6-$B$7)*($D$7-$D$6),IF(B48&lt;=$B$6,$D$6))))))))))))))))</f>
        <v>1.0000000000000001E-5</v>
      </c>
      <c r="D48" s="110" t="s">
        <v>145</v>
      </c>
      <c r="E48" s="119">
        <f>B48-B47</f>
        <v>0.73654852690000006</v>
      </c>
      <c r="F48" s="112">
        <f>SQRT(SUMSQ(C47:C48))</f>
        <v>1.4142135623730951E-5</v>
      </c>
      <c r="H48" s="115" t="str">
        <f>IF(I46="","","Frasco + Amostra")</f>
        <v>Frasco + Amostra</v>
      </c>
      <c r="I48" s="116">
        <f>IF('Entrada das massas'!I28="","",IF(AND('Entrada das massas'!I28&lt;=$B$20,'Entrada das massas'!I28&gt;$B$19),'Entrada das massas'!I28-((($C$20-$C$19)*($B$20-'Entrada das massas'!I28)+($B$19*$C$20)-($B$20*$C$20))/($B$19-$B$20)),IF(AND('Entrada das massas'!I28&lt;=$B$19,'Entrada das massas'!I28&gt;$B$18),'Entrada das massas'!I28-((($C$19-$C$18)*($B$19-'Entrada das massas'!I28)+($B$18*$C$19)-($B$19*$C$19))/($B$18-$B$19)),IF(AND('Entrada das massas'!I28&lt;=$B$18,'Entrada das massas'!I28&gt;$B$17),'Entrada das massas'!I28-((($C$18-$C$17)*($B$18-'Entrada das massas'!I28)+($B$17*$C$18)-($B$18*$C$18))/($B$17-$B$18)),IF(AND('Entrada das massas'!I28&lt;=$B$17,'Entrada das massas'!I28&gt;$B$16),'Entrada das massas'!I28-((($C$17-$C$16)*($B$17-'Entrada das massas'!I28)+($B$16*$C$17)-($B$17*$C$17))/($B$16-$B$17)),IF(AND('Entrada das massas'!I28&lt;=$B$16,'Entrada das massas'!I28&gt;$B$15),'Entrada das massas'!I28-((($C$16-$C$15)*($B$16-'Entrada das massas'!I28)+($B$15*$C$16)-($B$16*$C$16))/($B$15-$B$16)),IF(AND('Entrada das massas'!I28&lt;=$B$15,'Entrada das massas'!I28&gt;$B$14),'Entrada das massas'!I28-((($C$15-$C$14)*($B$15-'Entrada das massas'!I28)+($B$14*$C$15)-($B$15*$C$15))/($B$14-$B$15)),IF(AND('Entrada das massas'!I28&lt;=$B$14,'Entrada das massas'!I28&gt;$B$13),'Entrada das massas'!I28-((($C$14-$C$13)*($B$14-'Entrada das massas'!I28)+($B$13*$C$14)-($B$14*$C$14))/($B$13-$B$14)),IF(AND('Entrada das massas'!I28&lt;=$B$13,'Entrada das massas'!I28&gt;$B$12),'Entrada das massas'!I28-((($C$13-$C$12)*($B$13-'Entrada das massas'!I28)+($B$12*$C$13)-($B$13*$C$13))/($B$12-$B$13)),IF(AND('Entrada das massas'!I28&lt;=$B$12,'Entrada das massas'!I28&gt;$B$11),'Entrada das massas'!I28-((($C$12-$C$11)*($B$12-'Entrada das massas'!I28)+($B$11*$C$12)-($B$12*$C$12))/($B$11-$B$12)),IF(AND('Entrada das massas'!I28&lt;=$B$11,'Entrada das massas'!I28&gt;$B$10),'Entrada das massas'!I28-((($C$11-$C$10)*($B$11-'Entrada das massas'!I28)+($B$10*$C$11)-($B$11*$C$11))/($B$10-$B$11)),IF(AND('Entrada das massas'!I28&lt;=$B$10,'Entrada das massas'!I28&gt;$B$9),'Entrada das massas'!I28-((($C$10-$C$9)*($B$10-'Entrada das massas'!I28)+($B$9*$C$10)-($B$10*$C$10))/($B$9-$B$10)),IF(AND('Entrada das massas'!I28&lt;=$B$9,'Entrada das massas'!I28&gt;$B$8),'Entrada das massas'!I28-((($C$9-$C$8)*($B$9-'Entrada das massas'!I28)+($B$8*$C$9)-($B$9*$C$9))/($B$8-$B$9)),IF(AND('Entrada das massas'!I28&lt;=$B$8,'Entrada das massas'!I28&gt;$B$7),'Entrada das massas'!I28-((($C$8-$C$7)*($B$8-'Entrada das massas'!I28)+($B$7*$C$8)-($B$8*$C$8))/($B$7-$B$8)),IF(AND('Entrada das massas'!I28&lt;=$B$7,'Entrada das massas'!I28&gt;$B$6),'Entrada das massas'!I28-((($C$7-$C$6)*($B$7-'Entrada das massas'!I28)+($B$6*$C$7)-($B$7*$C$7))/($B$6-$B$7)),IF(AND('Entrada das massas'!I28&lt;=$B$6,'Entrada das massas'!I28&gt;$B$5),'Entrada das massas'!I28-((($C$6-$C$5)*($B$6-'Entrada das massas'!I28)+($B$5*$C$6)-($B$6*$C$6))/($B$5-$B$6)),IF('Entrada das massas'!I28&lt;=$B$5,'Entrada das massas'!I28-$C$5)))))))))))))))))</f>
        <v>12.644564710900003</v>
      </c>
      <c r="J48" s="117">
        <f t="shared" ref="J48:J49" si="15">IF(I48="","",(IF(AND(I48&lt;=$B$20,I48&gt;$B$19),$D$19+($B$19-I48)/($B$19-$B$20)*($D$20-$D$19),IF(AND(I48&lt;=$B$19,I48&gt;$B$18),$D$18+($B$18-I48)/($B$18-$B$19)*($D$19-$D$18),IF(AND(I48&lt;=$B$18,I48&gt;$B$17),$D$17+($B$17-I48)/($B$17-$B$18)*($D$18-$D$17),IF(AND(I48&lt;=$B$17,I48&gt;$B$16),$D$16+($B$16-I48)/($B$16-$B$17)*($D$17-$D$16),IF(AND(I48&lt;=$B$16,I48&gt;$B$15),$D$15+($B$15-I48)/($B$15-$B$16)*($D$16-$D$15),IF(AND(I48&lt;=$B$15,I48&gt;$B$14),$D$14+($B$14-I48)/($B$14-$B$15)*($D$15-$D$14),IF(AND(I48&lt;=$B$14,I48&gt;$B$13),$D$13+($B$13-I48)/($B$13-$B$14)*($D$14-$D$13),IF(AND(I48&lt;=$B$13,I48&gt;$B$12),$D$12+($B$12-I48)/($B$12-$B$13)*($D$13-$D$12),IF(AND(I48&lt;=$B$12,I48&gt;$B$11),$D$11+($B$11-I48)/($B$11-$B$12)*($D$12-$D$11),IF(AND(I48&lt;=$B$11,I48&gt;$B$10),$D$10+($B$10-I48)/($B$10-$B$11)*($D$11-$D$10),IF(AND(I48&lt;=$B$10,I48&gt;$B$9),$D$9+($B$9-I48)/($B$9-$B$10)*($D$10-$D$9),IF(AND(I48&lt;=$B$9,I48&gt;$B$8),$D$8+($B$8-I48)/($B$8-$B$9)*($D$9-$D$8),IF(AND(I48&lt;=$B$8,I48&gt;$B$7),$D$7+($B$7-I48)/($B$7-$B$8)*($D$8-$D$7),IF(AND(I48&lt;=$B$7,I48&gt;$B$6),$D$6+($B$6-I48)/($B$6-$B$7)*($D$7-$D$6),IF(I48&lt;=$B$6,$D$6)))))))))))))))))</f>
        <v>1.0000000000000001E-5</v>
      </c>
      <c r="K48" s="120">
        <f>IF(I47="","",I48-I47)</f>
        <v>0.30353939292000121</v>
      </c>
      <c r="L48" s="117">
        <f>IF(J47="","",SQRT(SUMSQ(J47:J48)))</f>
        <v>1.4142135623730951E-5</v>
      </c>
      <c r="M48" s="93" t="str">
        <f>IF(I46="","","Amostra")</f>
        <v>Amostra</v>
      </c>
      <c r="N48" s="118"/>
      <c r="O48" s="115" t="str">
        <f>IF(P46="","","Frasco + Amostra")</f>
        <v>Frasco + Amostra</v>
      </c>
      <c r="P48" s="95" t="str">
        <f>IF('Entrada das massas'!N28="","",IF(AND('Entrada das massas'!N28&lt;=$B$20,'Entrada das massas'!N28&gt;$B$19),'Entrada das massas'!N28-((($C$20-$C$19)*($B$20-'Entrada das massas'!N28)+($B$19*$C$20)-($B$20*$C$20))/($B$19-$B$20)),IF(AND('Entrada das massas'!N28&lt;=$B$19,'Entrada das massas'!N28&gt;$B$18),'Entrada das massas'!N28-((($C$19-$C$18)*($B$19-'Entrada das massas'!N28)+($B$18*$C$19)-($B$19*$C$19))/($B$18-$B$19)),IF(AND('Entrada das massas'!N28&lt;=$B$18,'Entrada das massas'!N28&gt;$B$17),'Entrada das massas'!N28-((($C$18-$C$17)*($B$18-'Entrada das massas'!N28)+($B$17*$C$18)-($B$18*$C$18))/($B$17-$B$18)),IF(AND('Entrada das massas'!N28&lt;=$B$17,'Entrada das massas'!N28&gt;$B$16),'Entrada das massas'!N28-((($C$17-$C$16)*($B$17-'Entrada das massas'!N28)+($B$16*$C$17)-($B$17*$C$17))/($B$16-$B$17)),IF(AND('Entrada das massas'!N28&lt;=$B$16,'Entrada das massas'!N28&gt;$B$15),'Entrada das massas'!N28-((($C$16-$C$15)*($B$16-'Entrada das massas'!N28)+($B$15*$C$16)-($B$16*$C$16))/($B$15-$B$16)),IF(AND('Entrada das massas'!N28&lt;=$B$15,'Entrada das massas'!N28&gt;$B$14),'Entrada das massas'!N28-((($C$15-$C$14)*($B$15-'Entrada das massas'!N28)+($B$14*$C$15)-($B$15*$C$15))/($B$14-$B$15)),IF(AND('Entrada das massas'!N28&lt;=$B$14,'Entrada das massas'!N28&gt;$B$13),'Entrada das massas'!N28-((($C$14-$C$13)*($B$14-'Entrada das massas'!N28)+($B$13*$C$14)-($B$14*$C$14))/($B$13-$B$14)),IF(AND('Entrada das massas'!N28&lt;=$B$13,'Entrada das massas'!N28&gt;$B$12),'Entrada das massas'!N28-((($C$13-$C$12)*($B$13-'Entrada das massas'!N28)+($B$12*$C$13)-($B$13*$C$13))/($B$12-$B$13)),IF(AND('Entrada das massas'!N28&lt;=$B$12,'Entrada das massas'!N28&gt;$B$11),'Entrada das massas'!N28-((($C$12-$C$11)*($B$12-'Entrada das massas'!N28)+($B$11*$C$12)-($B$12*$C$12))/($B$11-$B$12)),IF(AND('Entrada das massas'!N28&lt;=$B$11,'Entrada das massas'!N28&gt;$B$10),'Entrada das massas'!N28-((($C$11-$C$10)*($B$11-'Entrada das massas'!N28)+($B$10*$C$11)-($B$11*$C$11))/($B$10-$B$11)),IF(AND('Entrada das massas'!N28&lt;=$B$10,'Entrada das massas'!N28&gt;$B$9),'Entrada das massas'!N28-((($C$10-$C$9)*($B$10-'Entrada das massas'!N28)+($B$9*$C$10)-($B$10*$C$10))/($B$9-$B$10)),IF(AND('Entrada das massas'!N28&lt;=$B$9,'Entrada das massas'!N28&gt;$B$8),'Entrada das massas'!N28-((($C$9-$C$8)*($B$9-'Entrada das massas'!N28)+($B$8*$C$9)-($B$9*$C$9))/($B$8-$B$9)),IF(AND('Entrada das massas'!N28&lt;=$B$8,'Entrada das massas'!N28&gt;$B$7),'Entrada das massas'!N28-((($C$8-$C$7)*($B$8-'Entrada das massas'!N28)+($B$7*$C$8)-($B$8*$C$8))/($B$7-$B$8)),IF(AND('Entrada das massas'!N28&lt;=$B$7,'Entrada das massas'!N28&gt;$B$6),'Entrada das massas'!N28-((($C$7-$C$6)*($B$7-'Entrada das massas'!N28)+($B$6*$C$7)-($B$7*$C$7))/($B$6-$B$7)),IF(AND('Entrada das massas'!N28&lt;=$B$6,'Entrada das massas'!N28&gt;$B$5),'Entrada das massas'!N28-((($C$6-$C$5)*($B$6-'Entrada das massas'!N28)+($B$5*$C$6)-($B$6*$C$6))/($B$5-$B$6)),IF('Entrada das massas'!N28&lt;=$B$5,'Entrada das massas'!N28-$C$5)))))))))))))))))</f>
        <v/>
      </c>
      <c r="Q48" s="117" t="str">
        <f t="shared" ref="Q48:Q49" si="16">IF(P48="","",(IF(AND(P48&lt;=$B$20,P48&gt;$B$19),$D$19+($B$19-P48)/($B$19-$B$20)*($D$20-$D$19),IF(AND(P48&lt;=$B$19,P48&gt;$B$18),$D$18+($B$18-P48)/($B$18-$B$19)*($D$19-$D$18),IF(AND(P48&lt;=$B$18,P48&gt;$B$17),$D$17+($B$17-P48)/($B$17-$B$18)*($D$18-$D$17),IF(AND(P48&lt;=$B$17,P48&gt;$B$16),$D$16+($B$16-P48)/($B$16-$B$17)*($D$17-$D$16),IF(AND(P48&lt;=$B$16,P48&gt;$B$15),$D$15+($B$15-P48)/($B$15-$B$16)*($D$16-$D$15),IF(AND(P48&lt;=$B$15,P48&gt;$B$14),$D$14+($B$14-P48)/($B$14-$B$15)*($D$15-$D$14),IF(AND(P48&lt;=$B$14,P48&gt;$B$13),$D$13+($B$13-P48)/($B$13-$B$14)*($D$14-$D$13),IF(AND(P48&lt;=$B$13,P48&gt;$B$12),$D$12+($B$12-P48)/($B$12-$B$13)*($D$13-$D$12),IF(AND(P48&lt;=$B$12,P48&gt;$B$11),$D$11+($B$11-P48)/($B$11-$B$12)*($D$12-$D$11),IF(AND(P48&lt;=$B$11,P48&gt;$B$10),$D$10+($B$10-P48)/($B$10-$B$11)*($D$11-$D$10),IF(AND(P48&lt;=$B$10,P48&gt;$B$9),$D$9+($B$9-P48)/($B$9-$B$10)*($D$10-$D$9),IF(AND(P48&lt;=$B$9,P48&gt;$B$8),$D$8+($B$8-P48)/($B$8-$B$9)*($D$9-$D$8),IF(AND(P48&lt;=$B$8,P48&gt;$B$7),$D$7+($B$7-P48)/($B$7-$B$8)*($D$8-$D$7),IF(AND(P48&lt;=$B$7,P48&gt;$B$6),$D$6+($B$6-P48)/($B$6-$B$7)*($D$7-$D$6),IF(P48&lt;=$B$6,$D$6)))))))))))))))))</f>
        <v/>
      </c>
      <c r="R48" s="120" t="str">
        <f>IF(P47="","",P48-P47)</f>
        <v/>
      </c>
      <c r="S48" s="117" t="str">
        <f>IF(Q47="","",SQRT(SUMSQ(Q47:Q48)))</f>
        <v/>
      </c>
      <c r="T48" s="93" t="str">
        <f>IF(P46="","","Amostra")</f>
        <v>Amostra</v>
      </c>
      <c r="U48" s="118"/>
      <c r="V48" s="115" t="str">
        <f>IF(W46="","","Frasco + Amostra")</f>
        <v/>
      </c>
      <c r="W48" s="95" t="str">
        <f>IF('Entrada das massas'!S28="","",IF(AND('Entrada das massas'!S28&lt;=$B$20,'Entrada das massas'!S28&gt;$B$19),'Entrada das massas'!S28-((($C$20-$C$19)*($B$20-'Entrada das massas'!S28)+($B$19*$C$20)-($B$20*$C$20))/($B$19-$B$20)),IF(AND('Entrada das massas'!S28&lt;=$B$19,'Entrada das massas'!S28&gt;$B$18),'Entrada das massas'!S28-((($C$19-$C$18)*($B$19-'Entrada das massas'!S28)+($B$18*$C$19)-($B$19*$C$19))/($B$18-$B$19)),IF(AND('Entrada das massas'!S28&lt;=$B$18,'Entrada das massas'!S28&gt;$B$17),'Entrada das massas'!S28-((($C$18-$C$17)*($B$18-'Entrada das massas'!S28)+($B$17*$C$18)-($B$18*$C$18))/($B$17-$B$18)),IF(AND('Entrada das massas'!S28&lt;=$B$17,'Entrada das massas'!S28&gt;$B$16),'Entrada das massas'!S28-((($C$17-$C$16)*($B$17-'Entrada das massas'!S28)+($B$16*$C$17)-($B$17*$C$17))/($B$16-$B$17)),IF(AND('Entrada das massas'!S28&lt;=$B$16,'Entrada das massas'!S28&gt;$B$15),'Entrada das massas'!S28-((($C$16-$C$15)*($B$16-'Entrada das massas'!S28)+($B$15*$C$16)-($B$16*$C$16))/($B$15-$B$16)),IF(AND('Entrada das massas'!S28&lt;=$B$15,'Entrada das massas'!S28&gt;$B$14),'Entrada das massas'!S28-((($C$15-$C$14)*($B$15-'Entrada das massas'!S28)+($B$14*$C$15)-($B$15*$C$15))/($B$14-$B$15)),IF(AND('Entrada das massas'!S28&lt;=$B$14,'Entrada das massas'!S28&gt;$B$13),'Entrada das massas'!S28-((($C$14-$C$13)*($B$14-'Entrada das massas'!S28)+($B$13*$C$14)-($B$14*$C$14))/($B$13-$B$14)),IF(AND('Entrada das massas'!S28&lt;=$B$13,'Entrada das massas'!S28&gt;$B$12),'Entrada das massas'!S28-((($C$13-$C$12)*($B$13-'Entrada das massas'!S28)+($B$12*$C$13)-($B$13*$C$13))/($B$12-$B$13)),IF(AND('Entrada das massas'!S28&lt;=$B$12,'Entrada das massas'!S28&gt;$B$11),'Entrada das massas'!S28-((($C$12-$C$11)*($B$12-'Entrada das massas'!S28)+($B$11*$C$12)-($B$12*$C$12))/($B$11-$B$12)),IF(AND('Entrada das massas'!S28&lt;=$B$11,'Entrada das massas'!S28&gt;$B$10),'Entrada das massas'!S28-((($C$11-$C$10)*($B$11-'Entrada das massas'!S28)+($B$10*$C$11)-($B$11*$C$11))/($B$10-$B$11)),IF(AND('Entrada das massas'!S28&lt;=$B$10,'Entrada das massas'!S28&gt;$B$9),'Entrada das massas'!S28-((($C$10-$C$9)*($B$10-'Entrada das massas'!S28)+($B$9*$C$10)-($B$10*$C$10))/($B$9-$B$10)),IF(AND('Entrada das massas'!S28&lt;=$B$9,'Entrada das massas'!S28&gt;$B$8),'Entrada das massas'!S28-((($C$9-$C$8)*($B$9-'Entrada das massas'!S28)+($B$8*$C$9)-($B$9*$C$9))/($B$8-$B$9)),IF(AND('Entrada das massas'!S28&lt;=$B$8,'Entrada das massas'!S28&gt;$B$7),'Entrada das massas'!S28-((($C$8-$C$7)*($B$8-'Entrada das massas'!S28)+($B$7*$C$8)-($B$8*$C$8))/($B$7-$B$8)),IF(AND('Entrada das massas'!S28&lt;=$B$7,'Entrada das massas'!S28&gt;$B$6),'Entrada das massas'!S28-((($C$7-$C$6)*($B$7-'Entrada das massas'!S28)+($B$6*$C$7)-($B$7*$C$7))/($B$6-$B$7)),IF(AND('Entrada das massas'!S28&lt;=$B$6,'Entrada das massas'!S28&gt;$B$5),'Entrada das massas'!S28-((($C$6-$C$5)*($B$6-'Entrada das massas'!S28)+($B$5*$C$6)-($B$6*$C$6))/($B$5-$B$6)),IF('Entrada das massas'!S28&lt;=$B$5,'Entrada das massas'!S28-$C$5)))))))))))))))))</f>
        <v/>
      </c>
      <c r="X48" s="117" t="str">
        <f t="shared" ref="X48:X49" si="17">IF(W48="","",(IF(AND(W48&lt;=$B$20,W48&gt;$B$19),$D$19+($B$19-W48)/($B$19-$B$20)*($D$20-$D$19),IF(AND(W48&lt;=$B$19,W48&gt;$B$18),$D$18+($B$18-W48)/($B$18-$B$19)*($D$19-$D$18),IF(AND(W48&lt;=$B$18,W48&gt;$B$17),$D$17+($B$17-W48)/($B$17-$B$18)*($D$18-$D$17),IF(AND(W48&lt;=$B$17,W48&gt;$B$16),$D$16+($B$16-W48)/($B$16-$B$17)*($D$17-$D$16),IF(AND(W48&lt;=$B$16,W48&gt;$B$15),$D$15+($B$15-W48)/($B$15-$B$16)*($D$16-$D$15),IF(AND(W48&lt;=$B$15,W48&gt;$B$14),$D$14+($B$14-W48)/($B$14-$B$15)*($D$15-$D$14),IF(AND(W48&lt;=$B$14,W48&gt;$B$13),$D$13+($B$13-W48)/($B$13-$B$14)*($D$14-$D$13),IF(AND(W48&lt;=$B$13,W48&gt;$B$12),$D$12+($B$12-W48)/($B$12-$B$13)*($D$13-$D$12),IF(AND(W48&lt;=$B$12,W48&gt;$B$11),$D$11+($B$11-W48)/($B$11-$B$12)*($D$12-$D$11),IF(AND(W48&lt;=$B$11,W48&gt;$B$10),$D$10+($B$10-W48)/($B$10-$B$11)*($D$11-$D$10),IF(AND(W48&lt;=$B$10,W48&gt;$B$9),$D$9+($B$9-W48)/($B$9-$B$10)*($D$10-$D$9),IF(AND(W48&lt;=$B$9,W48&gt;$B$8),$D$8+($B$8-W48)/($B$8-$B$9)*($D$9-$D$8),IF(AND(W48&lt;=$B$8,W48&gt;$B$7),$D$7+($B$7-W48)/($B$7-$B$8)*($D$8-$D$7),IF(AND(W48&lt;=$B$7,W48&gt;$B$6),$D$6+($B$6-W48)/($B$6-$B$7)*($D$7-$D$6),IF(W48&lt;=$B$6,$D$6)))))))))))))))))</f>
        <v/>
      </c>
      <c r="Y48" s="120" t="str">
        <f>IF(W47="","",W48-W47)</f>
        <v/>
      </c>
      <c r="Z48" s="117" t="str">
        <f>IF(X47="","",SQRT(SUMSQ(X47:X48)))</f>
        <v/>
      </c>
      <c r="AA48" s="93" t="str">
        <f>IF(W46="","","Amostra")</f>
        <v/>
      </c>
      <c r="AC48" s="101"/>
      <c r="AD48" s="101"/>
      <c r="AE48" s="101"/>
      <c r="AF48" s="101"/>
      <c r="AG48" s="101"/>
      <c r="AH48" s="101"/>
      <c r="AI48" s="101"/>
      <c r="AJ48" s="101"/>
      <c r="AK48" s="101"/>
      <c r="AL48" s="101"/>
      <c r="AM48" s="98"/>
      <c r="AN48" s="98"/>
      <c r="AO48" s="98"/>
      <c r="AP48" s="98"/>
      <c r="AQ48" s="98"/>
      <c r="AR48" s="98"/>
      <c r="AS48" s="98"/>
      <c r="AT48" s="98"/>
    </row>
    <row r="49" spans="1:46" x14ac:dyDescent="0.2">
      <c r="A49" s="122" t="s">
        <v>58</v>
      </c>
      <c r="B49" s="111">
        <f>IF(AND('Entrada das massas'!C29&lt;=$B$20,'Entrada das massas'!C29&gt;$B$19),'Entrada das massas'!C29-((($C$20-$C$19)*($B$20-'Entrada das massas'!C29)+($B$19*$C$20)-($B$20*$C$20))/($B$19-$B$20)),IF(AND('Entrada das massas'!C29&lt;=$B$19,'Entrada das massas'!C29&gt;$B$18),'Entrada das massas'!C29-((($C$19-$C$18)*($B$19-'Entrada das massas'!C29)+($B$18*$C$19)-($B$19*$C$19))/($B$18-$B$19)),IF(AND('Entrada das massas'!C29&lt;=$B$18,'Entrada das massas'!C29&gt;$B$17),'Entrada das massas'!C29-((($C$18-$C$17)*($B$18-'Entrada das massas'!C29)+($B$17*$C$18)-($B$18*$C$18))/($B$17-$B$18)),IF(AND('Entrada das massas'!C29&lt;=$B$17,'Entrada das massas'!C29&gt;$B$16),'Entrada das massas'!C29-((($C$17-$C$16)*($B$17-'Entrada das massas'!C29)+($B$16*$C$17)-($B$17*$C$17))/($B$16-$B$17)),IF(AND('Entrada das massas'!C29&lt;=$B$16,'Entrada das massas'!C29&gt;$B$15),'Entrada das massas'!C29-((($C$16-$C$15)*($B$16-'Entrada das massas'!C29)+($B$15*$C$16)-($B$16*$C$16))/($B$15-$B$16)),IF(AND('Entrada das massas'!C29&lt;=$B$15,'Entrada das massas'!C29&gt;$B$14),'Entrada das massas'!C29-((($C$15-$C$14)*($B$15-'Entrada das massas'!C29)+($B$14*$C$15)-($B$15*$C$15))/($B$14-$B$15)),IF(AND('Entrada das massas'!C29&lt;=$B$14,'Entrada das massas'!C29&gt;$B$13),'Entrada das massas'!C29-((($C$14-$C$13)*($B$14-'Entrada das massas'!C29)+($B$13*$C$14)-($B$14*$C$14))/($B$13-$B$14)),IF(AND('Entrada das massas'!C29&lt;=$B$13,'Entrada das massas'!C29&gt;$B$12),'Entrada das massas'!C29-((($C$13-$C$12)*($B$13-'Entrada das massas'!C29)+($B$12*$C$13)-($B$13*$C$13))/($B$12-$B$13)),IF(AND('Entrada das massas'!C29&lt;=$B$12,'Entrada das massas'!C29&gt;$B$11),'Entrada das massas'!C29-((($C$12-$C$11)*($B$12-'Entrada das massas'!C29)+($B$11*$C$12)-($B$12*$C$12))/($B$11-$B$12)), IF(AND('Entrada das massas'!C29&lt;=$B$11,'Entrada das massas'!C29&gt;$B$10),'Entrada das massas'!C29-((($C$11-$C$10)*($B$11-'Entrada das massas'!C29)+($B$10*$C$11)-($B$11*$C$11))/($B$10-$B$11)),IF(AND('Entrada das massas'!C29&lt;=$B$10,'Entrada das massas'!C29&gt;$B$9),'Entrada das massas'!C29-((($C$10-$C$9)*($B$10-'Entrada das massas'!C29)+($B$9*$C$10)-($B$10*$C$10))/($B$9-$B$10)),IF(AND('Entrada das massas'!C29&lt;=$B$9,'Entrada das massas'!C29&gt;$B$8),'Entrada das massas'!C29-((($C$9-$C$8)*($B$9-'Entrada das massas'!C29)+($B$8*$C$9)-($B$9*$C$9))/($B$8-$B$9)),IF(AND('Entrada das massas'!C29&lt;=$B$8,'Entrada das massas'!C29&gt;$B$7),'Entrada das massas'!C29-((($C$8-$C$7)*($B$8-'Entrada das massas'!C29)+($B$7*$C$8)-($B$8*$C$8))/($B$7-$B$8)),IF(AND('Entrada das massas'!C29&lt;=$B$7,'Entrada das massas'!C29&gt;$B$6),'Entrada das massas'!C29-((($C$7-$C$6)*($B$7-'Entrada das massas'!C29)+($B$6*$C$7)-($B$7*$C$7))/($B$6-$B$7)),IF(AND('Entrada das massas'!C29&lt;=$B$6,'Entrada das massas'!C29&gt;$B$5),'Entrada das massas'!C29-((($C$6-$C$5)*($B$6-'Entrada das massas'!C29)+($B$5*$C$6)-($B$6*$C$6))/($B$5-$B$6)),IF('Entrada das massas'!C29&lt;=$B$5,'Entrada das massas'!C29-$C$5))))))))))))))))</f>
        <v>64.422214422179991</v>
      </c>
      <c r="C49" s="112">
        <f>(IF(AND(B49&lt;=$B$20,B49&gt;$B$19),$D$19+($B$19-B49)/($B$19-$B$20)*($D$20-$D$19),IF(AND(B49&lt;=$B$19,B49&gt;$B$18),$D$18+($B$18-B49)/($B$18-$B$19)*($D$19-$D$18),IF(AND(B49&lt;=$B$18,B49&gt;$B$17),$D$17+($B$17-B49)/($B$17-$B$18)*($D$18-$D$17),IF(AND(B49&lt;=$B$17,B49&gt;$B$16),$D$16+($B$16-B49)/($B$16-$B$17)*($D$17-$D$16),IF(AND(B49&lt;=$B$16,B49&gt;$B$15),$D$15+($B$15-B49)/($B$15-$B$16)*($D$16-$D$15),IF(AND(B49&lt;=$B$15,B49&gt;$B$14),$D$14+($B$14-B49)/($B$14-$B$15)*($D$15-$D$14),IF(AND(B49&lt;=$B$14,B49&gt;$B$13),$D$13+($B$13-B49)/($B$13-$B$14)*($D$14-$D$13),IF(AND(B49&lt;=$B$13,B49&gt;$B$12),$D$12+($B$12-B49)/($B$12-$B$13)*($D$13-$D$12),IF(AND(B49&lt;=$B$12,B49&gt;$B$11),$D$11+($B$11-B49)/($B$11-$B$12)*($D$12-$D$11),IF(AND(B49&lt;=$B$11,B49&gt;$B$10),$D$10+($B$10-B49)/($B$10-$B$11)*($D$11-$D$10),IF(AND(B49&lt;=$B$10,B49&gt;$B$9),$D$9+($B$9-B49)/($B$9-$B$10)*($D$10-$D$9),IF(AND(B49&lt;=$B$9,B49&gt;$B$8),$D$8+($B$8-B49)/($B$8-$B$9)*($D$9-$D$8),IF(AND(B49&lt;=$B$8,B49&gt;$B$7),$D$7+($B$7-B49)/($B$7-$B$8)*($D$8-$D$7),IF(AND(B49&lt;=$B$7,B49&gt;$B$6),$D$6+($B$6-B49)/($B$6-$B$7)*($D$7-$D$6),IF(B49&lt;=$B$6,$D$6))))))))))))))))</f>
        <v>2.5000000000000001E-5</v>
      </c>
      <c r="D49" s="113" t="s">
        <v>156</v>
      </c>
      <c r="E49" s="119">
        <f>B49-B47</f>
        <v>49.935213396159995</v>
      </c>
      <c r="F49" s="112">
        <f>SQRT(SUMSQ(C47,C49))</f>
        <v>2.6925824035672523E-5</v>
      </c>
      <c r="H49" s="123" t="str">
        <f>IF(I46="","","Massa final")</f>
        <v>Massa final</v>
      </c>
      <c r="I49" s="116">
        <f>IF('Entrada das massas'!I29="","",IF(AND('Entrada das massas'!I29&lt;=$B$20,'Entrada das massas'!I29&gt;$B$19),'Entrada das massas'!I29-((($C$20-$C$19)*($B$20-'Entrada das massas'!I29)+($B$19*$C$20)-($B$20*$C$20))/($B$19-$B$20)),IF(AND('Entrada das massas'!I29&lt;=$B$19,'Entrada das massas'!I29&gt;$B$18),'Entrada das massas'!I29-((($C$19-$C$18)*($B$19-'Entrada das massas'!I29)+($B$18*$C$19)-($B$19*$C$19))/($B$18-$B$19)),IF(AND('Entrada das massas'!I29&lt;=$B$18,'Entrada das massas'!I29&gt;$B$17),'Entrada das massas'!I29-((($C$18-$C$17)*($B$18-'Entrada das massas'!I29)+($B$17*$C$18)-($B$18*$C$18))/($B$17-$B$18)),IF(AND('Entrada das massas'!I29&lt;=$B$17,'Entrada das massas'!I29&gt;$B$16),'Entrada das massas'!I29-((($C$17-$C$16)*($B$17-'Entrada das massas'!I29)+($B$16*$C$17)-($B$17*$C$17))/($B$16-$B$17)),IF(AND('Entrada das massas'!I29&lt;=$B$16,'Entrada das massas'!I29&gt;$B$15),'Entrada das massas'!I29-((($C$16-$C$15)*($B$16-'Entrada das massas'!I29)+($B$15*$C$16)-($B$16*$C$16))/($B$15-$B$16)),IF(AND('Entrada das massas'!I29&lt;=$B$15,'Entrada das massas'!I29&gt;$B$14),'Entrada das massas'!I29-((($C$15-$C$14)*($B$15-'Entrada das massas'!I29)+($B$14*$C$15)-($B$15*$C$15))/($B$14-$B$15)),IF(AND('Entrada das massas'!I29&lt;=$B$14,'Entrada das massas'!I29&gt;$B$13),'Entrada das massas'!I29-((($C$14-$C$13)*($B$14-'Entrada das massas'!I29)+($B$13*$C$14)-($B$14*$C$14))/($B$13-$B$14)),IF(AND('Entrada das massas'!I29&lt;=$B$13,'Entrada das massas'!I29&gt;$B$12),'Entrada das massas'!I29-((($C$13-$C$12)*($B$13-'Entrada das massas'!I29)+($B$12*$C$13)-($B$13*$C$13))/($B$12-$B$13)),IF(AND('Entrada das massas'!I29&lt;=$B$12,'Entrada das massas'!I29&gt;$B$11),'Entrada das massas'!I29-((($C$12-$C$11)*($B$12-'Entrada das massas'!I29)+($B$11*$C$12)-($B$12*$C$12))/($B$11-$B$12)),IF(AND('Entrada das massas'!I29&lt;=$B$11,'Entrada das massas'!I29&gt;$B$10),'Entrada das massas'!I29-((($C$11-$C$10)*($B$11-'Entrada das massas'!I29)+($B$10*$C$11)-($B$11*$C$11))/($B$10-$B$11)),IF(AND('Entrada das massas'!I29&lt;=$B$10,'Entrada das massas'!I29&gt;$B$9),'Entrada das massas'!I29-((($C$10-$C$9)*($B$10-'Entrada das massas'!I29)+($B$9*$C$10)-($B$10*$C$10))/($B$9-$B$10)),IF(AND('Entrada das massas'!I29&lt;=$B$9,'Entrada das massas'!I29&gt;$B$8),'Entrada das massas'!I29-((($C$9-$C$8)*($B$9-'Entrada das massas'!I29)+($B$8*$C$9)-($B$9*$C$9))/($B$8-$B$9)),IF(AND('Entrada das massas'!I29&lt;=$B$8,'Entrada das massas'!I29&gt;$B$7),'Entrada das massas'!I29-((($C$8-$C$7)*($B$8-'Entrada das massas'!I29)+($B$7*$C$8)-($B$8*$C$8))/($B$7-$B$8)),IF(AND('Entrada das massas'!I29&lt;=$B$7,'Entrada das massas'!I29&gt;$B$6),'Entrada das massas'!I29-((($C$7-$C$6)*($B$7-'Entrada das massas'!I29)+($B$6*$C$7)-($B$7*$C$7))/($B$6-$B$7)),IF(AND('Entrada das massas'!I29&lt;=$B$6,'Entrada das massas'!I29&gt;$B$5),'Entrada das massas'!I29-((($C$6-$C$5)*($B$6-'Entrada das massas'!I29)+($B$5*$C$6)-($B$6*$C$6))/($B$5-$B$6)),IF('Entrada das massas'!I29&lt;=$B$5,'Entrada das massas'!I29-$C$5)))))))))))))))))</f>
        <v>62.554272554240001</v>
      </c>
      <c r="J49" s="117">
        <f t="shared" si="15"/>
        <v>2.5000000000000001E-5</v>
      </c>
      <c r="K49" s="120">
        <f>IF(I47="","",I49-I47)</f>
        <v>50.213247236260003</v>
      </c>
      <c r="L49" s="117">
        <f>IF(J47="","",SQRT(SUMSQ(J47,J49)))</f>
        <v>2.6925824035672523E-5</v>
      </c>
      <c r="M49" s="93" t="str">
        <f>IF(I46="","","Solução")</f>
        <v>Solução</v>
      </c>
      <c r="N49" s="93"/>
      <c r="O49" s="123" t="str">
        <f>IF(P46="","","Massa final")</f>
        <v>Massa final</v>
      </c>
      <c r="P49" s="95" t="str">
        <f>IF('Entrada das massas'!N29="","",IF(AND('Entrada das massas'!N29&lt;=$B$20,'Entrada das massas'!N29&gt;$B$19),'Entrada das massas'!N29-((($C$20-$C$19)*($B$20-'Entrada das massas'!N29)+($B$19*$C$20)-($B$20*$C$20))/($B$19-$B$20)),IF(AND('Entrada das massas'!N29&lt;=$B$19,'Entrada das massas'!N29&gt;$B$18),'Entrada das massas'!N29-((($C$19-$C$18)*($B$19-'Entrada das massas'!N29)+($B$18*$C$19)-($B$19*$C$19))/($B$18-$B$19)),IF(AND('Entrada das massas'!N29&lt;=$B$18,'Entrada das massas'!N29&gt;$B$17),'Entrada das massas'!N29-((($C$18-$C$17)*($B$18-'Entrada das massas'!N29)+($B$17*$C$18)-($B$18*$C$18))/($B$17-$B$18)),IF(AND('Entrada das massas'!N29&lt;=$B$17,'Entrada das massas'!N29&gt;$B$16),'Entrada das massas'!N29-((($C$17-$C$16)*($B$17-'Entrada das massas'!N29)+($B$16*$C$17)-($B$17*$C$17))/($B$16-$B$17)),IF(AND('Entrada das massas'!N29&lt;=$B$16,'Entrada das massas'!N29&gt;$B$15),'Entrada das massas'!N29-((($C$16-$C$15)*($B$16-'Entrada das massas'!N29)+($B$15*$C$16)-($B$16*$C$16))/($B$15-$B$16)),IF(AND('Entrada das massas'!N29&lt;=$B$15,'Entrada das massas'!N29&gt;$B$14),'Entrada das massas'!N29-((($C$15-$C$14)*($B$15-'Entrada das massas'!N29)+($B$14*$C$15)-($B$15*$C$15))/($B$14-$B$15)),IF(AND('Entrada das massas'!N29&lt;=$B$14,'Entrada das massas'!N29&gt;$B$13),'Entrada das massas'!N29-((($C$14-$C$13)*($B$14-'Entrada das massas'!N29)+($B$13*$C$14)-($B$14*$C$14))/($B$13-$B$14)),IF(AND('Entrada das massas'!N29&lt;=$B$13,'Entrada das massas'!N29&gt;$B$12),'Entrada das massas'!N29-((($C$13-$C$12)*($B$13-'Entrada das massas'!N29)+($B$12*$C$13)-($B$13*$C$13))/($B$12-$B$13)),IF(AND('Entrada das massas'!N29&lt;=$B$12,'Entrada das massas'!N29&gt;$B$11),'Entrada das massas'!N29-((($C$12-$C$11)*($B$12-'Entrada das massas'!N29)+($B$11*$C$12)-($B$12*$C$12))/($B$11-$B$12)),IF(AND('Entrada das massas'!N29&lt;=$B$11,'Entrada das massas'!N29&gt;$B$10),'Entrada das massas'!N29-((($C$11-$C$10)*($B$11-'Entrada das massas'!N29)+($B$10*$C$11)-($B$11*$C$11))/($B$10-$B$11)),IF(AND('Entrada das massas'!N29&lt;=$B$10,'Entrada das massas'!N29&gt;$B$9),'Entrada das massas'!N29-((($C$10-$C$9)*($B$10-'Entrada das massas'!N29)+($B$9*$C$10)-($B$10*$C$10))/($B$9-$B$10)),IF(AND('Entrada das massas'!N29&lt;=$B$9,'Entrada das massas'!N29&gt;$B$8),'Entrada das massas'!N29-((($C$9-$C$8)*($B$9-'Entrada das massas'!N29)+($B$8*$C$9)-($B$9*$C$9))/($B$8-$B$9)),IF(AND('Entrada das massas'!N29&lt;=$B$8,'Entrada das massas'!N29&gt;$B$7),'Entrada das massas'!N29-((($C$8-$C$7)*($B$8-'Entrada das massas'!N29)+($B$7*$C$8)-($B$8*$C$8))/($B$7-$B$8)),IF(AND('Entrada das massas'!N29&lt;=$B$7,'Entrada das massas'!N29&gt;$B$6),'Entrada das massas'!N29-((($C$7-$C$6)*($B$7-'Entrada das massas'!N29)+($B$6*$C$7)-($B$7*$C$7))/($B$6-$B$7)),IF(AND('Entrada das massas'!N29&lt;=$B$6,'Entrada das massas'!N29&gt;$B$5),'Entrada das massas'!N29-((($C$6-$C$5)*($B$6-'Entrada das massas'!N29)+($B$5*$C$6)-($B$6*$C$6))/($B$5-$B$6)),IF('Entrada das massas'!N29&lt;=$B$5,'Entrada das massas'!N29-$C$5)))))))))))))))))</f>
        <v/>
      </c>
      <c r="Q49" s="117" t="str">
        <f t="shared" si="16"/>
        <v/>
      </c>
      <c r="R49" s="120" t="str">
        <f>IF(P47="","",P49-P47)</f>
        <v/>
      </c>
      <c r="S49" s="117" t="str">
        <f>IF(Q47="","",SQRT(SUMSQ(Q47,Q49)))</f>
        <v/>
      </c>
      <c r="T49" s="93" t="str">
        <f>IF(P46="","","Solução")</f>
        <v>Solução</v>
      </c>
      <c r="U49" s="93"/>
      <c r="V49" s="123" t="str">
        <f>IF(W46="","","Massa final")</f>
        <v/>
      </c>
      <c r="W49" s="95" t="str">
        <f>IF('Entrada das massas'!S29="","",IF(AND('Entrada das massas'!S29&lt;=$B$20,'Entrada das massas'!S29&gt;$B$19),'Entrada das massas'!S29-((($C$20-$C$19)*($B$20-'Entrada das massas'!S29)+($B$19*$C$20)-($B$20*$C$20))/($B$19-$B$20)),IF(AND('Entrada das massas'!S29&lt;=$B$19,'Entrada das massas'!S29&gt;$B$18),'Entrada das massas'!S29-((($C$19-$C$18)*($B$19-'Entrada das massas'!S29)+($B$18*$C$19)-($B$19*$C$19))/($B$18-$B$19)),IF(AND('Entrada das massas'!S29&lt;=$B$18,'Entrada das massas'!S29&gt;$B$17),'Entrada das massas'!S29-((($C$18-$C$17)*($B$18-'Entrada das massas'!S29)+($B$17*$C$18)-($B$18*$C$18))/($B$17-$B$18)),IF(AND('Entrada das massas'!S29&lt;=$B$17,'Entrada das massas'!S29&gt;$B$16),'Entrada das massas'!S29-((($C$17-$C$16)*($B$17-'Entrada das massas'!S29)+($B$16*$C$17)-($B$17*$C$17))/($B$16-$B$17)),IF(AND('Entrada das massas'!S29&lt;=$B$16,'Entrada das massas'!S29&gt;$B$15),'Entrada das massas'!S29-((($C$16-$C$15)*($B$16-'Entrada das massas'!S29)+($B$15*$C$16)-($B$16*$C$16))/($B$15-$B$16)),IF(AND('Entrada das massas'!S29&lt;=$B$15,'Entrada das massas'!S29&gt;$B$14),'Entrada das massas'!S29-((($C$15-$C$14)*($B$15-'Entrada das massas'!S29)+($B$14*$C$15)-($B$15*$C$15))/($B$14-$B$15)),IF(AND('Entrada das massas'!S29&lt;=$B$14,'Entrada das massas'!S29&gt;$B$13),'Entrada das massas'!S29-((($C$14-$C$13)*($B$14-'Entrada das massas'!S29)+($B$13*$C$14)-($B$14*$C$14))/($B$13-$B$14)),IF(AND('Entrada das massas'!S29&lt;=$B$13,'Entrada das massas'!S29&gt;$B$12),'Entrada das massas'!S29-((($C$13-$C$12)*($B$13-'Entrada das massas'!S29)+($B$12*$C$13)-($B$13*$C$13))/($B$12-$B$13)),IF(AND('Entrada das massas'!S29&lt;=$B$12,'Entrada das massas'!S29&gt;$B$11),'Entrada das massas'!S29-((($C$12-$C$11)*($B$12-'Entrada das massas'!S29)+($B$11*$C$12)-($B$12*$C$12))/($B$11-$B$12)),IF(AND('Entrada das massas'!S29&lt;=$B$11,'Entrada das massas'!S29&gt;$B$10),'Entrada das massas'!S29-((($C$11-$C$10)*($B$11-'Entrada das massas'!S29)+($B$10*$C$11)-($B$11*$C$11))/($B$10-$B$11)),IF(AND('Entrada das massas'!S29&lt;=$B$10,'Entrada das massas'!S29&gt;$B$9),'Entrada das massas'!S29-((($C$10-$C$9)*($B$10-'Entrada das massas'!S29)+($B$9*$C$10)-($B$10*$C$10))/($B$9-$B$10)),IF(AND('Entrada das massas'!S29&lt;=$B$9,'Entrada das massas'!S29&gt;$B$8),'Entrada das massas'!S29-((($C$9-$C$8)*($B$9-'Entrada das massas'!S29)+($B$8*$C$9)-($B$9*$C$9))/($B$8-$B$9)),IF(AND('Entrada das massas'!S29&lt;=$B$8,'Entrada das massas'!S29&gt;$B$7),'Entrada das massas'!S29-((($C$8-$C$7)*($B$8-'Entrada das massas'!S29)+($B$7*$C$8)-($B$8*$C$8))/($B$7-$B$8)),IF(AND('Entrada das massas'!S29&lt;=$B$7,'Entrada das massas'!S29&gt;$B$6),'Entrada das massas'!S29-((($C$7-$C$6)*($B$7-'Entrada das massas'!S29)+($B$6*$C$7)-($B$7*$C$7))/($B$6-$B$7)),IF(AND('Entrada das massas'!S29&lt;=$B$6,'Entrada das massas'!S29&gt;$B$5),'Entrada das massas'!S29-((($C$6-$C$5)*($B$6-'Entrada das massas'!S29)+($B$5*$C$6)-($B$6*$C$6))/($B$5-$B$6)),IF('Entrada das massas'!S29&lt;=$B$5,'Entrada das massas'!S29-$C$5)))))))))))))))))</f>
        <v/>
      </c>
      <c r="X49" s="117" t="str">
        <f t="shared" si="17"/>
        <v/>
      </c>
      <c r="Y49" s="120" t="str">
        <f>IF(W47="","",W49-W47)</f>
        <v/>
      </c>
      <c r="Z49" s="117" t="str">
        <f>IF(X47="","",SQRT(SUMSQ(X47,X49)))</f>
        <v/>
      </c>
      <c r="AA49" s="93" t="str">
        <f>IF(W46="","","Solução")</f>
        <v/>
      </c>
      <c r="AC49" s="101"/>
      <c r="AD49" s="101"/>
      <c r="AE49" s="101"/>
      <c r="AF49" s="101"/>
      <c r="AG49" s="101"/>
      <c r="AH49" s="101"/>
      <c r="AI49" s="101"/>
      <c r="AJ49" s="101"/>
      <c r="AK49" s="101"/>
      <c r="AL49" s="101"/>
      <c r="AM49" s="98"/>
      <c r="AN49" s="98"/>
      <c r="AO49" s="98"/>
      <c r="AP49" s="98"/>
      <c r="AQ49" s="98"/>
      <c r="AR49" s="98"/>
      <c r="AS49" s="98"/>
      <c r="AT49" s="98"/>
    </row>
    <row r="50" spans="1:46" ht="13.5" thickBot="1" x14ac:dyDescent="0.25">
      <c r="A50" s="143"/>
      <c r="B50" s="98"/>
      <c r="C50" s="98"/>
      <c r="D50" s="98"/>
      <c r="E50" s="139"/>
      <c r="F50" s="98"/>
      <c r="H50" s="98"/>
      <c r="I50" s="93"/>
      <c r="J50" s="139"/>
      <c r="K50" s="139"/>
      <c r="L50" s="139"/>
      <c r="M50" s="98"/>
      <c r="N50" s="98"/>
      <c r="O50" s="98"/>
      <c r="P50" s="93"/>
      <c r="Q50" s="120"/>
      <c r="R50" s="120"/>
      <c r="S50" s="120"/>
      <c r="T50" s="98"/>
      <c r="U50" s="98"/>
      <c r="V50" s="98"/>
      <c r="W50" s="93"/>
      <c r="X50" s="120"/>
      <c r="Y50" s="120"/>
      <c r="Z50" s="120"/>
      <c r="AA50" s="98"/>
      <c r="AB50" s="93"/>
      <c r="AC50" s="101"/>
      <c r="AD50" s="101"/>
      <c r="AE50" s="101"/>
      <c r="AF50" s="101"/>
      <c r="AG50" s="101"/>
      <c r="AH50" s="145"/>
      <c r="AI50" s="101"/>
      <c r="AJ50" s="101"/>
      <c r="AK50" s="101"/>
      <c r="AL50" s="101"/>
      <c r="AM50" s="98"/>
      <c r="AN50" s="98"/>
      <c r="AO50" s="98"/>
      <c r="AP50" s="98"/>
      <c r="AQ50" s="98"/>
      <c r="AR50" s="98"/>
      <c r="AS50" s="98"/>
      <c r="AT50" s="98"/>
    </row>
    <row r="51" spans="1:46" ht="13.5" thickBot="1" x14ac:dyDescent="0.25">
      <c r="A51" s="572" t="s">
        <v>34</v>
      </c>
      <c r="B51" s="573"/>
      <c r="C51" s="573"/>
      <c r="D51" s="573"/>
      <c r="E51" s="573"/>
      <c r="F51" s="574"/>
      <c r="H51" s="126" t="str">
        <f>IF(I46="","","Amostra")</f>
        <v>Amostra</v>
      </c>
      <c r="I51" s="127" t="str">
        <f>IF('Entrada das massas'!I31="","",'Entrada das massas'!I31)</f>
        <v>CCQMK56B</v>
      </c>
      <c r="J51" s="120" t="str">
        <f>IF(I51="","","uc(g)")</f>
        <v>uc(g)</v>
      </c>
      <c r="K51" s="120" t="str">
        <f>IF(J51="","","Massa (g)")</f>
        <v>Massa (g)</v>
      </c>
      <c r="L51" s="120" t="str">
        <f>IF(K51="","","ucomb (g)")</f>
        <v>ucomb (g)</v>
      </c>
      <c r="M51" s="98" t="str">
        <f>IF(I51="","","Fdiluição")</f>
        <v>Fdiluição</v>
      </c>
      <c r="N51" s="98"/>
      <c r="O51" s="126" t="str">
        <f>IF(M52="","","Amostra")</f>
        <v>Amostra</v>
      </c>
      <c r="P51" s="127" t="str">
        <f>IF('Entrada das massas'!N31="","",'Entrada das massas'!N31)</f>
        <v>CCQMK56B</v>
      </c>
      <c r="Q51" s="120" t="str">
        <f>IF(P51="","","uc(g)")</f>
        <v>uc(g)</v>
      </c>
      <c r="R51" s="120" t="str">
        <f>IF(Q51="","","Massa (g)")</f>
        <v>Massa (g)</v>
      </c>
      <c r="S51" s="120" t="str">
        <f>IF(R51="","","ucomb (g)")</f>
        <v>ucomb (g)</v>
      </c>
      <c r="T51" s="98" t="str">
        <f>IF(P51="","","Fdiluição")</f>
        <v>Fdiluição</v>
      </c>
      <c r="U51" s="98"/>
      <c r="V51" s="126" t="str">
        <f>IF(T52="","","Amostra")</f>
        <v/>
      </c>
      <c r="W51" s="127" t="str">
        <f>IF('Entrada das massas'!S31="","",'Entrada das massas'!S31)</f>
        <v/>
      </c>
      <c r="X51" s="120" t="str">
        <f>IF(W51="","","uc(g)")</f>
        <v/>
      </c>
      <c r="Y51" s="120" t="str">
        <f>IF(X51="","","Massa (g)")</f>
        <v/>
      </c>
      <c r="Z51" s="120" t="str">
        <f>IF(Y51="","","ucomb (g)")</f>
        <v/>
      </c>
      <c r="AA51" s="98" t="str">
        <f>IF(W51="","","Fdiluição")</f>
        <v/>
      </c>
      <c r="AB51" s="146"/>
      <c r="AC51" s="101"/>
      <c r="AD51" s="101"/>
      <c r="AE51" s="101"/>
      <c r="AF51" s="101"/>
      <c r="AG51" s="101"/>
      <c r="AH51" s="145"/>
      <c r="AI51" s="101"/>
      <c r="AJ51" s="101"/>
      <c r="AK51" s="101"/>
      <c r="AL51" s="101"/>
      <c r="AM51" s="98"/>
      <c r="AN51" s="98"/>
      <c r="AO51" s="98"/>
      <c r="AP51" s="98"/>
      <c r="AQ51" s="98"/>
      <c r="AR51" s="98"/>
      <c r="AS51" s="98"/>
      <c r="AT51" s="98"/>
    </row>
    <row r="52" spans="1:46" ht="15.75" x14ac:dyDescent="0.3">
      <c r="A52" s="130" t="s">
        <v>57</v>
      </c>
      <c r="B52" s="111">
        <f>IF(AND('Entrada das massas'!C32&lt;=$B$20,'Entrada das massas'!C32&gt;$B$19),'Entrada das massas'!C32-((($C$20-$C$19)*($B$20-'Entrada das massas'!C32)+($B$19*$C$20)-($B$20*$C$20))/($B$19-$B$20)),IF(AND('Entrada das massas'!C32&lt;=$B$19,'Entrada das massas'!C32&gt;$B$18),'Entrada das massas'!C32-((($C$19-$C$18)*($B$19-'Entrada das massas'!C32)+($B$18*$C$19)-($B$19*$C$19))/($B$18-$B$19)),IF(AND('Entrada das massas'!C32&lt;=$B$18,'Entrada das massas'!C32&gt;$B$17),'Entrada das massas'!C32-((($C$18-$C$17)*($B$18-'Entrada das massas'!C32)+($B$17*$C$18)-($B$18*$C$18))/($B$17-$B$18)),IF(AND('Entrada das massas'!C32&lt;=$B$17,'Entrada das massas'!C32&gt;$B$16),'Entrada das massas'!C32-((($C$17-$C$16)*($B$17-'Entrada das massas'!C32)+($B$16*$C$17)-($B$17*$C$17))/($B$16-$B$17)),IF(AND('Entrada das massas'!C32&lt;=$B$16,'Entrada das massas'!C32&gt;$B$15),'Entrada das massas'!C32-((($C$16-$C$15)*($B$16-'Entrada das massas'!C32)+($B$15*$C$16)-($B$16*$C$16))/($B$15-$B$16)),IF(AND('Entrada das massas'!C32&lt;=$B$15,'Entrada das massas'!C32&gt;$B$14),'Entrada das massas'!C32-((($C$15-$C$14)*($B$15-'Entrada das massas'!C32)+($B$14*$C$15)-($B$15*$C$15))/($B$14-$B$15)),IF(AND('Entrada das massas'!C32&lt;=$B$14,'Entrada das massas'!C32&gt;$B$13),'Entrada das massas'!C32-((($C$14-$C$13)*($B$14-'Entrada das massas'!C32)+($B$13*$C$14)-($B$14*$C$14))/($B$13-$B$14)),IF(AND('Entrada das massas'!C32&lt;=$B$13,'Entrada das massas'!C32&gt;$B$12),'Entrada das massas'!C32-((($C$13-$C$12)*($B$13-'Entrada das massas'!C32)+($B$12*$C$13)-($B$13*$C$13))/($B$12-$B$13)),IF(AND('Entrada das massas'!C32&lt;=$B$12,'Entrada das massas'!C32&gt;$B$11),'Entrada das massas'!C32-((($C$12-$C$11)*($B$12-'Entrada das massas'!C32)+($B$11*$C$12)-($B$12*$C$12))/($B$11-$B$12)), IF(AND('Entrada das massas'!C32&lt;=$B$11,'Entrada das massas'!C32&gt;$B$10),'Entrada das massas'!C32-((($C$11-$C$10)*($B$11-'Entrada das massas'!C32)+($B$10*$C$11)-($B$11*$C$11))/($B$10-$B$11)),IF(AND('Entrada das massas'!C32&lt;=$B$10,'Entrada das massas'!C32&gt;$B$9),'Entrada das massas'!C32-((($C$10-$C$9)*($B$10-'Entrada das massas'!C32)+($B$9*$C$10)-($B$10*$C$10))/($B$9-$B$10)),IF(AND('Entrada das massas'!C32&lt;=$B$9,'Entrada das massas'!C32&gt;$B$8),'Entrada das massas'!C32-((($C$9-$C$8)*($B$9-'Entrada das massas'!C32)+($B$8*$C$9)-($B$9*$C$9))/($B$8-$B$9)),IF(AND('Entrada das massas'!C32&lt;=$B$8,'Entrada das massas'!C32&gt;$B$7),'Entrada das massas'!C32-((($C$8-$C$7)*($B$8-'Entrada das massas'!C32)+($B$7*$C$8)-($B$8*$C$8))/($B$7-$B$8)),IF(AND('Entrada das massas'!C32&lt;=$B$7,'Entrada das massas'!C32&gt;$B$6),'Entrada das massas'!C32-((($C$7-$C$6)*($B$7-'Entrada das massas'!C32)+($B$6*$C$7)-($B$7*$C$7))/($B$6-$B$7)),IF(AND('Entrada das massas'!C32&lt;=$B$6,'Entrada das massas'!C32&gt;$B$5),'Entrada das massas'!C32-((($C$6-$C$5)*($B$6-'Entrada das massas'!C32)+($B$5*$C$6)-($B$6*$C$6))/($B$5-$B$6)),IF('Entrada das massas'!C32&lt;=$B$5,'Entrada das massas'!C32-$C$5))))))))))))))))</f>
        <v>14.625210749599999</v>
      </c>
      <c r="C52" s="112">
        <f>(IF(AND(B52&lt;=$B$20,B52&gt;$B$19),$D$19+($B$19-B52)/($B$19-$B$20)*($D$20-$D$19),IF(AND(B52&lt;=$B$19,B52&gt;$B$18),$D$18+($B$18-B52)/($B$18-$B$19)*($D$19-$D$18),IF(AND(B52&lt;=$B$18,B52&gt;$B$17),$D$17+($B$17-B52)/($B$17-$B$18)*($D$18-$D$17),IF(AND(B52&lt;=$B$17,B52&gt;$B$16),$D$16+($B$16-B52)/($B$16-$B$17)*($D$17-$D$16),IF(AND(B52&lt;=$B$16,B52&gt;$B$15),$D$15+($B$15-B52)/($B$15-$B$16)*($D$16-$D$15),IF(AND(B52&lt;=$B$15,B52&gt;$B$14),$D$14+($B$14-B52)/($B$14-$B$15)*($D$15-$D$14),IF(AND(B52&lt;=$B$14,B52&gt;$B$13),$D$13+($B$13-B52)/($B$13-$B$14)*($D$14-$D$13),IF(AND(B52&lt;=$B$13,B52&gt;$B$12),$D$12+($B$12-B52)/($B$12-$B$13)*($D$13-$D$12),IF(AND(B52&lt;=$B$12,B52&gt;$B$11),$D$11+($B$11-B52)/($B$11-$B$12)*($D$12-$D$11),IF(AND(B52&lt;=$B$11,B52&gt;$B$10),$D$10+($B$10-B52)/($B$10-$B$11)*($D$11-$D$10),IF(AND(B52&lt;=$B$10,B52&gt;$B$9),$D$9+($B$9-B52)/($B$9-$B$10)*($D$10-$D$9),IF(AND(B52&lt;=$B$9,B52&gt;$B$8),$D$8+($B$8-B52)/($B$8-$B$9)*($D$9-$D$8),IF(AND(B52&lt;=$B$8,B52&gt;$B$7),$D$7+($B$7-B52)/($B$7-$B$8)*($D$8-$D$7),IF(AND(B52&lt;=$B$7,B52&gt;$B$6),$D$6+($B$6-B52)/($B$6-$B$7)*($D$7-$D$6),IF(B52&lt;=$B$6,$D$6))))))))))))))))</f>
        <v>1.0000000000000001E-5</v>
      </c>
      <c r="D52" s="131"/>
      <c r="E52" s="147"/>
      <c r="F52" s="132" t="s">
        <v>70</v>
      </c>
      <c r="H52" s="115" t="str">
        <f>IF(I51="","","Frasco")</f>
        <v>Frasco</v>
      </c>
      <c r="I52" s="116">
        <f>IF('Entrada das massas'!I32="","",IF(AND('Entrada das massas'!I32&lt;=$B$20,'Entrada das massas'!I32&gt;$B$19),'Entrada das massas'!I32-((($C$20-$C$19)*($B$20-'Entrada das massas'!I32)+($B$19*$C$20)-($B$20*$C$20))/($B$19-$B$20)),IF(AND('Entrada das massas'!I32&lt;=$B$19,'Entrada das massas'!I32&gt;$B$18),'Entrada das massas'!I32-((($C$19-$C$18)*($B$19-'Entrada das massas'!I32)+($B$18*$C$19)-($B$19*$C$19))/($B$18-$B$19)),IF(AND('Entrada das massas'!I32&lt;=$B$18,'Entrada das massas'!I32&gt;$B$17),'Entrada das massas'!I32-((($C$18-$C$17)*($B$18-'Entrada das massas'!I32)+($B$17*$C$18)-($B$18*$C$18))/($B$17-$B$18)),IF(AND('Entrada das massas'!I32&lt;=$B$17,'Entrada das massas'!I32&gt;$B$16),'Entrada das massas'!I32-((($C$17-$C$16)*($B$17-'Entrada das massas'!I32)+($B$16*$C$17)-($B$17*$C$17))/($B$16-$B$17)),IF(AND('Entrada das massas'!I32&lt;=$B$16,'Entrada das massas'!I32&gt;$B$15),'Entrada das massas'!I32-((($C$16-$C$15)*($B$16-'Entrada das massas'!I32)+($B$15*$C$16)-($B$16*$C$16))/($B$15-$B$16)),IF(AND('Entrada das massas'!I32&lt;=$B$15,'Entrada das massas'!I32&gt;$B$14),'Entrada das massas'!I32-((($C$15-$C$14)*($B$15-'Entrada das massas'!I32)+($B$14*$C$15)-($B$15*$C$15))/($B$14-$B$15)),IF(AND('Entrada das massas'!I32&lt;=$B$14,'Entrada das massas'!I32&gt;$B$13),'Entrada das massas'!I32-((($C$14-$C$13)*($B$14-'Entrada das massas'!I32)+($B$13*$C$14)-($B$14*$C$14))/($B$13-$B$14)),IF(AND('Entrada das massas'!I32&lt;=$B$13,'Entrada das massas'!I32&gt;$B$12),'Entrada das massas'!I32-((($C$13-$C$12)*($B$13-'Entrada das massas'!I32)+($B$12*$C$13)-($B$13*$C$13))/($B$12-$B$13)),IF(AND('Entrada das massas'!I32&lt;=$B$12,'Entrada das massas'!I32&gt;$B$11),'Entrada das massas'!I32-((($C$12-$C$11)*($B$12-'Entrada das massas'!I32)+($B$11*$C$12)-($B$12*$C$12))/($B$11-$B$12)),IF(AND('Entrada das massas'!I32&lt;=$B$11,'Entrada das massas'!I32&gt;$B$10),'Entrada das massas'!I32-((($C$11-$C$10)*($B$11-'Entrada das massas'!I32)+($B$10*$C$11)-($B$11*$C$11))/($B$10-$B$11)),IF(AND('Entrada das massas'!I32&lt;=$B$10,'Entrada das massas'!I32&gt;$B$9),'Entrada das massas'!I32-((($C$10-$C$9)*($B$10-'Entrada das massas'!I32)+($B$9*$C$10)-($B$10*$C$10))/($B$9-$B$10)),IF(AND('Entrada das massas'!I32&lt;=$B$9,'Entrada das massas'!I32&gt;$B$8),'Entrada das massas'!I32-((($C$9-$C$8)*($B$9-'Entrada das massas'!I32)+($B$8*$C$9)-($B$9*$C$9))/($B$8-$B$9)),IF(AND('Entrada das massas'!I32&lt;=$B$8,'Entrada das massas'!I32&gt;$B$7),'Entrada das massas'!I32-((($C$8-$C$7)*($B$8-'Entrada das massas'!I32)+($B$7*$C$8)-($B$8*$C$8))/($B$7-$B$8)),IF(AND('Entrada das massas'!I32&lt;=$B$7,'Entrada das massas'!I32&gt;$B$6),'Entrada das massas'!I32-((($C$7-$C$6)*($B$7-'Entrada das massas'!I32)+($B$6*$C$7)-($B$7*$C$7))/($B$6-$B$7)),IF(AND('Entrada das massas'!I32&lt;=$B$6,'Entrada das massas'!I32&gt;$B$5),'Entrada das massas'!I32-((($C$6-$C$5)*($B$6-'Entrada das massas'!I32)+($B$5*$C$6)-($B$6*$C$6))/($B$5-$B$6)),IF('Entrada das massas'!I32&lt;=$B$5,'Entrada das massas'!I32-$C$5)))))))))))))))))</f>
        <v>12.318075363879998</v>
      </c>
      <c r="J52" s="117">
        <f>IF(I52="","",(IF(AND(I52&lt;=$B$20,I52&gt;$B$19),$D$19+($B$19-I52)/($B$19-$B$20)*($D$20-$D$19),IF(AND(I52&lt;=$B$19,I52&gt;$B$18),$D$18+($B$18-I52)/($B$18-$B$19)*($D$19-$D$18),IF(AND(I52&lt;=$B$18,I52&gt;$B$17),$D$17+($B$17-I52)/($B$17-$B$18)*($D$18-$D$17),IF(AND(I52&lt;=$B$17,I52&gt;$B$16),$D$16+($B$16-I52)/($B$16-$B$17)*($D$17-$D$16),IF(AND(I52&lt;=$B$16,I52&gt;$B$15),$D$15+($B$15-I52)/($B$15-$B$16)*($D$16-$D$15),IF(AND(I52&lt;=$B$15,I52&gt;$B$14),$D$14+($B$14-I52)/($B$14-$B$15)*($D$15-$D$14),IF(AND(I52&lt;=$B$14,I52&gt;$B$13),$D$13+($B$13-I52)/($B$13-$B$14)*($D$14-$D$13),IF(AND(I52&lt;=$B$13,I52&gt;$B$12),$D$12+($B$12-I52)/($B$12-$B$13)*($D$13-$D$12),IF(AND(I52&lt;=$B$12,I52&gt;$B$11),$D$11+($B$11-I52)/($B$11-$B$12)*($D$12-$D$11),IF(AND(I52&lt;=$B$11,I52&gt;$B$10),$D$10+($B$10-I52)/($B$10-$B$11)*($D$11-$D$10),IF(AND(I52&lt;=$B$10,I52&gt;$B$9),$D$9+($B$9-I52)/($B$9-$B$10)*($D$10-$D$9),IF(AND(I52&lt;=$B$9,I52&gt;$B$8),$D$8+($B$8-I52)/($B$8-$B$9)*($D$9-$D$8),IF(AND(I52&lt;=$B$8,I52&gt;$B$7),$D$7+($B$7-I52)/($B$7-$B$8)*($D$8-$D$7),IF(AND(I52&lt;=$B$7,I52&gt;$B$6),$D$6+($B$6-I52)/($B$6-$B$7)*($D$7-$D$6),IF(I52&lt;=$B$6,$D$6)))))))))))))))))</f>
        <v>1.0000000000000001E-5</v>
      </c>
      <c r="K52" s="117"/>
      <c r="L52" s="117"/>
      <c r="M52" s="118">
        <f>IFERROR(K54/K53,"")</f>
        <v>166.95713180454419</v>
      </c>
      <c r="N52" s="93"/>
      <c r="O52" s="115" t="str">
        <f>IF(P51="","","Frasco")</f>
        <v>Frasco</v>
      </c>
      <c r="P52" s="95" t="str">
        <f>IF('Entrada das massas'!N32="","",IF(AND('Entrada das massas'!N32&lt;=$B$20,'Entrada das massas'!N32&gt;$B$19),'Entrada das massas'!N32-((($C$20-$C$19)*($B$20-'Entrada das massas'!N32)+($B$19*$C$20)-($B$20*$C$20))/($B$19-$B$20)),IF(AND('Entrada das massas'!N32&lt;=$B$19,'Entrada das massas'!N32&gt;$B$18),'Entrada das massas'!N32-((($C$19-$C$18)*($B$19-'Entrada das massas'!N32)+($B$18*$C$19)-($B$19*$C$19))/($B$18-$B$19)),IF(AND('Entrada das massas'!N32&lt;=$B$18,'Entrada das massas'!N32&gt;$B$17),'Entrada das massas'!N32-((($C$18-$C$17)*($B$18-'Entrada das massas'!N32)+($B$17*$C$18)-($B$18*$C$18))/($B$17-$B$18)),IF(AND('Entrada das massas'!N32&lt;=$B$17,'Entrada das massas'!N32&gt;$B$16),'Entrada das massas'!N32-((($C$17-$C$16)*($B$17-'Entrada das massas'!N32)+($B$16*$C$17)-($B$17*$C$17))/($B$16-$B$17)),IF(AND('Entrada das massas'!N32&lt;=$B$16,'Entrada das massas'!N32&gt;$B$15),'Entrada das massas'!N32-((($C$16-$C$15)*($B$16-'Entrada das massas'!N32)+($B$15*$C$16)-($B$16*$C$16))/($B$15-$B$16)),IF(AND('Entrada das massas'!N32&lt;=$B$15,'Entrada das massas'!N32&gt;$B$14),'Entrada das massas'!N32-((($C$15-$C$14)*($B$15-'Entrada das massas'!N32)+($B$14*$C$15)-($B$15*$C$15))/($B$14-$B$15)),IF(AND('Entrada das massas'!N32&lt;=$B$14,'Entrada das massas'!N32&gt;$B$13),'Entrada das massas'!N32-((($C$14-$C$13)*($B$14-'Entrada das massas'!N32)+($B$13*$C$14)-($B$14*$C$14))/($B$13-$B$14)),IF(AND('Entrada das massas'!N32&lt;=$B$13,'Entrada das massas'!N32&gt;$B$12),'Entrada das massas'!N32-((($C$13-$C$12)*($B$13-'Entrada das massas'!N32)+($B$12*$C$13)-($B$13*$C$13))/($B$12-$B$13)),IF(AND('Entrada das massas'!N32&lt;=$B$12,'Entrada das massas'!N32&gt;$B$11),'Entrada das massas'!N32-((($C$12-$C$11)*($B$12-'Entrada das massas'!N32)+($B$11*$C$12)-($B$12*$C$12))/($B$11-$B$12)),IF(AND('Entrada das massas'!N32&lt;=$B$11,'Entrada das massas'!N32&gt;$B$10),'Entrada das massas'!N32-((($C$11-$C$10)*($B$11-'Entrada das massas'!N32)+($B$10*$C$11)-($B$11*$C$11))/($B$10-$B$11)),IF(AND('Entrada das massas'!N32&lt;=$B$10,'Entrada das massas'!N32&gt;$B$9),'Entrada das massas'!N32-((($C$10-$C$9)*($B$10-'Entrada das massas'!N32)+($B$9*$C$10)-($B$10*$C$10))/($B$9-$B$10)),IF(AND('Entrada das massas'!N32&lt;=$B$9,'Entrada das massas'!N32&gt;$B$8),'Entrada das massas'!N32-((($C$9-$C$8)*($B$9-'Entrada das massas'!N32)+($B$8*$C$9)-($B$9*$C$9))/($B$8-$B$9)),IF(AND('Entrada das massas'!N32&lt;=$B$8,'Entrada das massas'!N32&gt;$B$7),'Entrada das massas'!N32-((($C$8-$C$7)*($B$8-'Entrada das massas'!N32)+($B$7*$C$8)-($B$8*$C$8))/($B$7-$B$8)),IF(AND('Entrada das massas'!N32&lt;=$B$7,'Entrada das massas'!N32&gt;$B$6),'Entrada das massas'!N32-((($C$7-$C$6)*($B$7-'Entrada das massas'!N32)+($B$6*$C$7)-($B$7*$C$7))/($B$6-$B$7)),IF(AND('Entrada das massas'!N32&lt;=$B$6,'Entrada das massas'!N32&gt;$B$5),'Entrada das massas'!N32-((($C$6-$C$5)*($B$6-'Entrada das massas'!N32)+($B$5*$C$6)-($B$6*$C$6))/($B$5-$B$6)),IF('Entrada das massas'!N32&lt;=$B$5,'Entrada das massas'!N32-$C$5)))))))))))))))))</f>
        <v/>
      </c>
      <c r="Q52" s="117" t="str">
        <f>IF(P52="","",(IF(AND(P52&lt;=$B$20,P52&gt;$B$19),$D$19+($B$19-P52)/($B$19-$B$20)*($D$20-$D$19),IF(AND(P52&lt;=$B$19,P52&gt;$B$18),$D$18+($B$18-P52)/($B$18-$B$19)*($D$19-$D$18),IF(AND(P52&lt;=$B$18,P52&gt;$B$17),$D$17+($B$17-P52)/($B$17-$B$18)*($D$18-$D$17),IF(AND(P52&lt;=$B$17,P52&gt;$B$16),$D$16+($B$16-P52)/($B$16-$B$17)*($D$17-$D$16),IF(AND(P52&lt;=$B$16,P52&gt;$B$15),$D$15+($B$15-P52)/($B$15-$B$16)*($D$16-$D$15),IF(AND(P52&lt;=$B$15,P52&gt;$B$14),$D$14+($B$14-P52)/($B$14-$B$15)*($D$15-$D$14),IF(AND(P52&lt;=$B$14,P52&gt;$B$13),$D$13+($B$13-P52)/($B$13-$B$14)*($D$14-$D$13),IF(AND(P52&lt;=$B$13,P52&gt;$B$12),$D$12+($B$12-P52)/($B$12-$B$13)*($D$13-$D$12),IF(AND(P52&lt;=$B$12,P52&gt;$B$11),$D$11+($B$11-P52)/($B$11-$B$12)*($D$12-$D$11),IF(AND(P52&lt;=$B$11,P52&gt;$B$10),$D$10+($B$10-P52)/($B$10-$B$11)*($D$11-$D$10),IF(AND(P52&lt;=$B$10,P52&gt;$B$9),$D$9+($B$9-P52)/($B$9-$B$10)*($D$10-$D$9),IF(AND(P52&lt;=$B$9,P52&gt;$B$8),$D$8+($B$8-P52)/($B$8-$B$9)*($D$9-$D$8),IF(AND(P52&lt;=$B$8,P52&gt;$B$7),$D$7+($B$7-P52)/($B$7-$B$8)*($D$8-$D$7),IF(AND(P52&lt;=$B$7,P52&gt;$B$6),$D$6+($B$6-P52)/($B$6-$B$7)*($D$7-$D$6),IF(P52&lt;=$B$6,$D$6)))))))))))))))))</f>
        <v/>
      </c>
      <c r="R52" s="117"/>
      <c r="S52" s="117"/>
      <c r="T52" s="118" t="str">
        <f>IFERROR(R54/R53,"")</f>
        <v/>
      </c>
      <c r="U52" s="93"/>
      <c r="V52" s="115" t="str">
        <f>IF(W51="","","Frasco")</f>
        <v/>
      </c>
      <c r="W52" s="95" t="str">
        <f>IF('Entrada das massas'!S32="","",IF(AND('Entrada das massas'!S32&lt;=$B$20,'Entrada das massas'!S32&gt;$B$19),'Entrada das massas'!S32-((($C$20-$C$19)*($B$20-'Entrada das massas'!S32)+($B$19*$C$20)-($B$20*$C$20))/($B$19-$B$20)),IF(AND('Entrada das massas'!S32&lt;=$B$19,'Entrada das massas'!S32&gt;$B$18),'Entrada das massas'!S32-((($C$19-$C$18)*($B$19-'Entrada das massas'!S32)+($B$18*$C$19)-($B$19*$C$19))/($B$18-$B$19)),IF(AND('Entrada das massas'!S32&lt;=$B$18,'Entrada das massas'!S32&gt;$B$17),'Entrada das massas'!S32-((($C$18-$C$17)*($B$18-'Entrada das massas'!S32)+($B$17*$C$18)-($B$18*$C$18))/($B$17-$B$18)),IF(AND('Entrada das massas'!S32&lt;=$B$17,'Entrada das massas'!S32&gt;$B$16),'Entrada das massas'!S32-((($C$17-$C$16)*($B$17-'Entrada das massas'!S32)+($B$16*$C$17)-($B$17*$C$17))/($B$16-$B$17)),IF(AND('Entrada das massas'!S32&lt;=$B$16,'Entrada das massas'!S32&gt;$B$15),'Entrada das massas'!S32-((($C$16-$C$15)*($B$16-'Entrada das massas'!S32)+($B$15*$C$16)-($B$16*$C$16))/($B$15-$B$16)),IF(AND('Entrada das massas'!S32&lt;=$B$15,'Entrada das massas'!S32&gt;$B$14),'Entrada das massas'!S32-((($C$15-$C$14)*($B$15-'Entrada das massas'!S32)+($B$14*$C$15)-($B$15*$C$15))/($B$14-$B$15)),IF(AND('Entrada das massas'!S32&lt;=$B$14,'Entrada das massas'!S32&gt;$B$13),'Entrada das massas'!S32-((($C$14-$C$13)*($B$14-'Entrada das massas'!S32)+($B$13*$C$14)-($B$14*$C$14))/($B$13-$B$14)),IF(AND('Entrada das massas'!S32&lt;=$B$13,'Entrada das massas'!S32&gt;$B$12),'Entrada das massas'!S32-((($C$13-$C$12)*($B$13-'Entrada das massas'!S32)+($B$12*$C$13)-($B$13*$C$13))/($B$12-$B$13)),IF(AND('Entrada das massas'!S32&lt;=$B$12,'Entrada das massas'!S32&gt;$B$11),'Entrada das massas'!S32-((($C$12-$C$11)*($B$12-'Entrada das massas'!S32)+($B$11*$C$12)-($B$12*$C$12))/($B$11-$B$12)),IF(AND('Entrada das massas'!S32&lt;=$B$11,'Entrada das massas'!S32&gt;$B$10),'Entrada das massas'!S32-((($C$11-$C$10)*($B$11-'Entrada das massas'!S32)+($B$10*$C$11)-($B$11*$C$11))/($B$10-$B$11)),IF(AND('Entrada das massas'!S32&lt;=$B$10,'Entrada das massas'!S32&gt;$B$9),'Entrada das massas'!S32-((($C$10-$C$9)*($B$10-'Entrada das massas'!S32)+($B$9*$C$10)-($B$10*$C$10))/($B$9-$B$10)),IF(AND('Entrada das massas'!S32&lt;=$B$9,'Entrada das massas'!S32&gt;$B$8),'Entrada das massas'!S32-((($C$9-$C$8)*($B$9-'Entrada das massas'!S32)+($B$8*$C$9)-($B$9*$C$9))/($B$8-$B$9)),IF(AND('Entrada das massas'!S32&lt;=$B$8,'Entrada das massas'!S32&gt;$B$7),'Entrada das massas'!S32-((($C$8-$C$7)*($B$8-'Entrada das massas'!S32)+($B$7*$C$8)-($B$8*$C$8))/($B$7-$B$8)),IF(AND('Entrada das massas'!S32&lt;=$B$7,'Entrada das massas'!S32&gt;$B$6),'Entrada das massas'!S32-((($C$7-$C$6)*($B$7-'Entrada das massas'!S32)+($B$6*$C$7)-($B$7*$C$7))/($B$6-$B$7)),IF(AND('Entrada das massas'!S32&lt;=$B$6,'Entrada das massas'!S32&gt;$B$5),'Entrada das massas'!S32-((($C$6-$C$5)*($B$6-'Entrada das massas'!S32)+($B$5*$C$6)-($B$6*$C$6))/($B$5-$B$6)),IF('Entrada das massas'!S32&lt;=$B$5,'Entrada das massas'!S32-$C$5)))))))))))))))))</f>
        <v/>
      </c>
      <c r="X52" s="117" t="str">
        <f>IF(W52="","",(IF(AND(W52&lt;=$B$20,W52&gt;$B$19),$D$19+($B$19-W52)/($B$19-$B$20)*($D$20-$D$19),IF(AND(W52&lt;=$B$19,W52&gt;$B$18),$D$18+($B$18-W52)/($B$18-$B$19)*($D$19-$D$18),IF(AND(W52&lt;=$B$18,W52&gt;$B$17),$D$17+($B$17-W52)/($B$17-$B$18)*($D$18-$D$17),IF(AND(W52&lt;=$B$17,W52&gt;$B$16),$D$16+($B$16-W52)/($B$16-$B$17)*($D$17-$D$16),IF(AND(W52&lt;=$B$16,W52&gt;$B$15),$D$15+($B$15-W52)/($B$15-$B$16)*($D$16-$D$15),IF(AND(W52&lt;=$B$15,W52&gt;$B$14),$D$14+($B$14-W52)/($B$14-$B$15)*($D$15-$D$14),IF(AND(W52&lt;=$B$14,W52&gt;$B$13),$D$13+($B$13-W52)/($B$13-$B$14)*($D$14-$D$13),IF(AND(W52&lt;=$B$13,W52&gt;$B$12),$D$12+($B$12-W52)/($B$12-$B$13)*($D$13-$D$12),IF(AND(W52&lt;=$B$12,W52&gt;$B$11),$D$11+($B$11-W52)/($B$11-$B$12)*($D$12-$D$11),IF(AND(W52&lt;=$B$11,W52&gt;$B$10),$D$10+($B$10-W52)/($B$10-$B$11)*($D$11-$D$10),IF(AND(W52&lt;=$B$10,W52&gt;$B$9),$D$9+($B$9-W52)/($B$9-$B$10)*($D$10-$D$9),IF(AND(W52&lt;=$B$9,W52&gt;$B$8),$D$8+($B$8-W52)/($B$8-$B$9)*($D$9-$D$8),IF(AND(W52&lt;=$B$8,W52&gt;$B$7),$D$7+($B$7-W52)/($B$7-$B$8)*($D$8-$D$7),IF(AND(W52&lt;=$B$7,W52&gt;$B$6),$D$6+($B$6-W52)/($B$6-$B$7)*($D$7-$D$6),IF(W52&lt;=$B$6,$D$6)))))))))))))))))</f>
        <v/>
      </c>
      <c r="Y52" s="117"/>
      <c r="Z52" s="117"/>
      <c r="AA52" s="118" t="str">
        <f>IFERROR(Y54/Y53,"")</f>
        <v/>
      </c>
      <c r="AB52" s="100"/>
      <c r="AC52" s="101"/>
      <c r="AD52" s="318"/>
      <c r="AE52" s="318"/>
      <c r="AF52" s="318"/>
      <c r="AG52" s="318"/>
      <c r="AH52" s="318"/>
      <c r="AI52" s="101"/>
      <c r="AJ52" s="101"/>
      <c r="AK52" s="101"/>
      <c r="AL52" s="101"/>
      <c r="AM52" s="98"/>
      <c r="AN52" s="98"/>
      <c r="AO52" s="98"/>
      <c r="AP52" s="98"/>
      <c r="AQ52" s="98"/>
      <c r="AR52" s="98"/>
      <c r="AS52" s="98"/>
      <c r="AT52" s="98"/>
    </row>
    <row r="53" spans="1:46" s="98" customFormat="1" x14ac:dyDescent="0.2">
      <c r="A53" s="110" t="s">
        <v>59</v>
      </c>
      <c r="B53" s="111">
        <f>IF(AND('Entrada das massas'!C33&lt;=$B$20,'Entrada das massas'!C33&gt;$B$19),'Entrada das massas'!C33-((($C$20-$C$19)*($B$20-'Entrada das massas'!C33)+($B$19*$C$20)-($B$20*$C$20))/($B$19-$B$20)),IF(AND('Entrada das massas'!C33&lt;=$B$19,'Entrada das massas'!C33&gt;$B$18),'Entrada das massas'!C33-((($C$19-$C$18)*($B$19-'Entrada das massas'!C33)+($B$18*$C$19)-($B$19*$C$19))/($B$18-$B$19)),IF(AND('Entrada das massas'!C33&lt;=$B$18,'Entrada das massas'!C33&gt;$B$17),'Entrada das massas'!C33-((($C$18-$C$17)*($B$18-'Entrada das massas'!C33)+($B$17*$C$18)-($B$18*$C$18))/($B$17-$B$18)),IF(AND('Entrada das massas'!C33&lt;=$B$17,'Entrada das massas'!C33&gt;$B$16),'Entrada das massas'!C33-((($C$17-$C$16)*($B$17-'Entrada das massas'!C33)+($B$16*$C$17)-($B$17*$C$17))/($B$16-$B$17)),IF(AND('Entrada das massas'!C33&lt;=$B$16,'Entrada das massas'!C33&gt;$B$15),'Entrada das massas'!C33-((($C$16-$C$15)*($B$16-'Entrada das massas'!C33)+($B$15*$C$16)-($B$16*$C$16))/($B$15-$B$16)),IF(AND('Entrada das massas'!C33&lt;=$B$15,'Entrada das massas'!C33&gt;$B$14),'Entrada das massas'!C33-((($C$15-$C$14)*($B$15-'Entrada das massas'!C33)+($B$14*$C$15)-($B$15*$C$15))/($B$14-$B$15)),IF(AND('Entrada das massas'!C33&lt;=$B$14,'Entrada das massas'!C33&gt;$B$13),'Entrada das massas'!C33-((($C$14-$C$13)*($B$14-'Entrada das massas'!C33)+($B$13*$C$14)-($B$14*$C$14))/($B$13-$B$14)),IF(AND('Entrada das massas'!C33&lt;=$B$13,'Entrada das massas'!C33&gt;$B$12),'Entrada das massas'!C33-((($C$13-$C$12)*($B$13-'Entrada das massas'!C33)+($B$12*$C$13)-($B$13*$C$13))/($B$12-$B$13)),IF(AND('Entrada das massas'!C33&lt;=$B$12,'Entrada das massas'!C33&gt;$B$11),'Entrada das massas'!C33-((($C$12-$C$11)*($B$12-'Entrada das massas'!C33)+($B$11*$C$12)-($B$12*$C$12))/($B$11-$B$12)), IF(AND('Entrada das massas'!C33&lt;=$B$11,'Entrada das massas'!C33&gt;$B$10),'Entrada das massas'!C33-((($C$11-$C$10)*($B$11-'Entrada das massas'!C33)+($B$10*$C$11)-($B$11*$C$11))/($B$10-$B$11)),IF(AND('Entrada das massas'!C33&lt;=$B$10,'Entrada das massas'!C33&gt;$B$9),'Entrada das massas'!C33-((($C$10-$C$9)*($B$10-'Entrada das massas'!C33)+($B$9*$C$10)-($B$10*$C$10))/($B$9-$B$10)),IF(AND('Entrada das massas'!C33&lt;=$B$9,'Entrada das massas'!C33&gt;$B$8),'Entrada das massas'!C33-((($C$9-$C$8)*($B$9-'Entrada das massas'!C33)+($B$8*$C$9)-($B$9*$C$9))/($B$8-$B$9)),IF(AND('Entrada das massas'!C33&lt;=$B$8,'Entrada das massas'!C33&gt;$B$7),'Entrada das massas'!C33-((($C$8-$C$7)*($B$8-'Entrada das massas'!C33)+($B$7*$C$8)-($B$8*$C$8))/($B$7-$B$8)),IF(AND('Entrada das massas'!C33&lt;=$B$7,'Entrada das massas'!C33&gt;$B$6),'Entrada das massas'!C33-((($C$7-$C$6)*($B$7-'Entrada das massas'!C33)+($B$6*$C$7)-($B$7*$C$7))/($B$6-$B$7)),IF(AND('Entrada das massas'!C33&lt;=$B$6,'Entrada das massas'!C33&gt;$B$5),'Entrada das massas'!C33-((($C$6-$C$5)*($B$6-'Entrada das massas'!C33)+($B$5*$C$6)-($B$6*$C$6))/($B$5-$B$6)),IF('Entrada das massas'!C33&lt;=$B$5,'Entrada das massas'!C33-$C$5))))))))))))))))</f>
        <v>15.53373893254</v>
      </c>
      <c r="C53" s="112">
        <f>(IF(AND(B53&lt;=$B$20,B53&gt;$B$19),$D$19+($B$19-B53)/($B$19-$B$20)*($D$20-$D$19),IF(AND(B53&lt;=$B$19,B53&gt;$B$18),$D$18+($B$18-B53)/($B$18-$B$19)*($D$19-$D$18),IF(AND(B53&lt;=$B$18,B53&gt;$B$17),$D$17+($B$17-B53)/($B$17-$B$18)*($D$18-$D$17),IF(AND(B53&lt;=$B$17,B53&gt;$B$16),$D$16+($B$16-B53)/($B$16-$B$17)*($D$17-$D$16),IF(AND(B53&lt;=$B$16,B53&gt;$B$15),$D$15+($B$15-B53)/($B$15-$B$16)*($D$16-$D$15),IF(AND(B53&lt;=$B$15,B53&gt;$B$14),$D$14+($B$14-B53)/($B$14-$B$15)*($D$15-$D$14),IF(AND(B53&lt;=$B$14,B53&gt;$B$13),$D$13+($B$13-B53)/($B$13-$B$14)*($D$14-$D$13),IF(AND(B53&lt;=$B$13,B53&gt;$B$12),$D$12+($B$12-B53)/($B$12-$B$13)*($D$13-$D$12),IF(AND(B53&lt;=$B$12,B53&gt;$B$11),$D$11+($B$11-B53)/($B$11-$B$12)*($D$12-$D$11),IF(AND(B53&lt;=$B$11,B53&gt;$B$10),$D$10+($B$10-B53)/($B$10-$B$11)*($D$11-$D$10),IF(AND(B53&lt;=$B$10,B53&gt;$B$9),$D$9+($B$9-B53)/($B$9-$B$10)*($D$10-$D$9),IF(AND(B53&lt;=$B$9,B53&gt;$B$8),$D$8+($B$8-B53)/($B$8-$B$9)*($D$9-$D$8),IF(AND(B53&lt;=$B$8,B53&gt;$B$7),$D$7+($B$7-B53)/($B$7-$B$8)*($D$8-$D$7),IF(AND(B53&lt;=$B$7,B53&gt;$B$6),$D$6+($B$6-B53)/($B$6-$B$7)*($D$7-$D$6),IF(B53&lt;=$B$6,$D$6))))))))))))))))</f>
        <v>1.0000000000000001E-5</v>
      </c>
      <c r="D53" s="110" t="s">
        <v>146</v>
      </c>
      <c r="E53" s="119">
        <f>B53-B52</f>
        <v>0.90852818294000137</v>
      </c>
      <c r="F53" s="112">
        <f>SQRT(SUMSQ(C52:C53))</f>
        <v>1.4142135623730951E-5</v>
      </c>
      <c r="H53" s="115" t="str">
        <f>IF(I51="","","Frasco + Amostra")</f>
        <v>Frasco + Amostra</v>
      </c>
      <c r="I53" s="116">
        <f>IF('Entrada das massas'!I33="","",IF(AND('Entrada das massas'!I33&lt;=$B$20,'Entrada das massas'!I33&gt;$B$19),'Entrada das massas'!I33-((($C$20-$C$19)*($B$20-'Entrada das massas'!I33)+($B$19*$C$20)-($B$20*$C$20))/($B$19-$B$20)),IF(AND('Entrada das massas'!I33&lt;=$B$19,'Entrada das massas'!I33&gt;$B$18),'Entrada das massas'!I33-((($C$19-$C$18)*($B$19-'Entrada das massas'!I33)+($B$18*$C$19)-($B$19*$C$19))/($B$18-$B$19)),IF(AND('Entrada das massas'!I33&lt;=$B$18,'Entrada das massas'!I33&gt;$B$17),'Entrada das massas'!I33-((($C$18-$C$17)*($B$18-'Entrada das massas'!I33)+($B$17*$C$18)-($B$18*$C$18))/($B$17-$B$18)),IF(AND('Entrada das massas'!I33&lt;=$B$17,'Entrada das massas'!I33&gt;$B$16),'Entrada das massas'!I33-((($C$17-$C$16)*($B$17-'Entrada das massas'!I33)+($B$16*$C$17)-($B$17*$C$17))/($B$16-$B$17)),IF(AND('Entrada das massas'!I33&lt;=$B$16,'Entrada das massas'!I33&gt;$B$15),'Entrada das massas'!I33-((($C$16-$C$15)*($B$16-'Entrada das massas'!I33)+($B$15*$C$16)-($B$16*$C$16))/($B$15-$B$16)),IF(AND('Entrada das massas'!I33&lt;=$B$15,'Entrada das massas'!I33&gt;$B$14),'Entrada das massas'!I33-((($C$15-$C$14)*($B$15-'Entrada das massas'!I33)+($B$14*$C$15)-($B$15*$C$15))/($B$14-$B$15)),IF(AND('Entrada das massas'!I33&lt;=$B$14,'Entrada das massas'!I33&gt;$B$13),'Entrada das massas'!I33-((($C$14-$C$13)*($B$14-'Entrada das massas'!I33)+($B$13*$C$14)-($B$14*$C$14))/($B$13-$B$14)),IF(AND('Entrada das massas'!I33&lt;=$B$13,'Entrada das massas'!I33&gt;$B$12),'Entrada das massas'!I33-((($C$13-$C$12)*($B$13-'Entrada das massas'!I33)+($B$12*$C$13)-($B$13*$C$13))/($B$12-$B$13)),IF(AND('Entrada das massas'!I33&lt;=$B$12,'Entrada das massas'!I33&gt;$B$11),'Entrada das massas'!I33-((($C$12-$C$11)*($B$12-'Entrada das massas'!I33)+($B$11*$C$12)-($B$12*$C$12))/($B$11-$B$12)),IF(AND('Entrada das massas'!I33&lt;=$B$11,'Entrada das massas'!I33&gt;$B$10),'Entrada das massas'!I33-((($C$11-$C$10)*($B$11-'Entrada das massas'!I33)+($B$10*$C$11)-($B$11*$C$11))/($B$10-$B$11)),IF(AND('Entrada das massas'!I33&lt;=$B$10,'Entrada das massas'!I33&gt;$B$9),'Entrada das massas'!I33-((($C$10-$C$9)*($B$10-'Entrada das massas'!I33)+($B$9*$C$10)-($B$10*$C$10))/($B$9-$B$10)),IF(AND('Entrada das massas'!I33&lt;=$B$9,'Entrada das massas'!I33&gt;$B$8),'Entrada das massas'!I33-((($C$9-$C$8)*($B$9-'Entrada das massas'!I33)+($B$8*$C$9)-($B$9*$C$9))/($B$8-$B$9)),IF(AND('Entrada das massas'!I33&lt;=$B$8,'Entrada das massas'!I33&gt;$B$7),'Entrada das massas'!I33-((($C$8-$C$7)*($B$8-'Entrada das massas'!I33)+($B$7*$C$8)-($B$8*$C$8))/($B$7-$B$8)),IF(AND('Entrada das massas'!I33&lt;=$B$7,'Entrada das massas'!I33&gt;$B$6),'Entrada das massas'!I33-((($C$7-$C$6)*($B$7-'Entrada das massas'!I33)+($B$6*$C$7)-($B$7*$C$7))/($B$6-$B$7)),IF(AND('Entrada das massas'!I33&lt;=$B$6,'Entrada das massas'!I33&gt;$B$5),'Entrada das massas'!I33-((($C$6-$C$5)*($B$6-'Entrada das massas'!I33)+($B$5*$C$6)-($B$6*$C$6))/($B$5-$B$6)),IF('Entrada das massas'!I33&lt;=$B$5,'Entrada das massas'!I33-$C$5)))))))))))))))))</f>
        <v>12.620664758699998</v>
      </c>
      <c r="J53" s="117">
        <f t="shared" ref="J53:J54" si="18">IF(I53="","",(IF(AND(I53&lt;=$B$20,I53&gt;$B$19),$D$19+($B$19-I53)/($B$19-$B$20)*($D$20-$D$19),IF(AND(I53&lt;=$B$19,I53&gt;$B$18),$D$18+($B$18-I53)/($B$18-$B$19)*($D$19-$D$18),IF(AND(I53&lt;=$B$18,I53&gt;$B$17),$D$17+($B$17-I53)/($B$17-$B$18)*($D$18-$D$17),IF(AND(I53&lt;=$B$17,I53&gt;$B$16),$D$16+($B$16-I53)/($B$16-$B$17)*($D$17-$D$16),IF(AND(I53&lt;=$B$16,I53&gt;$B$15),$D$15+($B$15-I53)/($B$15-$B$16)*($D$16-$D$15),IF(AND(I53&lt;=$B$15,I53&gt;$B$14),$D$14+($B$14-I53)/($B$14-$B$15)*($D$15-$D$14),IF(AND(I53&lt;=$B$14,I53&gt;$B$13),$D$13+($B$13-I53)/($B$13-$B$14)*($D$14-$D$13),IF(AND(I53&lt;=$B$13,I53&gt;$B$12),$D$12+($B$12-I53)/($B$12-$B$13)*($D$13-$D$12),IF(AND(I53&lt;=$B$12,I53&gt;$B$11),$D$11+($B$11-I53)/($B$11-$B$12)*($D$12-$D$11),IF(AND(I53&lt;=$B$11,I53&gt;$B$10),$D$10+($B$10-I53)/($B$10-$B$11)*($D$11-$D$10),IF(AND(I53&lt;=$B$10,I53&gt;$B$9),$D$9+($B$9-I53)/($B$9-$B$10)*($D$10-$D$9),IF(AND(I53&lt;=$B$9,I53&gt;$B$8),$D$8+($B$8-I53)/($B$8-$B$9)*($D$9-$D$8),IF(AND(I53&lt;=$B$8,I53&gt;$B$7),$D$7+($B$7-I53)/($B$7-$B$8)*($D$8-$D$7),IF(AND(I53&lt;=$B$7,I53&gt;$B$6),$D$6+($B$6-I53)/($B$6-$B$7)*($D$7-$D$6),IF(I53&lt;=$B$6,$D$6)))))))))))))))))</f>
        <v>1.0000000000000001E-5</v>
      </c>
      <c r="K53" s="120">
        <f>IF(I52="","",I53-I52)</f>
        <v>0.30258939482000002</v>
      </c>
      <c r="L53" s="117">
        <f>IF(J52="","",SQRT(SUMSQ(J52:J53)))</f>
        <v>1.4142135623730951E-5</v>
      </c>
      <c r="M53" s="93" t="str">
        <f>IF(I51="","","Amostra")</f>
        <v>Amostra</v>
      </c>
      <c r="N53" s="118"/>
      <c r="O53" s="115" t="str">
        <f>IF(P51="","","Frasco + Amostra")</f>
        <v>Frasco + Amostra</v>
      </c>
      <c r="P53" s="95" t="str">
        <f>IF('Entrada das massas'!N33="","",IF(AND('Entrada das massas'!N33&lt;=$B$20,'Entrada das massas'!N33&gt;$B$19),'Entrada das massas'!N33-((($C$20-$C$19)*($B$20-'Entrada das massas'!N33)+($B$19*$C$20)-($B$20*$C$20))/($B$19-$B$20)),IF(AND('Entrada das massas'!N33&lt;=$B$19,'Entrada das massas'!N33&gt;$B$18),'Entrada das massas'!N33-((($C$19-$C$18)*($B$19-'Entrada das massas'!N33)+($B$18*$C$19)-($B$19*$C$19))/($B$18-$B$19)),IF(AND('Entrada das massas'!N33&lt;=$B$18,'Entrada das massas'!N33&gt;$B$17),'Entrada das massas'!N33-((($C$18-$C$17)*($B$18-'Entrada das massas'!N33)+($B$17*$C$18)-($B$18*$C$18))/($B$17-$B$18)),IF(AND('Entrada das massas'!N33&lt;=$B$17,'Entrada das massas'!N33&gt;$B$16),'Entrada das massas'!N33-((($C$17-$C$16)*($B$17-'Entrada das massas'!N33)+($B$16*$C$17)-($B$17*$C$17))/($B$16-$B$17)),IF(AND('Entrada das massas'!N33&lt;=$B$16,'Entrada das massas'!N33&gt;$B$15),'Entrada das massas'!N33-((($C$16-$C$15)*($B$16-'Entrada das massas'!N33)+($B$15*$C$16)-($B$16*$C$16))/($B$15-$B$16)),IF(AND('Entrada das massas'!N33&lt;=$B$15,'Entrada das massas'!N33&gt;$B$14),'Entrada das massas'!N33-((($C$15-$C$14)*($B$15-'Entrada das massas'!N33)+($B$14*$C$15)-($B$15*$C$15))/($B$14-$B$15)),IF(AND('Entrada das massas'!N33&lt;=$B$14,'Entrada das massas'!N33&gt;$B$13),'Entrada das massas'!N33-((($C$14-$C$13)*($B$14-'Entrada das massas'!N33)+($B$13*$C$14)-($B$14*$C$14))/($B$13-$B$14)),IF(AND('Entrada das massas'!N33&lt;=$B$13,'Entrada das massas'!N33&gt;$B$12),'Entrada das massas'!N33-((($C$13-$C$12)*($B$13-'Entrada das massas'!N33)+($B$12*$C$13)-($B$13*$C$13))/($B$12-$B$13)),IF(AND('Entrada das massas'!N33&lt;=$B$12,'Entrada das massas'!N33&gt;$B$11),'Entrada das massas'!N33-((($C$12-$C$11)*($B$12-'Entrada das massas'!N33)+($B$11*$C$12)-($B$12*$C$12))/($B$11-$B$12)),IF(AND('Entrada das massas'!N33&lt;=$B$11,'Entrada das massas'!N33&gt;$B$10),'Entrada das massas'!N33-((($C$11-$C$10)*($B$11-'Entrada das massas'!N33)+($B$10*$C$11)-($B$11*$C$11))/($B$10-$B$11)),IF(AND('Entrada das massas'!N33&lt;=$B$10,'Entrada das massas'!N33&gt;$B$9),'Entrada das massas'!N33-((($C$10-$C$9)*($B$10-'Entrada das massas'!N33)+($B$9*$C$10)-($B$10*$C$10))/($B$9-$B$10)),IF(AND('Entrada das massas'!N33&lt;=$B$9,'Entrada das massas'!N33&gt;$B$8),'Entrada das massas'!N33-((($C$9-$C$8)*($B$9-'Entrada das massas'!N33)+($B$8*$C$9)-($B$9*$C$9))/($B$8-$B$9)),IF(AND('Entrada das massas'!N33&lt;=$B$8,'Entrada das massas'!N33&gt;$B$7),'Entrada das massas'!N33-((($C$8-$C$7)*($B$8-'Entrada das massas'!N33)+($B$7*$C$8)-($B$8*$C$8))/($B$7-$B$8)),IF(AND('Entrada das massas'!N33&lt;=$B$7,'Entrada das massas'!N33&gt;$B$6),'Entrada das massas'!N33-((($C$7-$C$6)*($B$7-'Entrada das massas'!N33)+($B$6*$C$7)-($B$7*$C$7))/($B$6-$B$7)),IF(AND('Entrada das massas'!N33&lt;=$B$6,'Entrada das massas'!N33&gt;$B$5),'Entrada das massas'!N33-((($C$6-$C$5)*($B$6-'Entrada das massas'!N33)+($B$5*$C$6)-($B$6*$C$6))/($B$5-$B$6)),IF('Entrada das massas'!N33&lt;=$B$5,'Entrada das massas'!N33-$C$5)))))))))))))))))</f>
        <v/>
      </c>
      <c r="Q53" s="117" t="str">
        <f t="shared" ref="Q53:Q54" si="19">IF(P53="","",(IF(AND(P53&lt;=$B$20,P53&gt;$B$19),$D$19+($B$19-P53)/($B$19-$B$20)*($D$20-$D$19),IF(AND(P53&lt;=$B$19,P53&gt;$B$18),$D$18+($B$18-P53)/($B$18-$B$19)*($D$19-$D$18),IF(AND(P53&lt;=$B$18,P53&gt;$B$17),$D$17+($B$17-P53)/($B$17-$B$18)*($D$18-$D$17),IF(AND(P53&lt;=$B$17,P53&gt;$B$16),$D$16+($B$16-P53)/($B$16-$B$17)*($D$17-$D$16),IF(AND(P53&lt;=$B$16,P53&gt;$B$15),$D$15+($B$15-P53)/($B$15-$B$16)*($D$16-$D$15),IF(AND(P53&lt;=$B$15,P53&gt;$B$14),$D$14+($B$14-P53)/($B$14-$B$15)*($D$15-$D$14),IF(AND(P53&lt;=$B$14,P53&gt;$B$13),$D$13+($B$13-P53)/($B$13-$B$14)*($D$14-$D$13),IF(AND(P53&lt;=$B$13,P53&gt;$B$12),$D$12+($B$12-P53)/($B$12-$B$13)*($D$13-$D$12),IF(AND(P53&lt;=$B$12,P53&gt;$B$11),$D$11+($B$11-P53)/($B$11-$B$12)*($D$12-$D$11),IF(AND(P53&lt;=$B$11,P53&gt;$B$10),$D$10+($B$10-P53)/($B$10-$B$11)*($D$11-$D$10),IF(AND(P53&lt;=$B$10,P53&gt;$B$9),$D$9+($B$9-P53)/($B$9-$B$10)*($D$10-$D$9),IF(AND(P53&lt;=$B$9,P53&gt;$B$8),$D$8+($B$8-P53)/($B$8-$B$9)*($D$9-$D$8),IF(AND(P53&lt;=$B$8,P53&gt;$B$7),$D$7+($B$7-P53)/($B$7-$B$8)*($D$8-$D$7),IF(AND(P53&lt;=$B$7,P53&gt;$B$6),$D$6+($B$6-P53)/($B$6-$B$7)*($D$7-$D$6),IF(P53&lt;=$B$6,$D$6)))))))))))))))))</f>
        <v/>
      </c>
      <c r="R53" s="120" t="str">
        <f>IF(P52="","",P53-P52)</f>
        <v/>
      </c>
      <c r="S53" s="117" t="str">
        <f>IF(Q52="","",SQRT(SUMSQ(Q52:Q53)))</f>
        <v/>
      </c>
      <c r="T53" s="93" t="str">
        <f>IF(P51="","","Amostra")</f>
        <v>Amostra</v>
      </c>
      <c r="U53" s="118"/>
      <c r="V53" s="115" t="str">
        <f>IF(W51="","","Frasco + Amostra")</f>
        <v/>
      </c>
      <c r="W53" s="95" t="str">
        <f>IF('Entrada das massas'!S33="","",IF(AND('Entrada das massas'!S33&lt;=$B$20,'Entrada das massas'!S33&gt;$B$19),'Entrada das massas'!S33-((($C$20-$C$19)*($B$20-'Entrada das massas'!S33)+($B$19*$C$20)-($B$20*$C$20))/($B$19-$B$20)),IF(AND('Entrada das massas'!S33&lt;=$B$19,'Entrada das massas'!S33&gt;$B$18),'Entrada das massas'!S33-((($C$19-$C$18)*($B$19-'Entrada das massas'!S33)+($B$18*$C$19)-($B$19*$C$19))/($B$18-$B$19)),IF(AND('Entrada das massas'!S33&lt;=$B$18,'Entrada das massas'!S33&gt;$B$17),'Entrada das massas'!S33-((($C$18-$C$17)*($B$18-'Entrada das massas'!S33)+($B$17*$C$18)-($B$18*$C$18))/($B$17-$B$18)),IF(AND('Entrada das massas'!S33&lt;=$B$17,'Entrada das massas'!S33&gt;$B$16),'Entrada das massas'!S33-((($C$17-$C$16)*($B$17-'Entrada das massas'!S33)+($B$16*$C$17)-($B$17*$C$17))/($B$16-$B$17)),IF(AND('Entrada das massas'!S33&lt;=$B$16,'Entrada das massas'!S33&gt;$B$15),'Entrada das massas'!S33-((($C$16-$C$15)*($B$16-'Entrada das massas'!S33)+($B$15*$C$16)-($B$16*$C$16))/($B$15-$B$16)),IF(AND('Entrada das massas'!S33&lt;=$B$15,'Entrada das massas'!S33&gt;$B$14),'Entrada das massas'!S33-((($C$15-$C$14)*($B$15-'Entrada das massas'!S33)+($B$14*$C$15)-($B$15*$C$15))/($B$14-$B$15)),IF(AND('Entrada das massas'!S33&lt;=$B$14,'Entrada das massas'!S33&gt;$B$13),'Entrada das massas'!S33-((($C$14-$C$13)*($B$14-'Entrada das massas'!S33)+($B$13*$C$14)-($B$14*$C$14))/($B$13-$B$14)),IF(AND('Entrada das massas'!S33&lt;=$B$13,'Entrada das massas'!S33&gt;$B$12),'Entrada das massas'!S33-((($C$13-$C$12)*($B$13-'Entrada das massas'!S33)+($B$12*$C$13)-($B$13*$C$13))/($B$12-$B$13)),IF(AND('Entrada das massas'!S33&lt;=$B$12,'Entrada das massas'!S33&gt;$B$11),'Entrada das massas'!S33-((($C$12-$C$11)*($B$12-'Entrada das massas'!S33)+($B$11*$C$12)-($B$12*$C$12))/($B$11-$B$12)),IF(AND('Entrada das massas'!S33&lt;=$B$11,'Entrada das massas'!S33&gt;$B$10),'Entrada das massas'!S33-((($C$11-$C$10)*($B$11-'Entrada das massas'!S33)+($B$10*$C$11)-($B$11*$C$11))/($B$10-$B$11)),IF(AND('Entrada das massas'!S33&lt;=$B$10,'Entrada das massas'!S33&gt;$B$9),'Entrada das massas'!S33-((($C$10-$C$9)*($B$10-'Entrada das massas'!S33)+($B$9*$C$10)-($B$10*$C$10))/($B$9-$B$10)),IF(AND('Entrada das massas'!S33&lt;=$B$9,'Entrada das massas'!S33&gt;$B$8),'Entrada das massas'!S33-((($C$9-$C$8)*($B$9-'Entrada das massas'!S33)+($B$8*$C$9)-($B$9*$C$9))/($B$8-$B$9)),IF(AND('Entrada das massas'!S33&lt;=$B$8,'Entrada das massas'!S33&gt;$B$7),'Entrada das massas'!S33-((($C$8-$C$7)*($B$8-'Entrada das massas'!S33)+($B$7*$C$8)-($B$8*$C$8))/($B$7-$B$8)),IF(AND('Entrada das massas'!S33&lt;=$B$7,'Entrada das massas'!S33&gt;$B$6),'Entrada das massas'!S33-((($C$7-$C$6)*($B$7-'Entrada das massas'!S33)+($B$6*$C$7)-($B$7*$C$7))/($B$6-$B$7)),IF(AND('Entrada das massas'!S33&lt;=$B$6,'Entrada das massas'!S33&gt;$B$5),'Entrada das massas'!S33-((($C$6-$C$5)*($B$6-'Entrada das massas'!S33)+($B$5*$C$6)-($B$6*$C$6))/($B$5-$B$6)),IF('Entrada das massas'!S33&lt;=$B$5,'Entrada das massas'!S33-$C$5)))))))))))))))))</f>
        <v/>
      </c>
      <c r="X53" s="117" t="str">
        <f t="shared" ref="X53:X54" si="20">IF(W53="","",(IF(AND(W53&lt;=$B$20,W53&gt;$B$19),$D$19+($B$19-W53)/($B$19-$B$20)*($D$20-$D$19),IF(AND(W53&lt;=$B$19,W53&gt;$B$18),$D$18+($B$18-W53)/($B$18-$B$19)*($D$19-$D$18),IF(AND(W53&lt;=$B$18,W53&gt;$B$17),$D$17+($B$17-W53)/($B$17-$B$18)*($D$18-$D$17),IF(AND(W53&lt;=$B$17,W53&gt;$B$16),$D$16+($B$16-W53)/($B$16-$B$17)*($D$17-$D$16),IF(AND(W53&lt;=$B$16,W53&gt;$B$15),$D$15+($B$15-W53)/($B$15-$B$16)*($D$16-$D$15),IF(AND(W53&lt;=$B$15,W53&gt;$B$14),$D$14+($B$14-W53)/($B$14-$B$15)*($D$15-$D$14),IF(AND(W53&lt;=$B$14,W53&gt;$B$13),$D$13+($B$13-W53)/($B$13-$B$14)*($D$14-$D$13),IF(AND(W53&lt;=$B$13,W53&gt;$B$12),$D$12+($B$12-W53)/($B$12-$B$13)*($D$13-$D$12),IF(AND(W53&lt;=$B$12,W53&gt;$B$11),$D$11+($B$11-W53)/($B$11-$B$12)*($D$12-$D$11),IF(AND(W53&lt;=$B$11,W53&gt;$B$10),$D$10+($B$10-W53)/($B$10-$B$11)*($D$11-$D$10),IF(AND(W53&lt;=$B$10,W53&gt;$B$9),$D$9+($B$9-W53)/($B$9-$B$10)*($D$10-$D$9),IF(AND(W53&lt;=$B$9,W53&gt;$B$8),$D$8+($B$8-W53)/($B$8-$B$9)*($D$9-$D$8),IF(AND(W53&lt;=$B$8,W53&gt;$B$7),$D$7+($B$7-W53)/($B$7-$B$8)*($D$8-$D$7),IF(AND(W53&lt;=$B$7,W53&gt;$B$6),$D$6+($B$6-W53)/($B$6-$B$7)*($D$7-$D$6),IF(W53&lt;=$B$6,$D$6)))))))))))))))))</f>
        <v/>
      </c>
      <c r="Y53" s="120" t="str">
        <f>IF(W52="","",W53-W52)</f>
        <v/>
      </c>
      <c r="Z53" s="117" t="str">
        <f>IF(X52="","",SQRT(SUMSQ(X52:X53)))</f>
        <v/>
      </c>
      <c r="AA53" s="93" t="str">
        <f>IF(W51="","","Amostra")</f>
        <v/>
      </c>
      <c r="AB53" s="100"/>
      <c r="AC53" s="101"/>
      <c r="AD53" s="93"/>
      <c r="AE53" s="101"/>
      <c r="AF53" s="101"/>
      <c r="AG53" s="101"/>
      <c r="AH53" s="145"/>
      <c r="AI53" s="101"/>
      <c r="AJ53" s="101"/>
      <c r="AK53" s="101"/>
      <c r="AL53" s="101"/>
    </row>
    <row r="54" spans="1:46" s="98" customFormat="1" x14ac:dyDescent="0.2">
      <c r="A54" s="122" t="s">
        <v>58</v>
      </c>
      <c r="B54" s="111">
        <f>IF(AND('Entrada das massas'!C34&lt;=$B$20,'Entrada das massas'!C34&gt;$B$19),'Entrada das massas'!C34-((($C$20-$C$19)*($B$20-'Entrada das massas'!C34)+($B$19*$C$20)-($B$20*$C$20))/($B$19-$B$20)),IF(AND('Entrada das massas'!C34&lt;=$B$19,'Entrada das massas'!C34&gt;$B$18),'Entrada das massas'!C34-((($C$19-$C$18)*($B$19-'Entrada das massas'!C34)+($B$18*$C$19)-($B$19*$C$19))/($B$18-$B$19)),IF(AND('Entrada das massas'!C34&lt;=$B$18,'Entrada das massas'!C34&gt;$B$17),'Entrada das massas'!C34-((($C$18-$C$17)*($B$18-'Entrada das massas'!C34)+($B$17*$C$18)-($B$18*$C$18))/($B$17-$B$18)),IF(AND('Entrada das massas'!C34&lt;=$B$17,'Entrada das massas'!C34&gt;$B$16),'Entrada das massas'!C34-((($C$17-$C$16)*($B$17-'Entrada das massas'!C34)+($B$16*$C$17)-($B$17*$C$17))/($B$16-$B$17)),IF(AND('Entrada das massas'!C34&lt;=$B$16,'Entrada das massas'!C34&gt;$B$15),'Entrada das massas'!C34-((($C$16-$C$15)*($B$16-'Entrada das massas'!C34)+($B$15*$C$16)-($B$16*$C$16))/($B$15-$B$16)),IF(AND('Entrada das massas'!C34&lt;=$B$15,'Entrada das massas'!C34&gt;$B$14),'Entrada das massas'!C34-((($C$15-$C$14)*($B$15-'Entrada das massas'!C34)+($B$14*$C$15)-($B$15*$C$15))/($B$14-$B$15)),IF(AND('Entrada das massas'!C34&lt;=$B$14,'Entrada das massas'!C34&gt;$B$13),'Entrada das massas'!C34-((($C$14-$C$13)*($B$14-'Entrada das massas'!C34)+($B$13*$C$14)-($B$14*$C$14))/($B$13-$B$14)),IF(AND('Entrada das massas'!C34&lt;=$B$13,'Entrada das massas'!C34&gt;$B$12),'Entrada das massas'!C34-((($C$13-$C$12)*($B$13-'Entrada das massas'!C34)+($B$12*$C$13)-($B$13*$C$13))/($B$12-$B$13)),IF(AND('Entrada das massas'!C34&lt;=$B$12,'Entrada das massas'!C34&gt;$B$11),'Entrada das massas'!C34-((($C$12-$C$11)*($B$12-'Entrada das massas'!C34)+($B$11*$C$12)-($B$12*$C$12))/($B$11-$B$12)), IF(AND('Entrada das massas'!C34&lt;=$B$11,'Entrada das massas'!C34&gt;$B$10),'Entrada das massas'!C34-((($C$11-$C$10)*($B$11-'Entrada das massas'!C34)+($B$10*$C$11)-($B$11*$C$11))/($B$10-$B$11)),IF(AND('Entrada das massas'!C34&lt;=$B$10,'Entrada das massas'!C34&gt;$B$9),'Entrada das massas'!C34-((($C$10-$C$9)*($B$10-'Entrada das massas'!C34)+($B$9*$C$10)-($B$10*$C$10))/($B$9-$B$10)),IF(AND('Entrada das massas'!C34&lt;=$B$9,'Entrada das massas'!C34&gt;$B$8),'Entrada das massas'!C34-((($C$9-$C$8)*($B$9-'Entrada das massas'!C34)+($B$8*$C$9)-($B$9*$C$9))/($B$8-$B$9)),IF(AND('Entrada das massas'!C34&lt;=$B$8,'Entrada das massas'!C34&gt;$B$7),'Entrada das massas'!C34-((($C$8-$C$7)*($B$8-'Entrada das massas'!C34)+($B$7*$C$8)-($B$8*$C$8))/($B$7-$B$8)),IF(AND('Entrada das massas'!C34&lt;=$B$7,'Entrada das massas'!C34&gt;$B$6),'Entrada das massas'!C34-((($C$7-$C$6)*($B$7-'Entrada das massas'!C34)+($B$6*$C$7)-($B$7*$C$7))/($B$6-$B$7)),IF(AND('Entrada das massas'!C34&lt;=$B$6,'Entrada das massas'!C34&gt;$B$5),'Entrada das massas'!C34-((($C$6-$C$5)*($B$6-'Entrada das massas'!C34)+($B$5*$C$6)-($B$6*$C$6))/($B$5-$B$6)),IF('Entrada das massas'!C34&lt;=$B$5,'Entrada das massas'!C34-$C$5))))))))))))))))</f>
        <v>64.59200459197001</v>
      </c>
      <c r="C54" s="112">
        <f>(IF(AND(B54&lt;=$B$20,B54&gt;$B$19),$D$19+($B$19-B54)/($B$19-$B$20)*($D$20-$D$19),IF(AND(B54&lt;=$B$19,B54&gt;$B$18),$D$18+($B$18-B54)/($B$18-$B$19)*($D$19-$D$18),IF(AND(B54&lt;=$B$18,B54&gt;$B$17),$D$17+($B$17-B54)/($B$17-$B$18)*($D$18-$D$17),IF(AND(B54&lt;=$B$17,B54&gt;$B$16),$D$16+($B$16-B54)/($B$16-$B$17)*($D$17-$D$16),IF(AND(B54&lt;=$B$16,B54&gt;$B$15),$D$15+($B$15-B54)/($B$15-$B$16)*($D$16-$D$15),IF(AND(B54&lt;=$B$15,B54&gt;$B$14),$D$14+($B$14-B54)/($B$14-$B$15)*($D$15-$D$14),IF(AND(B54&lt;=$B$14,B54&gt;$B$13),$D$13+($B$13-B54)/($B$13-$B$14)*($D$14-$D$13),IF(AND(B54&lt;=$B$13,B54&gt;$B$12),$D$12+($B$12-B54)/($B$12-$B$13)*($D$13-$D$12),IF(AND(B54&lt;=$B$12,B54&gt;$B$11),$D$11+($B$11-B54)/($B$11-$B$12)*($D$12-$D$11),IF(AND(B54&lt;=$B$11,B54&gt;$B$10),$D$10+($B$10-B54)/($B$10-$B$11)*($D$11-$D$10),IF(AND(B54&lt;=$B$10,B54&gt;$B$9),$D$9+($B$9-B54)/($B$9-$B$10)*($D$10-$D$9),IF(AND(B54&lt;=$B$9,B54&gt;$B$8),$D$8+($B$8-B54)/($B$8-$B$9)*($D$9-$D$8),IF(AND(B54&lt;=$B$8,B54&gt;$B$7),$D$7+($B$7-B54)/($B$7-$B$8)*($D$8-$D$7),IF(AND(B54&lt;=$B$7,B54&gt;$B$6),$D$6+($B$6-B54)/($B$6-$B$7)*($D$7-$D$6),IF(B54&lt;=$B$6,$D$6))))))))))))))))</f>
        <v>2.5000000000000001E-5</v>
      </c>
      <c r="D54" s="113" t="s">
        <v>157</v>
      </c>
      <c r="E54" s="119">
        <f>B54-B52</f>
        <v>49.966793842370009</v>
      </c>
      <c r="F54" s="112">
        <f>SQRT(SUMSQ(C52,C54))</f>
        <v>2.6925824035672523E-5</v>
      </c>
      <c r="H54" s="123" t="str">
        <f>IF(I51="","","Massa final")</f>
        <v>Massa final</v>
      </c>
      <c r="I54" s="116">
        <f>IF('Entrada das massas'!I34="","",IF(AND('Entrada das massas'!I34&lt;=$B$20,'Entrada das massas'!I34&gt;$B$19),'Entrada das massas'!I34-((($C$20-$C$19)*($B$20-'Entrada das massas'!I34)+($B$19*$C$20)-($B$20*$C$20))/($B$19-$B$20)),IF(AND('Entrada das massas'!I34&lt;=$B$19,'Entrada das massas'!I34&gt;$B$18),'Entrada das massas'!I34-((($C$19-$C$18)*($B$19-'Entrada das massas'!I34)+($B$18*$C$19)-($B$19*$C$19))/($B$18-$B$19)),IF(AND('Entrada das massas'!I34&lt;=$B$18,'Entrada das massas'!I34&gt;$B$17),'Entrada das massas'!I34-((($C$18-$C$17)*($B$18-'Entrada das massas'!I34)+($B$17*$C$18)-($B$18*$C$18))/($B$17-$B$18)),IF(AND('Entrada das massas'!I34&lt;=$B$17,'Entrada das massas'!I34&gt;$B$16),'Entrada das massas'!I34-((($C$17-$C$16)*($B$17-'Entrada das massas'!I34)+($B$16*$C$17)-($B$17*$C$17))/($B$16-$B$17)),IF(AND('Entrada das massas'!I34&lt;=$B$16,'Entrada das massas'!I34&gt;$B$15),'Entrada das massas'!I34-((($C$16-$C$15)*($B$16-'Entrada das massas'!I34)+($B$15*$C$16)-($B$16*$C$16))/($B$15-$B$16)),IF(AND('Entrada das massas'!I34&lt;=$B$15,'Entrada das massas'!I34&gt;$B$14),'Entrada das massas'!I34-((($C$15-$C$14)*($B$15-'Entrada das massas'!I34)+($B$14*$C$15)-($B$15*$C$15))/($B$14-$B$15)),IF(AND('Entrada das massas'!I34&lt;=$B$14,'Entrada das massas'!I34&gt;$B$13),'Entrada das massas'!I34-((($C$14-$C$13)*($B$14-'Entrada das massas'!I34)+($B$13*$C$14)-($B$14*$C$14))/($B$13-$B$14)),IF(AND('Entrada das massas'!I34&lt;=$B$13,'Entrada das massas'!I34&gt;$B$12),'Entrada das massas'!I34-((($C$13-$C$12)*($B$13-'Entrada das massas'!I34)+($B$12*$C$13)-($B$13*$C$13))/($B$12-$B$13)),IF(AND('Entrada das massas'!I34&lt;=$B$12,'Entrada das massas'!I34&gt;$B$11),'Entrada das massas'!I34-((($C$12-$C$11)*($B$12-'Entrada das massas'!I34)+($B$11*$C$12)-($B$12*$C$12))/($B$11-$B$12)),IF(AND('Entrada das massas'!I34&lt;=$B$11,'Entrada das massas'!I34&gt;$B$10),'Entrada das massas'!I34-((($C$11-$C$10)*($B$11-'Entrada das massas'!I34)+($B$10*$C$11)-($B$11*$C$11))/($B$10-$B$11)),IF(AND('Entrada das massas'!I34&lt;=$B$10,'Entrada das massas'!I34&gt;$B$9),'Entrada das massas'!I34-((($C$10-$C$9)*($B$10-'Entrada das massas'!I34)+($B$9*$C$10)-($B$10*$C$10))/($B$9-$B$10)),IF(AND('Entrada das massas'!I34&lt;=$B$9,'Entrada das massas'!I34&gt;$B$8),'Entrada das massas'!I34-((($C$9-$C$8)*($B$9-'Entrada das massas'!I34)+($B$8*$C$9)-($B$9*$C$9))/($B$8-$B$9)),IF(AND('Entrada das massas'!I34&lt;=$B$8,'Entrada das massas'!I34&gt;$B$7),'Entrada das massas'!I34-((($C$8-$C$7)*($B$8-'Entrada das massas'!I34)+($B$7*$C$8)-($B$8*$C$8))/($B$7-$B$8)),IF(AND('Entrada das massas'!I34&lt;=$B$7,'Entrada das massas'!I34&gt;$B$6),'Entrada das massas'!I34-((($C$7-$C$6)*($B$7-'Entrada das massas'!I34)+($B$6*$C$7)-($B$7*$C$7))/($B$6-$B$7)),IF(AND('Entrada das massas'!I34&lt;=$B$6,'Entrada das massas'!I34&gt;$B$5),'Entrada das massas'!I34-((($C$6-$C$5)*($B$6-'Entrada das massas'!I34)+($B$5*$C$6)-($B$6*$C$6))/($B$5-$B$6)),IF('Entrada das massas'!I34&lt;=$B$5,'Entrada das massas'!I34-$C$5)))))))))))))))))</f>
        <v>62.8375328375</v>
      </c>
      <c r="J54" s="117">
        <f t="shared" si="18"/>
        <v>2.5000000000000001E-5</v>
      </c>
      <c r="K54" s="120">
        <f>IF(I52="","",I54-I52)</f>
        <v>50.519457473620001</v>
      </c>
      <c r="L54" s="117">
        <f>IF(J52="","",SQRT(SUMSQ(J52,J54)))</f>
        <v>2.6925824035672523E-5</v>
      </c>
      <c r="M54" s="93" t="str">
        <f>IF(I51="","","Solução")</f>
        <v>Solução</v>
      </c>
      <c r="N54" s="93"/>
      <c r="O54" s="123" t="str">
        <f>IF(P51="","","Massa final")</f>
        <v>Massa final</v>
      </c>
      <c r="P54" s="95" t="str">
        <f>IF('Entrada das massas'!N34="","",IF(AND('Entrada das massas'!N34&lt;=$B$20,'Entrada das massas'!N34&gt;$B$19),'Entrada das massas'!N34-((($C$20-$C$19)*($B$20-'Entrada das massas'!N34)+($B$19*$C$20)-($B$20*$C$20))/($B$19-$B$20)),IF(AND('Entrada das massas'!N34&lt;=$B$19,'Entrada das massas'!N34&gt;$B$18),'Entrada das massas'!N34-((($C$19-$C$18)*($B$19-'Entrada das massas'!N34)+($B$18*$C$19)-($B$19*$C$19))/($B$18-$B$19)),IF(AND('Entrada das massas'!N34&lt;=$B$18,'Entrada das massas'!N34&gt;$B$17),'Entrada das massas'!N34-((($C$18-$C$17)*($B$18-'Entrada das massas'!N34)+($B$17*$C$18)-($B$18*$C$18))/($B$17-$B$18)),IF(AND('Entrada das massas'!N34&lt;=$B$17,'Entrada das massas'!N34&gt;$B$16),'Entrada das massas'!N34-((($C$17-$C$16)*($B$17-'Entrada das massas'!N34)+($B$16*$C$17)-($B$17*$C$17))/($B$16-$B$17)),IF(AND('Entrada das massas'!N34&lt;=$B$16,'Entrada das massas'!N34&gt;$B$15),'Entrada das massas'!N34-((($C$16-$C$15)*($B$16-'Entrada das massas'!N34)+($B$15*$C$16)-($B$16*$C$16))/($B$15-$B$16)),IF(AND('Entrada das massas'!N34&lt;=$B$15,'Entrada das massas'!N34&gt;$B$14),'Entrada das massas'!N34-((($C$15-$C$14)*($B$15-'Entrada das massas'!N34)+($B$14*$C$15)-($B$15*$C$15))/($B$14-$B$15)),IF(AND('Entrada das massas'!N34&lt;=$B$14,'Entrada das massas'!N34&gt;$B$13),'Entrada das massas'!N34-((($C$14-$C$13)*($B$14-'Entrada das massas'!N34)+($B$13*$C$14)-($B$14*$C$14))/($B$13-$B$14)),IF(AND('Entrada das massas'!N34&lt;=$B$13,'Entrada das massas'!N34&gt;$B$12),'Entrada das massas'!N34-((($C$13-$C$12)*($B$13-'Entrada das massas'!N34)+($B$12*$C$13)-($B$13*$C$13))/($B$12-$B$13)),IF(AND('Entrada das massas'!N34&lt;=$B$12,'Entrada das massas'!N34&gt;$B$11),'Entrada das massas'!N34-((($C$12-$C$11)*($B$12-'Entrada das massas'!N34)+($B$11*$C$12)-($B$12*$C$12))/($B$11-$B$12)),IF(AND('Entrada das massas'!N34&lt;=$B$11,'Entrada das massas'!N34&gt;$B$10),'Entrada das massas'!N34-((($C$11-$C$10)*($B$11-'Entrada das massas'!N34)+($B$10*$C$11)-($B$11*$C$11))/($B$10-$B$11)),IF(AND('Entrada das massas'!N34&lt;=$B$10,'Entrada das massas'!N34&gt;$B$9),'Entrada das massas'!N34-((($C$10-$C$9)*($B$10-'Entrada das massas'!N34)+($B$9*$C$10)-($B$10*$C$10))/($B$9-$B$10)),IF(AND('Entrada das massas'!N34&lt;=$B$9,'Entrada das massas'!N34&gt;$B$8),'Entrada das massas'!N34-((($C$9-$C$8)*($B$9-'Entrada das massas'!N34)+($B$8*$C$9)-($B$9*$C$9))/($B$8-$B$9)),IF(AND('Entrada das massas'!N34&lt;=$B$8,'Entrada das massas'!N34&gt;$B$7),'Entrada das massas'!N34-((($C$8-$C$7)*($B$8-'Entrada das massas'!N34)+($B$7*$C$8)-($B$8*$C$8))/($B$7-$B$8)),IF(AND('Entrada das massas'!N34&lt;=$B$7,'Entrada das massas'!N34&gt;$B$6),'Entrada das massas'!N34-((($C$7-$C$6)*($B$7-'Entrada das massas'!N34)+($B$6*$C$7)-($B$7*$C$7))/($B$6-$B$7)),IF(AND('Entrada das massas'!N34&lt;=$B$6,'Entrada das massas'!N34&gt;$B$5),'Entrada das massas'!N34-((($C$6-$C$5)*($B$6-'Entrada das massas'!N34)+($B$5*$C$6)-($B$6*$C$6))/($B$5-$B$6)),IF('Entrada das massas'!N34&lt;=$B$5,'Entrada das massas'!N34-$C$5)))))))))))))))))</f>
        <v/>
      </c>
      <c r="Q54" s="117" t="str">
        <f t="shared" si="19"/>
        <v/>
      </c>
      <c r="R54" s="120" t="str">
        <f>IF(P52="","",P54-P52)</f>
        <v/>
      </c>
      <c r="S54" s="117" t="str">
        <f>IF(Q52="","",SQRT(SUMSQ(Q52,Q54)))</f>
        <v/>
      </c>
      <c r="T54" s="93" t="str">
        <f>IF(P51="","","Solução")</f>
        <v>Solução</v>
      </c>
      <c r="U54" s="93"/>
      <c r="V54" s="123" t="str">
        <f>IF(W51="","","Massa final")</f>
        <v/>
      </c>
      <c r="W54" s="95" t="str">
        <f>IF('Entrada das massas'!S34="","",IF(AND('Entrada das massas'!S34&lt;=$B$20,'Entrada das massas'!S34&gt;$B$19),'Entrada das massas'!S34-((($C$20-$C$19)*($B$20-'Entrada das massas'!S34)+($B$19*$C$20)-($B$20*$C$20))/($B$19-$B$20)),IF(AND('Entrada das massas'!S34&lt;=$B$19,'Entrada das massas'!S34&gt;$B$18),'Entrada das massas'!S34-((($C$19-$C$18)*($B$19-'Entrada das massas'!S34)+($B$18*$C$19)-($B$19*$C$19))/($B$18-$B$19)),IF(AND('Entrada das massas'!S34&lt;=$B$18,'Entrada das massas'!S34&gt;$B$17),'Entrada das massas'!S34-((($C$18-$C$17)*($B$18-'Entrada das massas'!S34)+($B$17*$C$18)-($B$18*$C$18))/($B$17-$B$18)),IF(AND('Entrada das massas'!S34&lt;=$B$17,'Entrada das massas'!S34&gt;$B$16),'Entrada das massas'!S34-((($C$17-$C$16)*($B$17-'Entrada das massas'!S34)+($B$16*$C$17)-($B$17*$C$17))/($B$16-$B$17)),IF(AND('Entrada das massas'!S34&lt;=$B$16,'Entrada das massas'!S34&gt;$B$15),'Entrada das massas'!S34-((($C$16-$C$15)*($B$16-'Entrada das massas'!S34)+($B$15*$C$16)-($B$16*$C$16))/($B$15-$B$16)),IF(AND('Entrada das massas'!S34&lt;=$B$15,'Entrada das massas'!S34&gt;$B$14),'Entrada das massas'!S34-((($C$15-$C$14)*($B$15-'Entrada das massas'!S34)+($B$14*$C$15)-($B$15*$C$15))/($B$14-$B$15)),IF(AND('Entrada das massas'!S34&lt;=$B$14,'Entrada das massas'!S34&gt;$B$13),'Entrada das massas'!S34-((($C$14-$C$13)*($B$14-'Entrada das massas'!S34)+($B$13*$C$14)-($B$14*$C$14))/($B$13-$B$14)),IF(AND('Entrada das massas'!S34&lt;=$B$13,'Entrada das massas'!S34&gt;$B$12),'Entrada das massas'!S34-((($C$13-$C$12)*($B$13-'Entrada das massas'!S34)+($B$12*$C$13)-($B$13*$C$13))/($B$12-$B$13)),IF(AND('Entrada das massas'!S34&lt;=$B$12,'Entrada das massas'!S34&gt;$B$11),'Entrada das massas'!S34-((($C$12-$C$11)*($B$12-'Entrada das massas'!S34)+($B$11*$C$12)-($B$12*$C$12))/($B$11-$B$12)),IF(AND('Entrada das massas'!S34&lt;=$B$11,'Entrada das massas'!S34&gt;$B$10),'Entrada das massas'!S34-((($C$11-$C$10)*($B$11-'Entrada das massas'!S34)+($B$10*$C$11)-($B$11*$C$11))/($B$10-$B$11)),IF(AND('Entrada das massas'!S34&lt;=$B$10,'Entrada das massas'!S34&gt;$B$9),'Entrada das massas'!S34-((($C$10-$C$9)*($B$10-'Entrada das massas'!S34)+($B$9*$C$10)-($B$10*$C$10))/($B$9-$B$10)),IF(AND('Entrada das massas'!S34&lt;=$B$9,'Entrada das massas'!S34&gt;$B$8),'Entrada das massas'!S34-((($C$9-$C$8)*($B$9-'Entrada das massas'!S34)+($B$8*$C$9)-($B$9*$C$9))/($B$8-$B$9)),IF(AND('Entrada das massas'!S34&lt;=$B$8,'Entrada das massas'!S34&gt;$B$7),'Entrada das massas'!S34-((($C$8-$C$7)*($B$8-'Entrada das massas'!S34)+($B$7*$C$8)-($B$8*$C$8))/($B$7-$B$8)),IF(AND('Entrada das massas'!S34&lt;=$B$7,'Entrada das massas'!S34&gt;$B$6),'Entrada das massas'!S34-((($C$7-$C$6)*($B$7-'Entrada das massas'!S34)+($B$6*$C$7)-($B$7*$C$7))/($B$6-$B$7)),IF(AND('Entrada das massas'!S34&lt;=$B$6,'Entrada das massas'!S34&gt;$B$5),'Entrada das massas'!S34-((($C$6-$C$5)*($B$6-'Entrada das massas'!S34)+($B$5*$C$6)-($B$6*$C$6))/($B$5-$B$6)),IF('Entrada das massas'!S34&lt;=$B$5,'Entrada das massas'!S34-$C$5)))))))))))))))))</f>
        <v/>
      </c>
      <c r="X54" s="117" t="str">
        <f t="shared" si="20"/>
        <v/>
      </c>
      <c r="Y54" s="120" t="str">
        <f>IF(W52="","",W54-W52)</f>
        <v/>
      </c>
      <c r="Z54" s="117" t="str">
        <f>IF(X52="","",SQRT(SUMSQ(X52,X54)))</f>
        <v/>
      </c>
      <c r="AA54" s="93" t="str">
        <f>IF(W51="","","Solução")</f>
        <v/>
      </c>
      <c r="AB54" s="100"/>
      <c r="AC54" s="101"/>
      <c r="AD54" s="93"/>
      <c r="AE54" s="148"/>
      <c r="AF54" s="319"/>
      <c r="AG54" s="148"/>
      <c r="AH54" s="101"/>
      <c r="AI54" s="101"/>
      <c r="AJ54" s="101"/>
      <c r="AK54" s="101"/>
      <c r="AL54" s="101"/>
    </row>
    <row r="55" spans="1:46" s="98" customFormat="1" ht="13.5" thickBot="1" x14ac:dyDescent="0.25">
      <c r="A55" s="143"/>
      <c r="E55" s="139"/>
      <c r="I55" s="93"/>
      <c r="J55" s="144"/>
      <c r="K55" s="139"/>
      <c r="L55" s="139"/>
      <c r="P55" s="93"/>
      <c r="Q55" s="120"/>
      <c r="R55" s="120"/>
      <c r="S55" s="120"/>
      <c r="W55" s="93"/>
      <c r="X55" s="120"/>
      <c r="Y55" s="120"/>
      <c r="Z55" s="120"/>
      <c r="AB55" s="100"/>
      <c r="AC55" s="101"/>
      <c r="AD55" s="93"/>
      <c r="AE55" s="149"/>
      <c r="AF55" s="101"/>
      <c r="AG55" s="149"/>
      <c r="AH55" s="101"/>
      <c r="AI55" s="145"/>
      <c r="AJ55" s="101"/>
      <c r="AK55" s="145"/>
      <c r="AL55" s="101"/>
      <c r="AM55" s="150"/>
      <c r="AO55" s="150"/>
    </row>
    <row r="56" spans="1:46" s="98" customFormat="1" ht="13.5" thickBot="1" x14ac:dyDescent="0.25">
      <c r="A56" s="572" t="s">
        <v>35</v>
      </c>
      <c r="B56" s="573"/>
      <c r="C56" s="573"/>
      <c r="D56" s="573"/>
      <c r="E56" s="573"/>
      <c r="F56" s="574"/>
      <c r="H56" s="126" t="str">
        <f>IF(I51="","","Amostra")</f>
        <v>Amostra</v>
      </c>
      <c r="I56" s="127" t="str">
        <f>IF('Entrada das massas'!I36="","",'Entrada das massas'!I36)</f>
        <v/>
      </c>
      <c r="J56" s="120" t="str">
        <f>IF(I56="","","uc(g)")</f>
        <v/>
      </c>
      <c r="K56" s="120" t="str">
        <f>IF(J56="","","Massa (g)")</f>
        <v/>
      </c>
      <c r="L56" s="120" t="str">
        <f>IF(K56="","","ucomb (g)")</f>
        <v/>
      </c>
      <c r="M56" s="98" t="str">
        <f>IF(I56="","","Fdiluição")</f>
        <v/>
      </c>
      <c r="O56" s="126" t="str">
        <f>IF(M57="","","Amostra")</f>
        <v/>
      </c>
      <c r="P56" s="127" t="str">
        <f>IF('Entrada das massas'!N36="","",'Entrada das massas'!N36)</f>
        <v/>
      </c>
      <c r="Q56" s="120" t="str">
        <f>IF(P56="","","uc(g)")</f>
        <v/>
      </c>
      <c r="R56" s="120" t="str">
        <f>IF(Q56="","","Massa (g)")</f>
        <v/>
      </c>
      <c r="S56" s="120" t="str">
        <f>IF(R56="","","ucomb (g)")</f>
        <v/>
      </c>
      <c r="T56" s="98" t="str">
        <f>IF(P56="","","Fdiluição")</f>
        <v/>
      </c>
      <c r="V56" s="126" t="str">
        <f>IF(T57="","","Amostra")</f>
        <v/>
      </c>
      <c r="W56" s="127" t="str">
        <f>IF('Entrada das massas'!S36="","",'Entrada das massas'!S36)</f>
        <v/>
      </c>
      <c r="X56" s="120" t="str">
        <f>IF(W56="","","uc(g)")</f>
        <v/>
      </c>
      <c r="Y56" s="120" t="str">
        <f>IF(X56="","","Massa (g)")</f>
        <v/>
      </c>
      <c r="Z56" s="120" t="str">
        <f>IF(Y56="","","ucomb (g)")</f>
        <v/>
      </c>
      <c r="AA56" s="98" t="str">
        <f>IF(W56="","","Fdiluição")</f>
        <v/>
      </c>
      <c r="AB56" s="100"/>
      <c r="AC56" s="151"/>
      <c r="AD56" s="93"/>
      <c r="AE56" s="149"/>
      <c r="AF56" s="101"/>
      <c r="AG56" s="149"/>
      <c r="AH56" s="101"/>
      <c r="AI56" s="145"/>
      <c r="AJ56" s="101"/>
      <c r="AK56" s="145"/>
      <c r="AL56" s="101"/>
      <c r="AM56" s="150"/>
      <c r="AO56" s="150"/>
    </row>
    <row r="57" spans="1:46" s="98" customFormat="1" ht="15.75" x14ac:dyDescent="0.3">
      <c r="A57" s="130" t="s">
        <v>57</v>
      </c>
      <c r="B57" s="111">
        <f>IF(AND('Entrada das massas'!C37&lt;=$B$20,'Entrada das massas'!C37&gt;$B$19),'Entrada das massas'!C37-((($C$20-$C$19)*($B$20-'Entrada das massas'!C37)+($B$19*$C$20)-($B$20*$C$20))/($B$19-$B$20)),IF(AND('Entrada das massas'!C37&lt;=$B$19,'Entrada das massas'!C37&gt;$B$18),'Entrada das massas'!C37-((($C$19-$C$18)*($B$19-'Entrada das massas'!C37)+($B$18*$C$19)-($B$19*$C$19))/($B$18-$B$19)),IF(AND('Entrada das massas'!C37&lt;=$B$18,'Entrada das massas'!C37&gt;$B$17),'Entrada das massas'!C37-((($C$18-$C$17)*($B$18-'Entrada das massas'!C37)+($B$17*$C$18)-($B$18*$C$18))/($B$17-$B$18)),IF(AND('Entrada das massas'!C37&lt;=$B$17,'Entrada das massas'!C37&gt;$B$16),'Entrada das massas'!C37-((($C$17-$C$16)*($B$17-'Entrada das massas'!C37)+($B$16*$C$17)-($B$17*$C$17))/($B$16-$B$17)),IF(AND('Entrada das massas'!C37&lt;=$B$16,'Entrada das massas'!C37&gt;$B$15),'Entrada das massas'!C37-((($C$16-$C$15)*($B$16-'Entrada das massas'!C37)+($B$15*$C$16)-($B$16*$C$16))/($B$15-$B$16)),IF(AND('Entrada das massas'!C37&lt;=$B$15,'Entrada das massas'!C37&gt;$B$14),'Entrada das massas'!C37-((($C$15-$C$14)*($B$15-'Entrada das massas'!C37)+($B$14*$C$15)-($B$15*$C$15))/($B$14-$B$15)),IF(AND('Entrada das massas'!C37&lt;=$B$14,'Entrada das massas'!C37&gt;$B$13),'Entrada das massas'!C37-((($C$14-$C$13)*($B$14-'Entrada das massas'!C37)+($B$13*$C$14)-($B$14*$C$14))/($B$13-$B$14)),IF(AND('Entrada das massas'!C37&lt;=$B$13,'Entrada das massas'!C37&gt;$B$12),'Entrada das massas'!C37-((($C$13-$C$12)*($B$13-'Entrada das massas'!C37)+($B$12*$C$13)-($B$13*$C$13))/($B$12-$B$13)),IF(AND('Entrada das massas'!C37&lt;=$B$12,'Entrada das massas'!C37&gt;$B$11),'Entrada das massas'!C37-((($C$12-$C$11)*($B$12-'Entrada das massas'!C37)+($B$11*$C$12)-($B$12*$C$12))/($B$11-$B$12)), IF(AND('Entrada das massas'!C37&lt;=$B$11,'Entrada das massas'!C37&gt;$B$10),'Entrada das massas'!C37-((($C$11-$C$10)*($B$11-'Entrada das massas'!C37)+($B$10*$C$11)-($B$11*$C$11))/($B$10-$B$11)),IF(AND('Entrada das massas'!C37&lt;=$B$10,'Entrada das massas'!C37&gt;$B$9),'Entrada das massas'!C37-((($C$10-$C$9)*($B$10-'Entrada das massas'!C37)+($B$9*$C$10)-($B$10*$C$10))/($B$9-$B$10)),IF(AND('Entrada das massas'!C37&lt;=$B$9,'Entrada das massas'!C37&gt;$B$8),'Entrada das massas'!C37-((($C$9-$C$8)*($B$9-'Entrada das massas'!C37)+($B$8*$C$9)-($B$9*$C$9))/($B$8-$B$9)),IF(AND('Entrada das massas'!C37&lt;=$B$8,'Entrada das massas'!C37&gt;$B$7),'Entrada das massas'!C37-((($C$8-$C$7)*($B$8-'Entrada das massas'!C37)+($B$7*$C$8)-($B$8*$C$8))/($B$7-$B$8)),IF(AND('Entrada das massas'!C37&lt;=$B$7,'Entrada das massas'!C37&gt;$B$6),'Entrada das massas'!C37-((($C$7-$C$6)*($B$7-'Entrada das massas'!C37)+($B$6*$C$7)-($B$7*$C$7))/($B$6-$B$7)),IF(AND('Entrada das massas'!C37&lt;=$B$6,'Entrada das massas'!C37&gt;$B$5),'Entrada das massas'!C37-((($C$6-$C$5)*($B$6-'Entrada das massas'!C37)+($B$5*$C$6)-($B$6*$C$6))/($B$5-$B$6)),IF('Entrada das massas'!C37&lt;=$B$5,'Entrada das massas'!C37-$C$5))))))))))))))))</f>
        <v>14.49177101648</v>
      </c>
      <c r="C57" s="112">
        <f>(IF(AND(B57&lt;=$B$20,B57&gt;$B$19),$D$19+($B$19-B57)/($B$19-$B$20)*($D$20-$D$19),IF(AND(B57&lt;=$B$19,B57&gt;$B$18),$D$18+($B$18-B57)/($B$18-$B$19)*($D$19-$D$18),IF(AND(B57&lt;=$B$18,B57&gt;$B$17),$D$17+($B$17-B57)/($B$17-$B$18)*($D$18-$D$17),IF(AND(B57&lt;=$B$17,B57&gt;$B$16),$D$16+($B$16-B57)/($B$16-$B$17)*($D$17-$D$16),IF(AND(B57&lt;=$B$16,B57&gt;$B$15),$D$15+($B$15-B57)/($B$15-$B$16)*($D$16-$D$15),IF(AND(B57&lt;=$B$15,B57&gt;$B$14),$D$14+($B$14-B57)/($B$14-$B$15)*($D$15-$D$14),IF(AND(B57&lt;=$B$14,B57&gt;$B$13),$D$13+($B$13-B57)/($B$13-$B$14)*($D$14-$D$13),IF(AND(B57&lt;=$B$13,B57&gt;$B$12),$D$12+($B$12-B57)/($B$12-$B$13)*($D$13-$D$12),IF(AND(B57&lt;=$B$12,B57&gt;$B$11),$D$11+($B$11-B57)/($B$11-$B$12)*($D$12-$D$11),IF(AND(B57&lt;=$B$11,B57&gt;$B$10),$D$10+($B$10-B57)/($B$10-$B$11)*($D$11-$D$10),IF(AND(B57&lt;=$B$10,B57&gt;$B$9),$D$9+($B$9-B57)/($B$9-$B$10)*($D$10-$D$9),IF(AND(B57&lt;=$B$9,B57&gt;$B$8),$D$8+($B$8-B57)/($B$8-$B$9)*($D$9-$D$8),IF(AND(B57&lt;=$B$8,B57&gt;$B$7),$D$7+($B$7-B57)/($B$7-$B$8)*($D$8-$D$7),IF(AND(B57&lt;=$B$7,B57&gt;$B$6),$D$6+($B$6-B57)/($B$6-$B$7)*($D$7-$D$6),IF(B57&lt;=$B$6,$D$6))))))))))))))))</f>
        <v>1.0000000000000001E-5</v>
      </c>
      <c r="D57" s="131"/>
      <c r="E57" s="147"/>
      <c r="F57" s="132" t="s">
        <v>70</v>
      </c>
      <c r="H57" s="115" t="str">
        <f>IF(I56="","","Frasco")</f>
        <v/>
      </c>
      <c r="I57" s="116" t="str">
        <f>IF('Entrada das massas'!I37="","",IF(AND('Entrada das massas'!I37&lt;=$B$20,'Entrada das massas'!I37&gt;$B$19),'Entrada das massas'!I37-((($C$20-$C$19)*($B$20-'Entrada das massas'!I37)+($B$19*$C$20)-($B$20*$C$20))/($B$19-$B$20)),IF(AND('Entrada das massas'!I37&lt;=$B$19,'Entrada das massas'!I37&gt;$B$18),'Entrada das massas'!I37-((($C$19-$C$18)*($B$19-'Entrada das massas'!I37)+($B$18*$C$19)-($B$19*$C$19))/($B$18-$B$19)),IF(AND('Entrada das massas'!I37&lt;=$B$18,'Entrada das massas'!I37&gt;$B$17),'Entrada das massas'!I37-((($C$18-$C$17)*($B$18-'Entrada das massas'!I37)+($B$17*$C$18)-($B$18*$C$18))/($B$17-$B$18)),IF(AND('Entrada das massas'!I37&lt;=$B$17,'Entrada das massas'!I37&gt;$B$16),'Entrada das massas'!I37-((($C$17-$C$16)*($B$17-'Entrada das massas'!I37)+($B$16*$C$17)-($B$17*$C$17))/($B$16-$B$17)),IF(AND('Entrada das massas'!I37&lt;=$B$16,'Entrada das massas'!I37&gt;$B$15),'Entrada das massas'!I37-((($C$16-$C$15)*($B$16-'Entrada das massas'!I37)+($B$15*$C$16)-($B$16*$C$16))/($B$15-$B$16)),IF(AND('Entrada das massas'!I37&lt;=$B$15,'Entrada das massas'!I37&gt;$B$14),'Entrada das massas'!I37-((($C$15-$C$14)*($B$15-'Entrada das massas'!I37)+($B$14*$C$15)-($B$15*$C$15))/($B$14-$B$15)),IF(AND('Entrada das massas'!I37&lt;=$B$14,'Entrada das massas'!I37&gt;$B$13),'Entrada das massas'!I37-((($C$14-$C$13)*($B$14-'Entrada das massas'!I37)+($B$13*$C$14)-($B$14*$C$14))/($B$13-$B$14)),IF(AND('Entrada das massas'!I37&lt;=$B$13,'Entrada das massas'!I37&gt;$B$12),'Entrada das massas'!I37-((($C$13-$C$12)*($B$13-'Entrada das massas'!I37)+($B$12*$C$13)-($B$13*$C$13))/($B$12-$B$13)),IF(AND('Entrada das massas'!I37&lt;=$B$12,'Entrada das massas'!I37&gt;$B$11),'Entrada das massas'!I37-((($C$12-$C$11)*($B$12-'Entrada das massas'!I37)+($B$11*$C$12)-($B$12*$C$12))/($B$11-$B$12)),IF(AND('Entrada das massas'!I37&lt;=$B$11,'Entrada das massas'!I37&gt;$B$10),'Entrada das massas'!I37-((($C$11-$C$10)*($B$11-'Entrada das massas'!I37)+($B$10*$C$11)-($B$11*$C$11))/($B$10-$B$11)),IF(AND('Entrada das massas'!I37&lt;=$B$10,'Entrada das massas'!I37&gt;$B$9),'Entrada das massas'!I37-((($C$10-$C$9)*($B$10-'Entrada das massas'!I37)+($B$9*$C$10)-($B$10*$C$10))/($B$9-$B$10)),IF(AND('Entrada das massas'!I37&lt;=$B$9,'Entrada das massas'!I37&gt;$B$8),'Entrada das massas'!I37-((($C$9-$C$8)*($B$9-'Entrada das massas'!I37)+($B$8*$C$9)-($B$9*$C$9))/($B$8-$B$9)),IF(AND('Entrada das massas'!I37&lt;=$B$8,'Entrada das massas'!I37&gt;$B$7),'Entrada das massas'!I37-((($C$8-$C$7)*($B$8-'Entrada das massas'!I37)+($B$7*$C$8)-($B$8*$C$8))/($B$7-$B$8)),IF(AND('Entrada das massas'!I37&lt;=$B$7,'Entrada das massas'!I37&gt;$B$6),'Entrada das massas'!I37-((($C$7-$C$6)*($B$7-'Entrada das massas'!I37)+($B$6*$C$7)-($B$7*$C$7))/($B$6-$B$7)),IF(AND('Entrada das massas'!I37&lt;=$B$6,'Entrada das massas'!I37&gt;$B$5),'Entrada das massas'!I37-((($C$6-$C$5)*($B$6-'Entrada das massas'!I37)+($B$5*$C$6)-($B$6*$C$6))/($B$5-$B$6)),IF('Entrada das massas'!I37&lt;=$B$5,'Entrada das massas'!I37-$C$5)))))))))))))))))</f>
        <v/>
      </c>
      <c r="J57" s="117" t="str">
        <f>IF(I57="","",(IF(AND(I57&lt;=$B$20,I57&gt;$B$19),$D$19+($B$19-I57)/($B$19-$B$20)*($D$20-$D$19),IF(AND(I57&lt;=$B$19,I57&gt;$B$18),$D$18+($B$18-I57)/($B$18-$B$19)*($D$19-$D$18),IF(AND(I57&lt;=$B$18,I57&gt;$B$17),$D$17+($B$17-I57)/($B$17-$B$18)*($D$18-$D$17),IF(AND(I57&lt;=$B$17,I57&gt;$B$16),$D$16+($B$16-I57)/($B$16-$B$17)*($D$17-$D$16),IF(AND(I57&lt;=$B$16,I57&gt;$B$15),$D$15+($B$15-I57)/($B$15-$B$16)*($D$16-$D$15),IF(AND(I57&lt;=$B$15,I57&gt;$B$14),$D$14+($B$14-I57)/($B$14-$B$15)*($D$15-$D$14),IF(AND(I57&lt;=$B$14,I57&gt;$B$13),$D$13+($B$13-I57)/($B$13-$B$14)*($D$14-$D$13),IF(AND(I57&lt;=$B$13,I57&gt;$B$12),$D$12+($B$12-I57)/($B$12-$B$13)*($D$13-$D$12),IF(AND(I57&lt;=$B$12,I57&gt;$B$11),$D$11+($B$11-I57)/($B$11-$B$12)*($D$12-$D$11),IF(AND(I57&lt;=$B$11,I57&gt;$B$10),$D$10+($B$10-I57)/($B$10-$B$11)*($D$11-$D$10),IF(AND(I57&lt;=$B$10,I57&gt;$B$9),$D$9+($B$9-I57)/($B$9-$B$10)*($D$10-$D$9),IF(AND(I57&lt;=$B$9,I57&gt;$B$8),$D$8+($B$8-I57)/($B$8-$B$9)*($D$9-$D$8),IF(AND(I57&lt;=$B$8,I57&gt;$B$7),$D$7+($B$7-I57)/($B$7-$B$8)*($D$8-$D$7),IF(AND(I57&lt;=$B$7,I57&gt;$B$6),$D$6+($B$6-I57)/($B$6-$B$7)*($D$7-$D$6),IF(I57&lt;=$B$6,$D$6)))))))))))))))))</f>
        <v/>
      </c>
      <c r="K57" s="117"/>
      <c r="L57" s="117"/>
      <c r="M57" s="118" t="str">
        <f>IFERROR(K59/K58,"")</f>
        <v/>
      </c>
      <c r="N57" s="93"/>
      <c r="O57" s="115" t="str">
        <f>IF(P56="","","Frasco")</f>
        <v/>
      </c>
      <c r="P57" s="95" t="str">
        <f>IF('Entrada das massas'!N37="","",IF(AND('Entrada das massas'!N37&lt;=$B$20,'Entrada das massas'!N37&gt;$B$19),'Entrada das massas'!N37-((($C$20-$C$19)*($B$20-'Entrada das massas'!N37)+($B$19*$C$20)-($B$20*$C$20))/($B$19-$B$20)),IF(AND('Entrada das massas'!N37&lt;=$B$19,'Entrada das massas'!N37&gt;$B$18),'Entrada das massas'!N37-((($C$19-$C$18)*($B$19-'Entrada das massas'!N37)+($B$18*$C$19)-($B$19*$C$19))/($B$18-$B$19)),IF(AND('Entrada das massas'!N37&lt;=$B$18,'Entrada das massas'!N37&gt;$B$17),'Entrada das massas'!N37-((($C$18-$C$17)*($B$18-'Entrada das massas'!N37)+($B$17*$C$18)-($B$18*$C$18))/($B$17-$B$18)),IF(AND('Entrada das massas'!N37&lt;=$B$17,'Entrada das massas'!N37&gt;$B$16),'Entrada das massas'!N37-((($C$17-$C$16)*($B$17-'Entrada das massas'!N37)+($B$16*$C$17)-($B$17*$C$17))/($B$16-$B$17)),IF(AND('Entrada das massas'!N37&lt;=$B$16,'Entrada das massas'!N37&gt;$B$15),'Entrada das massas'!N37-((($C$16-$C$15)*($B$16-'Entrada das massas'!N37)+($B$15*$C$16)-($B$16*$C$16))/($B$15-$B$16)),IF(AND('Entrada das massas'!N37&lt;=$B$15,'Entrada das massas'!N37&gt;$B$14),'Entrada das massas'!N37-((($C$15-$C$14)*($B$15-'Entrada das massas'!N37)+($B$14*$C$15)-($B$15*$C$15))/($B$14-$B$15)),IF(AND('Entrada das massas'!N37&lt;=$B$14,'Entrada das massas'!N37&gt;$B$13),'Entrada das massas'!N37-((($C$14-$C$13)*($B$14-'Entrada das massas'!N37)+($B$13*$C$14)-($B$14*$C$14))/($B$13-$B$14)),IF(AND('Entrada das massas'!N37&lt;=$B$13,'Entrada das massas'!N37&gt;$B$12),'Entrada das massas'!N37-((($C$13-$C$12)*($B$13-'Entrada das massas'!N37)+($B$12*$C$13)-($B$13*$C$13))/($B$12-$B$13)),IF(AND('Entrada das massas'!N37&lt;=$B$12,'Entrada das massas'!N37&gt;$B$11),'Entrada das massas'!N37-((($C$12-$C$11)*($B$12-'Entrada das massas'!N37)+($B$11*$C$12)-($B$12*$C$12))/($B$11-$B$12)),IF(AND('Entrada das massas'!N37&lt;=$B$11,'Entrada das massas'!N37&gt;$B$10),'Entrada das massas'!N37-((($C$11-$C$10)*($B$11-'Entrada das massas'!N37)+($B$10*$C$11)-($B$11*$C$11))/($B$10-$B$11)),IF(AND('Entrada das massas'!N37&lt;=$B$10,'Entrada das massas'!N37&gt;$B$9),'Entrada das massas'!N37-((($C$10-$C$9)*($B$10-'Entrada das massas'!N37)+($B$9*$C$10)-($B$10*$C$10))/($B$9-$B$10)),IF(AND('Entrada das massas'!N37&lt;=$B$9,'Entrada das massas'!N37&gt;$B$8),'Entrada das massas'!N37-((($C$9-$C$8)*($B$9-'Entrada das massas'!N37)+($B$8*$C$9)-($B$9*$C$9))/($B$8-$B$9)),IF(AND('Entrada das massas'!N37&lt;=$B$8,'Entrada das massas'!N37&gt;$B$7),'Entrada das massas'!N37-((($C$8-$C$7)*($B$8-'Entrada das massas'!N37)+($B$7*$C$8)-($B$8*$C$8))/($B$7-$B$8)),IF(AND('Entrada das massas'!N37&lt;=$B$7,'Entrada das massas'!N37&gt;$B$6),'Entrada das massas'!N37-((($C$7-$C$6)*($B$7-'Entrada das massas'!N37)+($B$6*$C$7)-($B$7*$C$7))/($B$6-$B$7)),IF(AND('Entrada das massas'!N37&lt;=$B$6,'Entrada das massas'!N37&gt;$B$5),'Entrada das massas'!N37-((($C$6-$C$5)*($B$6-'Entrada das massas'!N37)+($B$5*$C$6)-($B$6*$C$6))/($B$5-$B$6)),IF('Entrada das massas'!N37&lt;=$B$5,'Entrada das massas'!N37-$C$5)))))))))))))))))</f>
        <v/>
      </c>
      <c r="Q57" s="117" t="str">
        <f>IF(P57="","",(IF(AND(P57&lt;=$B$20,P57&gt;$B$19),$D$19+($B$19-P57)/($B$19-$B$20)*($D$20-$D$19),IF(AND(P57&lt;=$B$19,P57&gt;$B$18),$D$18+($B$18-P57)/($B$18-$B$19)*($D$19-$D$18),IF(AND(P57&lt;=$B$18,P57&gt;$B$17),$D$17+($B$17-P57)/($B$17-$B$18)*($D$18-$D$17),IF(AND(P57&lt;=$B$17,P57&gt;$B$16),$D$16+($B$16-P57)/($B$16-$B$17)*($D$17-$D$16),IF(AND(P57&lt;=$B$16,P57&gt;$B$15),$D$15+($B$15-P57)/($B$15-$B$16)*($D$16-$D$15),IF(AND(P57&lt;=$B$15,P57&gt;$B$14),$D$14+($B$14-P57)/($B$14-$B$15)*($D$15-$D$14),IF(AND(P57&lt;=$B$14,P57&gt;$B$13),$D$13+($B$13-P57)/($B$13-$B$14)*($D$14-$D$13),IF(AND(P57&lt;=$B$13,P57&gt;$B$12),$D$12+($B$12-P57)/($B$12-$B$13)*($D$13-$D$12),IF(AND(P57&lt;=$B$12,P57&gt;$B$11),$D$11+($B$11-P57)/($B$11-$B$12)*($D$12-$D$11),IF(AND(P57&lt;=$B$11,P57&gt;$B$10),$D$10+($B$10-P57)/($B$10-$B$11)*($D$11-$D$10),IF(AND(P57&lt;=$B$10,P57&gt;$B$9),$D$9+($B$9-P57)/($B$9-$B$10)*($D$10-$D$9),IF(AND(P57&lt;=$B$9,P57&gt;$B$8),$D$8+($B$8-P57)/($B$8-$B$9)*($D$9-$D$8),IF(AND(P57&lt;=$B$8,P57&gt;$B$7),$D$7+($B$7-P57)/($B$7-$B$8)*($D$8-$D$7),IF(AND(P57&lt;=$B$7,P57&gt;$B$6),$D$6+($B$6-P57)/($B$6-$B$7)*($D$7-$D$6),IF(P57&lt;=$B$6,$D$6)))))))))))))))))</f>
        <v/>
      </c>
      <c r="R57" s="117"/>
      <c r="S57" s="117"/>
      <c r="T57" s="118" t="str">
        <f>IFERROR(R59/R58,"")</f>
        <v/>
      </c>
      <c r="U57" s="93"/>
      <c r="V57" s="115" t="str">
        <f>IF(W56="","","Frasco")</f>
        <v/>
      </c>
      <c r="W57" s="95" t="str">
        <f>IF('Entrada das massas'!S37="","",IF(AND('Entrada das massas'!S37&lt;=$B$20,'Entrada das massas'!S37&gt;$B$19),'Entrada das massas'!S37-((($C$20-$C$19)*($B$20-'Entrada das massas'!S37)+($B$19*$C$20)-($B$20*$C$20))/($B$19-$B$20)),IF(AND('Entrada das massas'!S37&lt;=$B$19,'Entrada das massas'!S37&gt;$B$18),'Entrada das massas'!S37-((($C$19-$C$18)*($B$19-'Entrada das massas'!S37)+($B$18*$C$19)-($B$19*$C$19))/($B$18-$B$19)),IF(AND('Entrada das massas'!S37&lt;=$B$18,'Entrada das massas'!S37&gt;$B$17),'Entrada das massas'!S37-((($C$18-$C$17)*($B$18-'Entrada das massas'!S37)+($B$17*$C$18)-($B$18*$C$18))/($B$17-$B$18)),IF(AND('Entrada das massas'!S37&lt;=$B$17,'Entrada das massas'!S37&gt;$B$16),'Entrada das massas'!S37-((($C$17-$C$16)*($B$17-'Entrada das massas'!S37)+($B$16*$C$17)-($B$17*$C$17))/($B$16-$B$17)),IF(AND('Entrada das massas'!S37&lt;=$B$16,'Entrada das massas'!S37&gt;$B$15),'Entrada das massas'!S37-((($C$16-$C$15)*($B$16-'Entrada das massas'!S37)+($B$15*$C$16)-($B$16*$C$16))/($B$15-$B$16)),IF(AND('Entrada das massas'!S37&lt;=$B$15,'Entrada das massas'!S37&gt;$B$14),'Entrada das massas'!S37-((($C$15-$C$14)*($B$15-'Entrada das massas'!S37)+($B$14*$C$15)-($B$15*$C$15))/($B$14-$B$15)),IF(AND('Entrada das massas'!S37&lt;=$B$14,'Entrada das massas'!S37&gt;$B$13),'Entrada das massas'!S37-((($C$14-$C$13)*($B$14-'Entrada das massas'!S37)+($B$13*$C$14)-($B$14*$C$14))/($B$13-$B$14)),IF(AND('Entrada das massas'!S37&lt;=$B$13,'Entrada das massas'!S37&gt;$B$12),'Entrada das massas'!S37-((($C$13-$C$12)*($B$13-'Entrada das massas'!S37)+($B$12*$C$13)-($B$13*$C$13))/($B$12-$B$13)),IF(AND('Entrada das massas'!S37&lt;=$B$12,'Entrada das massas'!S37&gt;$B$11),'Entrada das massas'!S37-((($C$12-$C$11)*($B$12-'Entrada das massas'!S37)+($B$11*$C$12)-($B$12*$C$12))/($B$11-$B$12)),IF(AND('Entrada das massas'!S37&lt;=$B$11,'Entrada das massas'!S37&gt;$B$10),'Entrada das massas'!S37-((($C$11-$C$10)*($B$11-'Entrada das massas'!S37)+($B$10*$C$11)-($B$11*$C$11))/($B$10-$B$11)),IF(AND('Entrada das massas'!S37&lt;=$B$10,'Entrada das massas'!S37&gt;$B$9),'Entrada das massas'!S37-((($C$10-$C$9)*($B$10-'Entrada das massas'!S37)+($B$9*$C$10)-($B$10*$C$10))/($B$9-$B$10)),IF(AND('Entrada das massas'!S37&lt;=$B$9,'Entrada das massas'!S37&gt;$B$8),'Entrada das massas'!S37-((($C$9-$C$8)*($B$9-'Entrada das massas'!S37)+($B$8*$C$9)-($B$9*$C$9))/($B$8-$B$9)),IF(AND('Entrada das massas'!S37&lt;=$B$8,'Entrada das massas'!S37&gt;$B$7),'Entrada das massas'!S37-((($C$8-$C$7)*($B$8-'Entrada das massas'!S37)+($B$7*$C$8)-($B$8*$C$8))/($B$7-$B$8)),IF(AND('Entrada das massas'!S37&lt;=$B$7,'Entrada das massas'!S37&gt;$B$6),'Entrada das massas'!S37-((($C$7-$C$6)*($B$7-'Entrada das massas'!S37)+($B$6*$C$7)-($B$7*$C$7))/($B$6-$B$7)),IF(AND('Entrada das massas'!S37&lt;=$B$6,'Entrada das massas'!S37&gt;$B$5),'Entrada das massas'!S37-((($C$6-$C$5)*($B$6-'Entrada das massas'!S37)+($B$5*$C$6)-($B$6*$C$6))/($B$5-$B$6)),IF('Entrada das massas'!S37&lt;=$B$5,'Entrada das massas'!S37-$C$5)))))))))))))))))</f>
        <v/>
      </c>
      <c r="X57" s="117" t="str">
        <f>IF(W57="","",(IF(AND(W57&lt;=$B$20,W57&gt;$B$19),$D$19+($B$19-W57)/($B$19-$B$20)*($D$20-$D$19),IF(AND(W57&lt;=$B$19,W57&gt;$B$18),$D$18+($B$18-W57)/($B$18-$B$19)*($D$19-$D$18),IF(AND(W57&lt;=$B$18,W57&gt;$B$17),$D$17+($B$17-W57)/($B$17-$B$18)*($D$18-$D$17),IF(AND(W57&lt;=$B$17,W57&gt;$B$16),$D$16+($B$16-W57)/($B$16-$B$17)*($D$17-$D$16),IF(AND(W57&lt;=$B$16,W57&gt;$B$15),$D$15+($B$15-W57)/($B$15-$B$16)*($D$16-$D$15),IF(AND(W57&lt;=$B$15,W57&gt;$B$14),$D$14+($B$14-W57)/($B$14-$B$15)*($D$15-$D$14),IF(AND(W57&lt;=$B$14,W57&gt;$B$13),$D$13+($B$13-W57)/($B$13-$B$14)*($D$14-$D$13),IF(AND(W57&lt;=$B$13,W57&gt;$B$12),$D$12+($B$12-W57)/($B$12-$B$13)*($D$13-$D$12),IF(AND(W57&lt;=$B$12,W57&gt;$B$11),$D$11+($B$11-W57)/($B$11-$B$12)*($D$12-$D$11),IF(AND(W57&lt;=$B$11,W57&gt;$B$10),$D$10+($B$10-W57)/($B$10-$B$11)*($D$11-$D$10),IF(AND(W57&lt;=$B$10,W57&gt;$B$9),$D$9+($B$9-W57)/($B$9-$B$10)*($D$10-$D$9),IF(AND(W57&lt;=$B$9,W57&gt;$B$8),$D$8+($B$8-W57)/($B$8-$B$9)*($D$9-$D$8),IF(AND(W57&lt;=$B$8,W57&gt;$B$7),$D$7+($B$7-W57)/($B$7-$B$8)*($D$8-$D$7),IF(AND(W57&lt;=$B$7,W57&gt;$B$6),$D$6+($B$6-W57)/($B$6-$B$7)*($D$7-$D$6),IF(W57&lt;=$B$6,$D$6)))))))))))))))))</f>
        <v/>
      </c>
      <c r="Y57" s="117"/>
      <c r="Z57" s="117"/>
      <c r="AA57" s="118" t="str">
        <f>IFERROR(Y59/Y58,"")</f>
        <v/>
      </c>
      <c r="AB57" s="152"/>
      <c r="AC57" s="101"/>
      <c r="AD57" s="93"/>
      <c r="AE57" s="149"/>
      <c r="AF57" s="101"/>
      <c r="AG57" s="145"/>
      <c r="AH57" s="101"/>
      <c r="AI57" s="145"/>
      <c r="AJ57" s="101"/>
      <c r="AK57" s="145"/>
      <c r="AL57" s="101"/>
      <c r="AM57" s="150"/>
      <c r="AO57" s="150"/>
    </row>
    <row r="58" spans="1:46" s="98" customFormat="1" x14ac:dyDescent="0.2">
      <c r="A58" s="110" t="s">
        <v>59</v>
      </c>
      <c r="B58" s="111">
        <f>IF(AND('Entrada das massas'!C38&lt;=$B$20,'Entrada das massas'!C38&gt;$B$19),'Entrada das massas'!C38-((($C$20-$C$19)*($B$20-'Entrada das massas'!C38)+($B$19*$C$20)-($B$20*$C$20))/($B$19-$B$20)),IF(AND('Entrada das massas'!C38&lt;=$B$19,'Entrada das massas'!C38&gt;$B$18),'Entrada das massas'!C38-((($C$19-$C$18)*($B$19-'Entrada das massas'!C38)+($B$18*$C$19)-($B$19*$C$19))/($B$18-$B$19)),IF(AND('Entrada das massas'!C38&lt;=$B$18,'Entrada das massas'!C38&gt;$B$17),'Entrada das massas'!C38-((($C$18-$C$17)*($B$18-'Entrada das massas'!C38)+($B$17*$C$18)-($B$18*$C$18))/($B$17-$B$18)),IF(AND('Entrada das massas'!C38&lt;=$B$17,'Entrada das massas'!C38&gt;$B$16),'Entrada das massas'!C38-((($C$17-$C$16)*($B$17-'Entrada das massas'!C38)+($B$16*$C$17)-($B$17*$C$17))/($B$16-$B$17)),IF(AND('Entrada das massas'!C38&lt;=$B$16,'Entrada das massas'!C38&gt;$B$15),'Entrada das massas'!C38-((($C$16-$C$15)*($B$16-'Entrada das massas'!C38)+($B$15*$C$16)-($B$16*$C$16))/($B$15-$B$16)),IF(AND('Entrada das massas'!C38&lt;=$B$15,'Entrada das massas'!C38&gt;$B$14),'Entrada das massas'!C38-((($C$15-$C$14)*($B$15-'Entrada das massas'!C38)+($B$14*$C$15)-($B$15*$C$15))/($B$14-$B$15)),IF(AND('Entrada das massas'!C38&lt;=$B$14,'Entrada das massas'!C38&gt;$B$13),'Entrada das massas'!C38-((($C$14-$C$13)*($B$14-'Entrada das massas'!C38)+($B$13*$C$14)-($B$14*$C$14))/($B$13-$B$14)),IF(AND('Entrada das massas'!C38&lt;=$B$13,'Entrada das massas'!C38&gt;$B$12),'Entrada das massas'!C38-((($C$13-$C$12)*($B$13-'Entrada das massas'!C38)+($B$12*$C$13)-($B$13*$C$13))/($B$12-$B$13)),IF(AND('Entrada das massas'!C38&lt;=$B$12,'Entrada das massas'!C38&gt;$B$11),'Entrada das massas'!C38-((($C$12-$C$11)*($B$12-'Entrada das massas'!C38)+($B$11*$C$12)-($B$12*$C$12))/($B$11-$B$12)), IF(AND('Entrada das massas'!C38&lt;=$B$11,'Entrada das massas'!C38&gt;$B$10),'Entrada das massas'!C38-((($C$11-$C$10)*($B$11-'Entrada das massas'!C38)+($B$10*$C$11)-($B$11*$C$11))/($B$10-$B$11)),IF(AND('Entrada das massas'!C38&lt;=$B$10,'Entrada das massas'!C38&gt;$B$9),'Entrada das massas'!C38-((($C$10-$C$9)*($B$10-'Entrada das massas'!C38)+($B$9*$C$10)-($B$10*$C$10))/($B$9-$B$10)),IF(AND('Entrada das massas'!C38&lt;=$B$9,'Entrada das massas'!C38&gt;$B$8),'Entrada das massas'!C38-((($C$9-$C$8)*($B$9-'Entrada das massas'!C38)+($B$8*$C$9)-($B$9*$C$9))/($B$8-$B$9)),IF(AND('Entrada das massas'!C38&lt;=$B$8,'Entrada das massas'!C38&gt;$B$7),'Entrada das massas'!C38-((($C$8-$C$7)*($B$8-'Entrada das massas'!C38)+($B$7*$C$8)-($B$8*$C$8))/($B$7-$B$8)),IF(AND('Entrada das massas'!C38&lt;=$B$7,'Entrada das massas'!C38&gt;$B$6),'Entrada das massas'!C38-((($C$7-$C$6)*($B$7-'Entrada das massas'!C38)+($B$6*$C$7)-($B$7*$C$7))/($B$6-$B$7)),IF(AND('Entrada das massas'!C38&lt;=$B$6,'Entrada das massas'!C38&gt;$B$5),'Entrada das massas'!C38-((($C$6-$C$5)*($B$6-'Entrada das massas'!C38)+($B$5*$C$6)-($B$6*$C$6))/($B$5-$B$6)),IF('Entrada das massas'!C38&lt;=$B$5,'Entrada das massas'!C38-$C$5))))))))))))))))</f>
        <v>15.61489877022</v>
      </c>
      <c r="C58" s="112">
        <f>(IF(AND(B58&lt;=$B$20,B58&gt;$B$19),$D$19+($B$19-B58)/($B$19-$B$20)*($D$20-$D$19),IF(AND(B58&lt;=$B$19,B58&gt;$B$18),$D$18+($B$18-B58)/($B$18-$B$19)*($D$19-$D$18),IF(AND(B58&lt;=$B$18,B58&gt;$B$17),$D$17+($B$17-B58)/($B$17-$B$18)*($D$18-$D$17),IF(AND(B58&lt;=$B$17,B58&gt;$B$16),$D$16+($B$16-B58)/($B$16-$B$17)*($D$17-$D$16),IF(AND(B58&lt;=$B$16,B58&gt;$B$15),$D$15+($B$15-B58)/($B$15-$B$16)*($D$16-$D$15),IF(AND(B58&lt;=$B$15,B58&gt;$B$14),$D$14+($B$14-B58)/($B$14-$B$15)*($D$15-$D$14),IF(AND(B58&lt;=$B$14,B58&gt;$B$13),$D$13+($B$13-B58)/($B$13-$B$14)*($D$14-$D$13),IF(AND(B58&lt;=$B$13,B58&gt;$B$12),$D$12+($B$12-B58)/($B$12-$B$13)*($D$13-$D$12),IF(AND(B58&lt;=$B$12,B58&gt;$B$11),$D$11+($B$11-B58)/($B$11-$B$12)*($D$12-$D$11),IF(AND(B58&lt;=$B$11,B58&gt;$B$10),$D$10+($B$10-B58)/($B$10-$B$11)*($D$11-$D$10),IF(AND(B58&lt;=$B$10,B58&gt;$B$9),$D$9+($B$9-B58)/($B$9-$B$10)*($D$10-$D$9),IF(AND(B58&lt;=$B$9,B58&gt;$B$8),$D$8+($B$8-B58)/($B$8-$B$9)*($D$9-$D$8),IF(AND(B58&lt;=$B$8,B58&gt;$B$7),$D$7+($B$7-B58)/($B$7-$B$8)*($D$8-$D$7),IF(AND(B58&lt;=$B$7,B58&gt;$B$6),$D$6+($B$6-B58)/($B$6-$B$7)*($D$7-$D$6),IF(B58&lt;=$B$6,$D$6))))))))))))))))</f>
        <v>1.0000000000000001E-5</v>
      </c>
      <c r="D58" s="110" t="s">
        <v>147</v>
      </c>
      <c r="E58" s="119">
        <f>B58-B57</f>
        <v>1.1231277537400004</v>
      </c>
      <c r="F58" s="112">
        <f>SQRT(SUMSQ(C57:C58))</f>
        <v>1.4142135623730951E-5</v>
      </c>
      <c r="H58" s="115" t="str">
        <f>IF(I56="","","Frasco + Amostra")</f>
        <v/>
      </c>
      <c r="I58" s="116" t="str">
        <f>IF('Entrada das massas'!I38="","",IF(AND('Entrada das massas'!I38&lt;=$B$20,'Entrada das massas'!I38&gt;$B$19),'Entrada das massas'!I38-((($C$20-$C$19)*($B$20-'Entrada das massas'!I38)+($B$19*$C$20)-($B$20*$C$20))/($B$19-$B$20)),IF(AND('Entrada das massas'!I38&lt;=$B$19,'Entrada das massas'!I38&gt;$B$18),'Entrada das massas'!I38-((($C$19-$C$18)*($B$19-'Entrada das massas'!I38)+($B$18*$C$19)-($B$19*$C$19))/($B$18-$B$19)),IF(AND('Entrada das massas'!I38&lt;=$B$18,'Entrada das massas'!I38&gt;$B$17),'Entrada das massas'!I38-((($C$18-$C$17)*($B$18-'Entrada das massas'!I38)+($B$17*$C$18)-($B$18*$C$18))/($B$17-$B$18)),IF(AND('Entrada das massas'!I38&lt;=$B$17,'Entrada das massas'!I38&gt;$B$16),'Entrada das massas'!I38-((($C$17-$C$16)*($B$17-'Entrada das massas'!I38)+($B$16*$C$17)-($B$17*$C$17))/($B$16-$B$17)),IF(AND('Entrada das massas'!I38&lt;=$B$16,'Entrada das massas'!I38&gt;$B$15),'Entrada das massas'!I38-((($C$16-$C$15)*($B$16-'Entrada das massas'!I38)+($B$15*$C$16)-($B$16*$C$16))/($B$15-$B$16)),IF(AND('Entrada das massas'!I38&lt;=$B$15,'Entrada das massas'!I38&gt;$B$14),'Entrada das massas'!I38-((($C$15-$C$14)*($B$15-'Entrada das massas'!I38)+($B$14*$C$15)-($B$15*$C$15))/($B$14-$B$15)),IF(AND('Entrada das massas'!I38&lt;=$B$14,'Entrada das massas'!I38&gt;$B$13),'Entrada das massas'!I38-((($C$14-$C$13)*($B$14-'Entrada das massas'!I38)+($B$13*$C$14)-($B$14*$C$14))/($B$13-$B$14)),IF(AND('Entrada das massas'!I38&lt;=$B$13,'Entrada das massas'!I38&gt;$B$12),'Entrada das massas'!I38-((($C$13-$C$12)*($B$13-'Entrada das massas'!I38)+($B$12*$C$13)-($B$13*$C$13))/($B$12-$B$13)),IF(AND('Entrada das massas'!I38&lt;=$B$12,'Entrada das massas'!I38&gt;$B$11),'Entrada das massas'!I38-((($C$12-$C$11)*($B$12-'Entrada das massas'!I38)+($B$11*$C$12)-($B$12*$C$12))/($B$11-$B$12)),IF(AND('Entrada das massas'!I38&lt;=$B$11,'Entrada das massas'!I38&gt;$B$10),'Entrada das massas'!I38-((($C$11-$C$10)*($B$11-'Entrada das massas'!I38)+($B$10*$C$11)-($B$11*$C$11))/($B$10-$B$11)),IF(AND('Entrada das massas'!I38&lt;=$B$10,'Entrada das massas'!I38&gt;$B$9),'Entrada das massas'!I38-((($C$10-$C$9)*($B$10-'Entrada das massas'!I38)+($B$9*$C$10)-($B$10*$C$10))/($B$9-$B$10)),IF(AND('Entrada das massas'!I38&lt;=$B$9,'Entrada das massas'!I38&gt;$B$8),'Entrada das massas'!I38-((($C$9-$C$8)*($B$9-'Entrada das massas'!I38)+($B$8*$C$9)-($B$9*$C$9))/($B$8-$B$9)),IF(AND('Entrada das massas'!I38&lt;=$B$8,'Entrada das massas'!I38&gt;$B$7),'Entrada das massas'!I38-((($C$8-$C$7)*($B$8-'Entrada das massas'!I38)+($B$7*$C$8)-($B$8*$C$8))/($B$7-$B$8)),IF(AND('Entrada das massas'!I38&lt;=$B$7,'Entrada das massas'!I38&gt;$B$6),'Entrada das massas'!I38-((($C$7-$C$6)*($B$7-'Entrada das massas'!I38)+($B$6*$C$7)-($B$7*$C$7))/($B$6-$B$7)),IF(AND('Entrada das massas'!I38&lt;=$B$6,'Entrada das massas'!I38&gt;$B$5),'Entrada das massas'!I38-((($C$6-$C$5)*($B$6-'Entrada das massas'!I38)+($B$5*$C$6)-($B$6*$C$6))/($B$5-$B$6)),IF('Entrada das massas'!I38&lt;=$B$5,'Entrada das massas'!I38-$C$5)))))))))))))))))</f>
        <v/>
      </c>
      <c r="J58" s="117" t="str">
        <f t="shared" ref="J58:J59" si="21">IF(I58="","",(IF(AND(I58&lt;=$B$20,I58&gt;$B$19),$D$19+($B$19-I58)/($B$19-$B$20)*($D$20-$D$19),IF(AND(I58&lt;=$B$19,I58&gt;$B$18),$D$18+($B$18-I58)/($B$18-$B$19)*($D$19-$D$18),IF(AND(I58&lt;=$B$18,I58&gt;$B$17),$D$17+($B$17-I58)/($B$17-$B$18)*($D$18-$D$17),IF(AND(I58&lt;=$B$17,I58&gt;$B$16),$D$16+($B$16-I58)/($B$16-$B$17)*($D$17-$D$16),IF(AND(I58&lt;=$B$16,I58&gt;$B$15),$D$15+($B$15-I58)/($B$15-$B$16)*($D$16-$D$15),IF(AND(I58&lt;=$B$15,I58&gt;$B$14),$D$14+($B$14-I58)/($B$14-$B$15)*($D$15-$D$14),IF(AND(I58&lt;=$B$14,I58&gt;$B$13),$D$13+($B$13-I58)/($B$13-$B$14)*($D$14-$D$13),IF(AND(I58&lt;=$B$13,I58&gt;$B$12),$D$12+($B$12-I58)/($B$12-$B$13)*($D$13-$D$12),IF(AND(I58&lt;=$B$12,I58&gt;$B$11),$D$11+($B$11-I58)/($B$11-$B$12)*($D$12-$D$11),IF(AND(I58&lt;=$B$11,I58&gt;$B$10),$D$10+($B$10-I58)/($B$10-$B$11)*($D$11-$D$10),IF(AND(I58&lt;=$B$10,I58&gt;$B$9),$D$9+($B$9-I58)/($B$9-$B$10)*($D$10-$D$9),IF(AND(I58&lt;=$B$9,I58&gt;$B$8),$D$8+($B$8-I58)/($B$8-$B$9)*($D$9-$D$8),IF(AND(I58&lt;=$B$8,I58&gt;$B$7),$D$7+($B$7-I58)/($B$7-$B$8)*($D$8-$D$7),IF(AND(I58&lt;=$B$7,I58&gt;$B$6),$D$6+($B$6-I58)/($B$6-$B$7)*($D$7-$D$6),IF(I58&lt;=$B$6,$D$6)))))))))))))))))</f>
        <v/>
      </c>
      <c r="K58" s="120" t="str">
        <f>IF(I57="","",I58-I57)</f>
        <v/>
      </c>
      <c r="L58" s="117" t="str">
        <f>IF(J57="","",SQRT(SUMSQ(J57:J58)))</f>
        <v/>
      </c>
      <c r="M58" s="93" t="str">
        <f>IF(I56="","","Amostra")</f>
        <v/>
      </c>
      <c r="N58" s="118"/>
      <c r="O58" s="115" t="str">
        <f>IF(P56="","","Frasco + Amostra")</f>
        <v/>
      </c>
      <c r="P58" s="95" t="str">
        <f>IF('Entrada das massas'!N38="","",IF(AND('Entrada das massas'!N38&lt;=$B$20,'Entrada das massas'!N38&gt;$B$19),'Entrada das massas'!N38-((($C$20-$C$19)*($B$20-'Entrada das massas'!N38)+($B$19*$C$20)-($B$20*$C$20))/($B$19-$B$20)),IF(AND('Entrada das massas'!N38&lt;=$B$19,'Entrada das massas'!N38&gt;$B$18),'Entrada das massas'!N38-((($C$19-$C$18)*($B$19-'Entrada das massas'!N38)+($B$18*$C$19)-($B$19*$C$19))/($B$18-$B$19)),IF(AND('Entrada das massas'!N38&lt;=$B$18,'Entrada das massas'!N38&gt;$B$17),'Entrada das massas'!N38-((($C$18-$C$17)*($B$18-'Entrada das massas'!N38)+($B$17*$C$18)-($B$18*$C$18))/($B$17-$B$18)),IF(AND('Entrada das massas'!N38&lt;=$B$17,'Entrada das massas'!N38&gt;$B$16),'Entrada das massas'!N38-((($C$17-$C$16)*($B$17-'Entrada das massas'!N38)+($B$16*$C$17)-($B$17*$C$17))/($B$16-$B$17)),IF(AND('Entrada das massas'!N38&lt;=$B$16,'Entrada das massas'!N38&gt;$B$15),'Entrada das massas'!N38-((($C$16-$C$15)*($B$16-'Entrada das massas'!N38)+($B$15*$C$16)-($B$16*$C$16))/($B$15-$B$16)),IF(AND('Entrada das massas'!N38&lt;=$B$15,'Entrada das massas'!N38&gt;$B$14),'Entrada das massas'!N38-((($C$15-$C$14)*($B$15-'Entrada das massas'!N38)+($B$14*$C$15)-($B$15*$C$15))/($B$14-$B$15)),IF(AND('Entrada das massas'!N38&lt;=$B$14,'Entrada das massas'!N38&gt;$B$13),'Entrada das massas'!N38-((($C$14-$C$13)*($B$14-'Entrada das massas'!N38)+($B$13*$C$14)-($B$14*$C$14))/($B$13-$B$14)),IF(AND('Entrada das massas'!N38&lt;=$B$13,'Entrada das massas'!N38&gt;$B$12),'Entrada das massas'!N38-((($C$13-$C$12)*($B$13-'Entrada das massas'!N38)+($B$12*$C$13)-($B$13*$C$13))/($B$12-$B$13)),IF(AND('Entrada das massas'!N38&lt;=$B$12,'Entrada das massas'!N38&gt;$B$11),'Entrada das massas'!N38-((($C$12-$C$11)*($B$12-'Entrada das massas'!N38)+($B$11*$C$12)-($B$12*$C$12))/($B$11-$B$12)),IF(AND('Entrada das massas'!N38&lt;=$B$11,'Entrada das massas'!N38&gt;$B$10),'Entrada das massas'!N38-((($C$11-$C$10)*($B$11-'Entrada das massas'!N38)+($B$10*$C$11)-($B$11*$C$11))/($B$10-$B$11)),IF(AND('Entrada das massas'!N38&lt;=$B$10,'Entrada das massas'!N38&gt;$B$9),'Entrada das massas'!N38-((($C$10-$C$9)*($B$10-'Entrada das massas'!N38)+($B$9*$C$10)-($B$10*$C$10))/($B$9-$B$10)),IF(AND('Entrada das massas'!N38&lt;=$B$9,'Entrada das massas'!N38&gt;$B$8),'Entrada das massas'!N38-((($C$9-$C$8)*($B$9-'Entrada das massas'!N38)+($B$8*$C$9)-($B$9*$C$9))/($B$8-$B$9)),IF(AND('Entrada das massas'!N38&lt;=$B$8,'Entrada das massas'!N38&gt;$B$7),'Entrada das massas'!N38-((($C$8-$C$7)*($B$8-'Entrada das massas'!N38)+($B$7*$C$8)-($B$8*$C$8))/($B$7-$B$8)),IF(AND('Entrada das massas'!N38&lt;=$B$7,'Entrada das massas'!N38&gt;$B$6),'Entrada das massas'!N38-((($C$7-$C$6)*($B$7-'Entrada das massas'!N38)+($B$6*$C$7)-($B$7*$C$7))/($B$6-$B$7)),IF(AND('Entrada das massas'!N38&lt;=$B$6,'Entrada das massas'!N38&gt;$B$5),'Entrada das massas'!N38-((($C$6-$C$5)*($B$6-'Entrada das massas'!N38)+($B$5*$C$6)-($B$6*$C$6))/($B$5-$B$6)),IF('Entrada das massas'!N38&lt;=$B$5,'Entrada das massas'!N38-$C$5)))))))))))))))))</f>
        <v/>
      </c>
      <c r="Q58" s="117" t="str">
        <f t="shared" ref="Q58:Q59" si="22">IF(P58="","",(IF(AND(P58&lt;=$B$20,P58&gt;$B$19),$D$19+($B$19-P58)/($B$19-$B$20)*($D$20-$D$19),IF(AND(P58&lt;=$B$19,P58&gt;$B$18),$D$18+($B$18-P58)/($B$18-$B$19)*($D$19-$D$18),IF(AND(P58&lt;=$B$18,P58&gt;$B$17),$D$17+($B$17-P58)/($B$17-$B$18)*($D$18-$D$17),IF(AND(P58&lt;=$B$17,P58&gt;$B$16),$D$16+($B$16-P58)/($B$16-$B$17)*($D$17-$D$16),IF(AND(P58&lt;=$B$16,P58&gt;$B$15),$D$15+($B$15-P58)/($B$15-$B$16)*($D$16-$D$15),IF(AND(P58&lt;=$B$15,P58&gt;$B$14),$D$14+($B$14-P58)/($B$14-$B$15)*($D$15-$D$14),IF(AND(P58&lt;=$B$14,P58&gt;$B$13),$D$13+($B$13-P58)/($B$13-$B$14)*($D$14-$D$13),IF(AND(P58&lt;=$B$13,P58&gt;$B$12),$D$12+($B$12-P58)/($B$12-$B$13)*($D$13-$D$12),IF(AND(P58&lt;=$B$12,P58&gt;$B$11),$D$11+($B$11-P58)/($B$11-$B$12)*($D$12-$D$11),IF(AND(P58&lt;=$B$11,P58&gt;$B$10),$D$10+($B$10-P58)/($B$10-$B$11)*($D$11-$D$10),IF(AND(P58&lt;=$B$10,P58&gt;$B$9),$D$9+($B$9-P58)/($B$9-$B$10)*($D$10-$D$9),IF(AND(P58&lt;=$B$9,P58&gt;$B$8),$D$8+($B$8-P58)/($B$8-$B$9)*($D$9-$D$8),IF(AND(P58&lt;=$B$8,P58&gt;$B$7),$D$7+($B$7-P58)/($B$7-$B$8)*($D$8-$D$7),IF(AND(P58&lt;=$B$7,P58&gt;$B$6),$D$6+($B$6-P58)/($B$6-$B$7)*($D$7-$D$6),IF(P58&lt;=$B$6,$D$6)))))))))))))))))</f>
        <v/>
      </c>
      <c r="R58" s="120" t="str">
        <f>IF(P57="","",P58-P57)</f>
        <v/>
      </c>
      <c r="S58" s="117" t="str">
        <f>IF(Q57="","",SQRT(SUMSQ(Q57:Q58)))</f>
        <v/>
      </c>
      <c r="T58" s="93" t="str">
        <f>IF(P56="","","Amostra")</f>
        <v/>
      </c>
      <c r="U58" s="118"/>
      <c r="V58" s="115" t="str">
        <f>IF(W56="","","Frasco + Amostra")</f>
        <v/>
      </c>
      <c r="W58" s="95" t="str">
        <f>IF('Entrada das massas'!S38="","",IF(AND('Entrada das massas'!S38&lt;=$B$20,'Entrada das massas'!S38&gt;$B$19),'Entrada das massas'!S38-((($C$20-$C$19)*($B$20-'Entrada das massas'!S38)+($B$19*$C$20)-($B$20*$C$20))/($B$19-$B$20)),IF(AND('Entrada das massas'!S38&lt;=$B$19,'Entrada das massas'!S38&gt;$B$18),'Entrada das massas'!S38-((($C$19-$C$18)*($B$19-'Entrada das massas'!S38)+($B$18*$C$19)-($B$19*$C$19))/($B$18-$B$19)),IF(AND('Entrada das massas'!S38&lt;=$B$18,'Entrada das massas'!S38&gt;$B$17),'Entrada das massas'!S38-((($C$18-$C$17)*($B$18-'Entrada das massas'!S38)+($B$17*$C$18)-($B$18*$C$18))/($B$17-$B$18)),IF(AND('Entrada das massas'!S38&lt;=$B$17,'Entrada das massas'!S38&gt;$B$16),'Entrada das massas'!S38-((($C$17-$C$16)*($B$17-'Entrada das massas'!S38)+($B$16*$C$17)-($B$17*$C$17))/($B$16-$B$17)),IF(AND('Entrada das massas'!S38&lt;=$B$16,'Entrada das massas'!S38&gt;$B$15),'Entrada das massas'!S38-((($C$16-$C$15)*($B$16-'Entrada das massas'!S38)+($B$15*$C$16)-($B$16*$C$16))/($B$15-$B$16)),IF(AND('Entrada das massas'!S38&lt;=$B$15,'Entrada das massas'!S38&gt;$B$14),'Entrada das massas'!S38-((($C$15-$C$14)*($B$15-'Entrada das massas'!S38)+($B$14*$C$15)-($B$15*$C$15))/($B$14-$B$15)),IF(AND('Entrada das massas'!S38&lt;=$B$14,'Entrada das massas'!S38&gt;$B$13),'Entrada das massas'!S38-((($C$14-$C$13)*($B$14-'Entrada das massas'!S38)+($B$13*$C$14)-($B$14*$C$14))/($B$13-$B$14)),IF(AND('Entrada das massas'!S38&lt;=$B$13,'Entrada das massas'!S38&gt;$B$12),'Entrada das massas'!S38-((($C$13-$C$12)*($B$13-'Entrada das massas'!S38)+($B$12*$C$13)-($B$13*$C$13))/($B$12-$B$13)),IF(AND('Entrada das massas'!S38&lt;=$B$12,'Entrada das massas'!S38&gt;$B$11),'Entrada das massas'!S38-((($C$12-$C$11)*($B$12-'Entrada das massas'!S38)+($B$11*$C$12)-($B$12*$C$12))/($B$11-$B$12)),IF(AND('Entrada das massas'!S38&lt;=$B$11,'Entrada das massas'!S38&gt;$B$10),'Entrada das massas'!S38-((($C$11-$C$10)*($B$11-'Entrada das massas'!S38)+($B$10*$C$11)-($B$11*$C$11))/($B$10-$B$11)),IF(AND('Entrada das massas'!S38&lt;=$B$10,'Entrada das massas'!S38&gt;$B$9),'Entrada das massas'!S38-((($C$10-$C$9)*($B$10-'Entrada das massas'!S38)+($B$9*$C$10)-($B$10*$C$10))/($B$9-$B$10)),IF(AND('Entrada das massas'!S38&lt;=$B$9,'Entrada das massas'!S38&gt;$B$8),'Entrada das massas'!S38-((($C$9-$C$8)*($B$9-'Entrada das massas'!S38)+($B$8*$C$9)-($B$9*$C$9))/($B$8-$B$9)),IF(AND('Entrada das massas'!S38&lt;=$B$8,'Entrada das massas'!S38&gt;$B$7),'Entrada das massas'!S38-((($C$8-$C$7)*($B$8-'Entrada das massas'!S38)+($B$7*$C$8)-($B$8*$C$8))/($B$7-$B$8)),IF(AND('Entrada das massas'!S38&lt;=$B$7,'Entrada das massas'!S38&gt;$B$6),'Entrada das massas'!S38-((($C$7-$C$6)*($B$7-'Entrada das massas'!S38)+($B$6*$C$7)-($B$7*$C$7))/($B$6-$B$7)),IF(AND('Entrada das massas'!S38&lt;=$B$6,'Entrada das massas'!S38&gt;$B$5),'Entrada das massas'!S38-((($C$6-$C$5)*($B$6-'Entrada das massas'!S38)+($B$5*$C$6)-($B$6*$C$6))/($B$5-$B$6)),IF('Entrada das massas'!S38&lt;=$B$5,'Entrada das massas'!S38-$C$5)))))))))))))))))</f>
        <v/>
      </c>
      <c r="X58" s="117" t="str">
        <f t="shared" ref="X58:X59" si="23">IF(W58="","",(IF(AND(W58&lt;=$B$20,W58&gt;$B$19),$D$19+($B$19-W58)/($B$19-$B$20)*($D$20-$D$19),IF(AND(W58&lt;=$B$19,W58&gt;$B$18),$D$18+($B$18-W58)/($B$18-$B$19)*($D$19-$D$18),IF(AND(W58&lt;=$B$18,W58&gt;$B$17),$D$17+($B$17-W58)/($B$17-$B$18)*($D$18-$D$17),IF(AND(W58&lt;=$B$17,W58&gt;$B$16),$D$16+($B$16-W58)/($B$16-$B$17)*($D$17-$D$16),IF(AND(W58&lt;=$B$16,W58&gt;$B$15),$D$15+($B$15-W58)/($B$15-$B$16)*($D$16-$D$15),IF(AND(W58&lt;=$B$15,W58&gt;$B$14),$D$14+($B$14-W58)/($B$14-$B$15)*($D$15-$D$14),IF(AND(W58&lt;=$B$14,W58&gt;$B$13),$D$13+($B$13-W58)/($B$13-$B$14)*($D$14-$D$13),IF(AND(W58&lt;=$B$13,W58&gt;$B$12),$D$12+($B$12-W58)/($B$12-$B$13)*($D$13-$D$12),IF(AND(W58&lt;=$B$12,W58&gt;$B$11),$D$11+($B$11-W58)/($B$11-$B$12)*($D$12-$D$11),IF(AND(W58&lt;=$B$11,W58&gt;$B$10),$D$10+($B$10-W58)/($B$10-$B$11)*($D$11-$D$10),IF(AND(W58&lt;=$B$10,W58&gt;$B$9),$D$9+($B$9-W58)/($B$9-$B$10)*($D$10-$D$9),IF(AND(W58&lt;=$B$9,W58&gt;$B$8),$D$8+($B$8-W58)/($B$8-$B$9)*($D$9-$D$8),IF(AND(W58&lt;=$B$8,W58&gt;$B$7),$D$7+($B$7-W58)/($B$7-$B$8)*($D$8-$D$7),IF(AND(W58&lt;=$B$7,W58&gt;$B$6),$D$6+($B$6-W58)/($B$6-$B$7)*($D$7-$D$6),IF(W58&lt;=$B$6,$D$6)))))))))))))))))</f>
        <v/>
      </c>
      <c r="Y58" s="120" t="str">
        <f>IF(W57="","",W58-W57)</f>
        <v/>
      </c>
      <c r="Z58" s="117" t="str">
        <f>IF(X57="","",SQRT(SUMSQ(X57:X58)))</f>
        <v/>
      </c>
      <c r="AA58" s="93" t="str">
        <f>IF(W56="","","Amostra")</f>
        <v/>
      </c>
      <c r="AB58" s="152"/>
      <c r="AC58" s="153"/>
      <c r="AD58" s="93"/>
      <c r="AE58" s="149"/>
      <c r="AF58" s="101"/>
      <c r="AG58" s="145"/>
      <c r="AH58" s="101"/>
      <c r="AI58" s="145"/>
      <c r="AJ58" s="101"/>
      <c r="AK58" s="145"/>
      <c r="AL58" s="101"/>
      <c r="AM58" s="150"/>
      <c r="AO58" s="150"/>
    </row>
    <row r="59" spans="1:46" s="98" customFormat="1" x14ac:dyDescent="0.2">
      <c r="A59" s="122" t="s">
        <v>58</v>
      </c>
      <c r="B59" s="111">
        <f>IF(AND('Entrada das massas'!C39&lt;=$B$20,'Entrada das massas'!C39&gt;$B$19),'Entrada das massas'!C39-((($C$20-$C$19)*($B$20-'Entrada das massas'!C39)+($B$19*$C$20)-($B$20*$C$20))/($B$19-$B$20)),IF(AND('Entrada das massas'!C39&lt;=$B$19,'Entrada das massas'!C39&gt;$B$18),'Entrada das massas'!C39-((($C$19-$C$18)*($B$19-'Entrada das massas'!C39)+($B$18*$C$19)-($B$19*$C$19))/($B$18-$B$19)),IF(AND('Entrada das massas'!C39&lt;=$B$18,'Entrada das massas'!C39&gt;$B$17),'Entrada das massas'!C39-((($C$18-$C$17)*($B$18-'Entrada das massas'!C39)+($B$17*$C$18)-($B$18*$C$18))/($B$17-$B$18)),IF(AND('Entrada das massas'!C39&lt;=$B$17,'Entrada das massas'!C39&gt;$B$16),'Entrada das massas'!C39-((($C$17-$C$16)*($B$17-'Entrada das massas'!C39)+($B$16*$C$17)-($B$17*$C$17))/($B$16-$B$17)),IF(AND('Entrada das massas'!C39&lt;=$B$16,'Entrada das massas'!C39&gt;$B$15),'Entrada das massas'!C39-((($C$16-$C$15)*($B$16-'Entrada das massas'!C39)+($B$15*$C$16)-($B$16*$C$16))/($B$15-$B$16)),IF(AND('Entrada das massas'!C39&lt;=$B$15,'Entrada das massas'!C39&gt;$B$14),'Entrada das massas'!C39-((($C$15-$C$14)*($B$15-'Entrada das massas'!C39)+($B$14*$C$15)-($B$15*$C$15))/($B$14-$B$15)),IF(AND('Entrada das massas'!C39&lt;=$B$14,'Entrada das massas'!C39&gt;$B$13),'Entrada das massas'!C39-((($C$14-$C$13)*($B$14-'Entrada das massas'!C39)+($B$13*$C$14)-($B$14*$C$14))/($B$13-$B$14)),IF(AND('Entrada das massas'!C39&lt;=$B$13,'Entrada das massas'!C39&gt;$B$12),'Entrada das massas'!C39-((($C$13-$C$12)*($B$13-'Entrada das massas'!C39)+($B$12*$C$13)-($B$13*$C$13))/($B$12-$B$13)),IF(AND('Entrada das massas'!C39&lt;=$B$12,'Entrada das massas'!C39&gt;$B$11),'Entrada das massas'!C39-((($C$12-$C$11)*($B$12-'Entrada das massas'!C39)+($B$11*$C$12)-($B$12*$C$12))/($B$11-$B$12)), IF(AND('Entrada das massas'!C39&lt;=$B$11,'Entrada das massas'!C39&gt;$B$10),'Entrada das massas'!C39-((($C$11-$C$10)*($B$11-'Entrada das massas'!C39)+($B$10*$C$11)-($B$11*$C$11))/($B$10-$B$11)),IF(AND('Entrada das massas'!C39&lt;=$B$10,'Entrada das massas'!C39&gt;$B$9),'Entrada das massas'!C39-((($C$10-$C$9)*($B$10-'Entrada das massas'!C39)+($B$9*$C$10)-($B$10*$C$10))/($B$9-$B$10)),IF(AND('Entrada das massas'!C39&lt;=$B$9,'Entrada das massas'!C39&gt;$B$8),'Entrada das massas'!C39-((($C$9-$C$8)*($B$9-'Entrada das massas'!C39)+($B$8*$C$9)-($B$9*$C$9))/($B$8-$B$9)),IF(AND('Entrada das massas'!C39&lt;=$B$8,'Entrada das massas'!C39&gt;$B$7),'Entrada das massas'!C39-((($C$8-$C$7)*($B$8-'Entrada das massas'!C39)+($B$7*$C$8)-($B$8*$C$8))/($B$7-$B$8)),IF(AND('Entrada das massas'!C39&lt;=$B$7,'Entrada das massas'!C39&gt;$B$6),'Entrada das massas'!C39-((($C$7-$C$6)*($B$7-'Entrada das massas'!C39)+($B$6*$C$7)-($B$7*$C$7))/($B$6-$B$7)),IF(AND('Entrada das massas'!C39&lt;=$B$6,'Entrada das massas'!C39&gt;$B$5),'Entrada das massas'!C39-((($C$6-$C$5)*($B$6-'Entrada das massas'!C39)+($B$5*$C$6)-($B$6*$C$6))/($B$5-$B$6)),IF('Entrada das massas'!C39&lt;=$B$5,'Entrada das massas'!C39-$C$5))))))))))))))))</f>
        <v>64.822764822730008</v>
      </c>
      <c r="C59" s="112">
        <f>(IF(AND(B59&lt;=$B$20,B59&gt;$B$19),$D$19+($B$19-B59)/($B$19-$B$20)*($D$20-$D$19),IF(AND(B59&lt;=$B$19,B59&gt;$B$18),$D$18+($B$18-B59)/($B$18-$B$19)*($D$19-$D$18),IF(AND(B59&lt;=$B$18,B59&gt;$B$17),$D$17+($B$17-B59)/($B$17-$B$18)*($D$18-$D$17),IF(AND(B59&lt;=$B$17,B59&gt;$B$16),$D$16+($B$16-B59)/($B$16-$B$17)*($D$17-$D$16),IF(AND(B59&lt;=$B$16,B59&gt;$B$15),$D$15+($B$15-B59)/($B$15-$B$16)*($D$16-$D$15),IF(AND(B59&lt;=$B$15,B59&gt;$B$14),$D$14+($B$14-B59)/($B$14-$B$15)*($D$15-$D$14),IF(AND(B59&lt;=$B$14,B59&gt;$B$13),$D$13+($B$13-B59)/($B$13-$B$14)*($D$14-$D$13),IF(AND(B59&lt;=$B$13,B59&gt;$B$12),$D$12+($B$12-B59)/($B$12-$B$13)*($D$13-$D$12),IF(AND(B59&lt;=$B$12,B59&gt;$B$11),$D$11+($B$11-B59)/($B$11-$B$12)*($D$12-$D$11),IF(AND(B59&lt;=$B$11,B59&gt;$B$10),$D$10+($B$10-B59)/($B$10-$B$11)*($D$11-$D$10),IF(AND(B59&lt;=$B$10,B59&gt;$B$9),$D$9+($B$9-B59)/($B$9-$B$10)*($D$10-$D$9),IF(AND(B59&lt;=$B$9,B59&gt;$B$8),$D$8+($B$8-B59)/($B$8-$B$9)*($D$9-$D$8),IF(AND(B59&lt;=$B$8,B59&gt;$B$7),$D$7+($B$7-B59)/($B$7-$B$8)*($D$8-$D$7),IF(AND(B59&lt;=$B$7,B59&gt;$B$6),$D$6+($B$6-B59)/($B$6-$B$7)*($D$7-$D$6),IF(B59&lt;=$B$6,$D$6))))))))))))))))</f>
        <v>2.5000000000000001E-5</v>
      </c>
      <c r="D59" s="113" t="s">
        <v>158</v>
      </c>
      <c r="E59" s="119">
        <f>B59-B57</f>
        <v>50.330993806250007</v>
      </c>
      <c r="F59" s="112">
        <f>SQRT(SUMSQ(C57,C59))</f>
        <v>2.6925824035672523E-5</v>
      </c>
      <c r="H59" s="123" t="str">
        <f>IF(I56="","","Massa final")</f>
        <v/>
      </c>
      <c r="I59" s="116" t="str">
        <f>IF('Entrada das massas'!I39="","",IF(AND('Entrada das massas'!I39&lt;=$B$20,'Entrada das massas'!I39&gt;$B$19),'Entrada das massas'!I39-((($C$20-$C$19)*($B$20-'Entrada das massas'!I39)+($B$19*$C$20)-($B$20*$C$20))/($B$19-$B$20)),IF(AND('Entrada das massas'!I39&lt;=$B$19,'Entrada das massas'!I39&gt;$B$18),'Entrada das massas'!I39-((($C$19-$C$18)*($B$19-'Entrada das massas'!I39)+($B$18*$C$19)-($B$19*$C$19))/($B$18-$B$19)),IF(AND('Entrada das massas'!I39&lt;=$B$18,'Entrada das massas'!I39&gt;$B$17),'Entrada das massas'!I39-((($C$18-$C$17)*($B$18-'Entrada das massas'!I39)+($B$17*$C$18)-($B$18*$C$18))/($B$17-$B$18)),IF(AND('Entrada das massas'!I39&lt;=$B$17,'Entrada das massas'!I39&gt;$B$16),'Entrada das massas'!I39-((($C$17-$C$16)*($B$17-'Entrada das massas'!I39)+($B$16*$C$17)-($B$17*$C$17))/($B$16-$B$17)),IF(AND('Entrada das massas'!I39&lt;=$B$16,'Entrada das massas'!I39&gt;$B$15),'Entrada das massas'!I39-((($C$16-$C$15)*($B$16-'Entrada das massas'!I39)+($B$15*$C$16)-($B$16*$C$16))/($B$15-$B$16)),IF(AND('Entrada das massas'!I39&lt;=$B$15,'Entrada das massas'!I39&gt;$B$14),'Entrada das massas'!I39-((($C$15-$C$14)*($B$15-'Entrada das massas'!I39)+($B$14*$C$15)-($B$15*$C$15))/($B$14-$B$15)),IF(AND('Entrada das massas'!I39&lt;=$B$14,'Entrada das massas'!I39&gt;$B$13),'Entrada das massas'!I39-((($C$14-$C$13)*($B$14-'Entrada das massas'!I39)+($B$13*$C$14)-($B$14*$C$14))/($B$13-$B$14)),IF(AND('Entrada das massas'!I39&lt;=$B$13,'Entrada das massas'!I39&gt;$B$12),'Entrada das massas'!I39-((($C$13-$C$12)*($B$13-'Entrada das massas'!I39)+($B$12*$C$13)-($B$13*$C$13))/($B$12-$B$13)),IF(AND('Entrada das massas'!I39&lt;=$B$12,'Entrada das massas'!I39&gt;$B$11),'Entrada das massas'!I39-((($C$12-$C$11)*($B$12-'Entrada das massas'!I39)+($B$11*$C$12)-($B$12*$C$12))/($B$11-$B$12)),IF(AND('Entrada das massas'!I39&lt;=$B$11,'Entrada das massas'!I39&gt;$B$10),'Entrada das massas'!I39-((($C$11-$C$10)*($B$11-'Entrada das massas'!I39)+($B$10*$C$11)-($B$11*$C$11))/($B$10-$B$11)),IF(AND('Entrada das massas'!I39&lt;=$B$10,'Entrada das massas'!I39&gt;$B$9),'Entrada das massas'!I39-((($C$10-$C$9)*($B$10-'Entrada das massas'!I39)+($B$9*$C$10)-($B$10*$C$10))/($B$9-$B$10)),IF(AND('Entrada das massas'!I39&lt;=$B$9,'Entrada das massas'!I39&gt;$B$8),'Entrada das massas'!I39-((($C$9-$C$8)*($B$9-'Entrada das massas'!I39)+($B$8*$C$9)-($B$9*$C$9))/($B$8-$B$9)),IF(AND('Entrada das massas'!I39&lt;=$B$8,'Entrada das massas'!I39&gt;$B$7),'Entrada das massas'!I39-((($C$8-$C$7)*($B$8-'Entrada das massas'!I39)+($B$7*$C$8)-($B$8*$C$8))/($B$7-$B$8)),IF(AND('Entrada das massas'!I39&lt;=$B$7,'Entrada das massas'!I39&gt;$B$6),'Entrada das massas'!I39-((($C$7-$C$6)*($B$7-'Entrada das massas'!I39)+($B$6*$C$7)-($B$7*$C$7))/($B$6-$B$7)),IF(AND('Entrada das massas'!I39&lt;=$B$6,'Entrada das massas'!I39&gt;$B$5),'Entrada das massas'!I39-((($C$6-$C$5)*($B$6-'Entrada das massas'!I39)+($B$5*$C$6)-($B$6*$C$6))/($B$5-$B$6)),IF('Entrada das massas'!I39&lt;=$B$5,'Entrada das massas'!I39-$C$5)))))))))))))))))</f>
        <v/>
      </c>
      <c r="J59" s="117" t="str">
        <f t="shared" si="21"/>
        <v/>
      </c>
      <c r="K59" s="120" t="str">
        <f>IF(I57="","",I59-I57)</f>
        <v/>
      </c>
      <c r="L59" s="117" t="str">
        <f>IF(J57="","",SQRT(SUMSQ(J57,J59)))</f>
        <v/>
      </c>
      <c r="M59" s="93" t="str">
        <f>IF(I56="","","Solução")</f>
        <v/>
      </c>
      <c r="N59" s="93"/>
      <c r="O59" s="123" t="str">
        <f>IF(P56="","","Massa final")</f>
        <v/>
      </c>
      <c r="P59" s="95" t="str">
        <f>IF('Entrada das massas'!N39="","",IF(AND('Entrada das massas'!N39&lt;=$B$20,'Entrada das massas'!N39&gt;$B$19),'Entrada das massas'!N39-((($C$20-$C$19)*($B$20-'Entrada das massas'!N39)+($B$19*$C$20)-($B$20*$C$20))/($B$19-$B$20)),IF(AND('Entrada das massas'!N39&lt;=$B$19,'Entrada das massas'!N39&gt;$B$18),'Entrada das massas'!N39-((($C$19-$C$18)*($B$19-'Entrada das massas'!N39)+($B$18*$C$19)-($B$19*$C$19))/($B$18-$B$19)),IF(AND('Entrada das massas'!N39&lt;=$B$18,'Entrada das massas'!N39&gt;$B$17),'Entrada das massas'!N39-((($C$18-$C$17)*($B$18-'Entrada das massas'!N39)+($B$17*$C$18)-($B$18*$C$18))/($B$17-$B$18)),IF(AND('Entrada das massas'!N39&lt;=$B$17,'Entrada das massas'!N39&gt;$B$16),'Entrada das massas'!N39-((($C$17-$C$16)*($B$17-'Entrada das massas'!N39)+($B$16*$C$17)-($B$17*$C$17))/($B$16-$B$17)),IF(AND('Entrada das massas'!N39&lt;=$B$16,'Entrada das massas'!N39&gt;$B$15),'Entrada das massas'!N39-((($C$16-$C$15)*($B$16-'Entrada das massas'!N39)+($B$15*$C$16)-($B$16*$C$16))/($B$15-$B$16)),IF(AND('Entrada das massas'!N39&lt;=$B$15,'Entrada das massas'!N39&gt;$B$14),'Entrada das massas'!N39-((($C$15-$C$14)*($B$15-'Entrada das massas'!N39)+($B$14*$C$15)-($B$15*$C$15))/($B$14-$B$15)),IF(AND('Entrada das massas'!N39&lt;=$B$14,'Entrada das massas'!N39&gt;$B$13),'Entrada das massas'!N39-((($C$14-$C$13)*($B$14-'Entrada das massas'!N39)+($B$13*$C$14)-($B$14*$C$14))/($B$13-$B$14)),IF(AND('Entrada das massas'!N39&lt;=$B$13,'Entrada das massas'!N39&gt;$B$12),'Entrada das massas'!N39-((($C$13-$C$12)*($B$13-'Entrada das massas'!N39)+($B$12*$C$13)-($B$13*$C$13))/($B$12-$B$13)),IF(AND('Entrada das massas'!N39&lt;=$B$12,'Entrada das massas'!N39&gt;$B$11),'Entrada das massas'!N39-((($C$12-$C$11)*($B$12-'Entrada das massas'!N39)+($B$11*$C$12)-($B$12*$C$12))/($B$11-$B$12)),IF(AND('Entrada das massas'!N39&lt;=$B$11,'Entrada das massas'!N39&gt;$B$10),'Entrada das massas'!N39-((($C$11-$C$10)*($B$11-'Entrada das massas'!N39)+($B$10*$C$11)-($B$11*$C$11))/($B$10-$B$11)),IF(AND('Entrada das massas'!N39&lt;=$B$10,'Entrada das massas'!N39&gt;$B$9),'Entrada das massas'!N39-((($C$10-$C$9)*($B$10-'Entrada das massas'!N39)+($B$9*$C$10)-($B$10*$C$10))/($B$9-$B$10)),IF(AND('Entrada das massas'!N39&lt;=$B$9,'Entrada das massas'!N39&gt;$B$8),'Entrada das massas'!N39-((($C$9-$C$8)*($B$9-'Entrada das massas'!N39)+($B$8*$C$9)-($B$9*$C$9))/($B$8-$B$9)),IF(AND('Entrada das massas'!N39&lt;=$B$8,'Entrada das massas'!N39&gt;$B$7),'Entrada das massas'!N39-((($C$8-$C$7)*($B$8-'Entrada das massas'!N39)+($B$7*$C$8)-($B$8*$C$8))/($B$7-$B$8)),IF(AND('Entrada das massas'!N39&lt;=$B$7,'Entrada das massas'!N39&gt;$B$6),'Entrada das massas'!N39-((($C$7-$C$6)*($B$7-'Entrada das massas'!N39)+($B$6*$C$7)-($B$7*$C$7))/($B$6-$B$7)),IF(AND('Entrada das massas'!N39&lt;=$B$6,'Entrada das massas'!N39&gt;$B$5),'Entrada das massas'!N39-((($C$6-$C$5)*($B$6-'Entrada das massas'!N39)+($B$5*$C$6)-($B$6*$C$6))/($B$5-$B$6)),IF('Entrada das massas'!N39&lt;=$B$5,'Entrada das massas'!N39-$C$5)))))))))))))))))</f>
        <v/>
      </c>
      <c r="Q59" s="117" t="str">
        <f t="shared" si="22"/>
        <v/>
      </c>
      <c r="R59" s="120" t="str">
        <f>IF(P57="","",P59-P57)</f>
        <v/>
      </c>
      <c r="S59" s="117" t="str">
        <f>IF(Q57="","",SQRT(SUMSQ(Q57,Q59)))</f>
        <v/>
      </c>
      <c r="T59" s="93" t="str">
        <f>IF(P56="","","Solução")</f>
        <v/>
      </c>
      <c r="U59" s="93"/>
      <c r="V59" s="123" t="str">
        <f>IF(W56="","","Massa final")</f>
        <v/>
      </c>
      <c r="W59" s="95" t="str">
        <f>IF('Entrada das massas'!S39="","",IF(AND('Entrada das massas'!S39&lt;=$B$20,'Entrada das massas'!S39&gt;$B$19),'Entrada das massas'!S39-((($C$20-$C$19)*($B$20-'Entrada das massas'!S39)+($B$19*$C$20)-($B$20*$C$20))/($B$19-$B$20)),IF(AND('Entrada das massas'!S39&lt;=$B$19,'Entrada das massas'!S39&gt;$B$18),'Entrada das massas'!S39-((($C$19-$C$18)*($B$19-'Entrada das massas'!S39)+($B$18*$C$19)-($B$19*$C$19))/($B$18-$B$19)),IF(AND('Entrada das massas'!S39&lt;=$B$18,'Entrada das massas'!S39&gt;$B$17),'Entrada das massas'!S39-((($C$18-$C$17)*($B$18-'Entrada das massas'!S39)+($B$17*$C$18)-($B$18*$C$18))/($B$17-$B$18)),IF(AND('Entrada das massas'!S39&lt;=$B$17,'Entrada das massas'!S39&gt;$B$16),'Entrada das massas'!S39-((($C$17-$C$16)*($B$17-'Entrada das massas'!S39)+($B$16*$C$17)-($B$17*$C$17))/($B$16-$B$17)),IF(AND('Entrada das massas'!S39&lt;=$B$16,'Entrada das massas'!S39&gt;$B$15),'Entrada das massas'!S39-((($C$16-$C$15)*($B$16-'Entrada das massas'!S39)+($B$15*$C$16)-($B$16*$C$16))/($B$15-$B$16)),IF(AND('Entrada das massas'!S39&lt;=$B$15,'Entrada das massas'!S39&gt;$B$14),'Entrada das massas'!S39-((($C$15-$C$14)*($B$15-'Entrada das massas'!S39)+($B$14*$C$15)-($B$15*$C$15))/($B$14-$B$15)),IF(AND('Entrada das massas'!S39&lt;=$B$14,'Entrada das massas'!S39&gt;$B$13),'Entrada das massas'!S39-((($C$14-$C$13)*($B$14-'Entrada das massas'!S39)+($B$13*$C$14)-($B$14*$C$14))/($B$13-$B$14)),IF(AND('Entrada das massas'!S39&lt;=$B$13,'Entrada das massas'!S39&gt;$B$12),'Entrada das massas'!S39-((($C$13-$C$12)*($B$13-'Entrada das massas'!S39)+($B$12*$C$13)-($B$13*$C$13))/($B$12-$B$13)),IF(AND('Entrada das massas'!S39&lt;=$B$12,'Entrada das massas'!S39&gt;$B$11),'Entrada das massas'!S39-((($C$12-$C$11)*($B$12-'Entrada das massas'!S39)+($B$11*$C$12)-($B$12*$C$12))/($B$11-$B$12)),IF(AND('Entrada das massas'!S39&lt;=$B$11,'Entrada das massas'!S39&gt;$B$10),'Entrada das massas'!S39-((($C$11-$C$10)*($B$11-'Entrada das massas'!S39)+($B$10*$C$11)-($B$11*$C$11))/($B$10-$B$11)),IF(AND('Entrada das massas'!S39&lt;=$B$10,'Entrada das massas'!S39&gt;$B$9),'Entrada das massas'!S39-((($C$10-$C$9)*($B$10-'Entrada das massas'!S39)+($B$9*$C$10)-($B$10*$C$10))/($B$9-$B$10)),IF(AND('Entrada das massas'!S39&lt;=$B$9,'Entrada das massas'!S39&gt;$B$8),'Entrada das massas'!S39-((($C$9-$C$8)*($B$9-'Entrada das massas'!S39)+($B$8*$C$9)-($B$9*$C$9))/($B$8-$B$9)),IF(AND('Entrada das massas'!S39&lt;=$B$8,'Entrada das massas'!S39&gt;$B$7),'Entrada das massas'!S39-((($C$8-$C$7)*($B$8-'Entrada das massas'!S39)+($B$7*$C$8)-($B$8*$C$8))/($B$7-$B$8)),IF(AND('Entrada das massas'!S39&lt;=$B$7,'Entrada das massas'!S39&gt;$B$6),'Entrada das massas'!S39-((($C$7-$C$6)*($B$7-'Entrada das massas'!S39)+($B$6*$C$7)-($B$7*$C$7))/($B$6-$B$7)),IF(AND('Entrada das massas'!S39&lt;=$B$6,'Entrada das massas'!S39&gt;$B$5),'Entrada das massas'!S39-((($C$6-$C$5)*($B$6-'Entrada das massas'!S39)+($B$5*$C$6)-($B$6*$C$6))/($B$5-$B$6)),IF('Entrada das massas'!S39&lt;=$B$5,'Entrada das massas'!S39-$C$5)))))))))))))))))</f>
        <v/>
      </c>
      <c r="X59" s="117" t="str">
        <f t="shared" si="23"/>
        <v/>
      </c>
      <c r="Y59" s="120" t="str">
        <f>IF(W57="","",W59-W57)</f>
        <v/>
      </c>
      <c r="Z59" s="117" t="str">
        <f>IF(X57="","",SQRT(SUMSQ(X57,X59)))</f>
        <v/>
      </c>
      <c r="AA59" s="93" t="str">
        <f>IF(W56="","","Solução")</f>
        <v/>
      </c>
      <c r="AB59" s="100"/>
      <c r="AC59" s="151"/>
      <c r="AD59" s="93"/>
      <c r="AE59" s="149"/>
      <c r="AF59" s="101"/>
      <c r="AG59" s="145"/>
      <c r="AH59" s="101"/>
      <c r="AI59" s="145"/>
      <c r="AJ59" s="101"/>
      <c r="AK59" s="145"/>
      <c r="AL59" s="101"/>
      <c r="AM59" s="150"/>
      <c r="AO59" s="150"/>
    </row>
    <row r="60" spans="1:46" s="98" customFormat="1" ht="13.5" thickBot="1" x14ac:dyDescent="0.25">
      <c r="A60" s="143"/>
      <c r="E60" s="139"/>
      <c r="F60" s="93"/>
      <c r="I60" s="93"/>
      <c r="J60" s="139"/>
      <c r="K60" s="139"/>
      <c r="L60" s="139"/>
      <c r="P60" s="93"/>
      <c r="Q60" s="120"/>
      <c r="R60" s="120"/>
      <c r="S60" s="120"/>
      <c r="W60" s="93"/>
      <c r="X60" s="120"/>
      <c r="Y60" s="120"/>
      <c r="Z60" s="120"/>
      <c r="AB60" s="100"/>
      <c r="AC60" s="151"/>
      <c r="AD60" s="151"/>
      <c r="AE60" s="151"/>
      <c r="AF60" s="151"/>
      <c r="AG60" s="101"/>
      <c r="AH60" s="101"/>
      <c r="AI60" s="101"/>
      <c r="AJ60" s="101"/>
      <c r="AK60" s="101"/>
      <c r="AL60" s="101"/>
    </row>
    <row r="61" spans="1:46" s="98" customFormat="1" ht="13.5" thickBot="1" x14ac:dyDescent="0.25">
      <c r="A61" s="572" t="s">
        <v>36</v>
      </c>
      <c r="B61" s="573"/>
      <c r="C61" s="573"/>
      <c r="D61" s="573"/>
      <c r="E61" s="573"/>
      <c r="F61" s="574"/>
      <c r="H61" s="126" t="str">
        <f>IF(I56="","","Amostra")</f>
        <v/>
      </c>
      <c r="I61" s="127" t="str">
        <f>IF('Entrada das massas'!I41="","",'Entrada das massas'!I41)</f>
        <v/>
      </c>
      <c r="J61" s="120" t="str">
        <f>IF(I61="","","uc(g)")</f>
        <v/>
      </c>
      <c r="K61" s="120" t="str">
        <f>IF(J61="","","Massa (g)")</f>
        <v/>
      </c>
      <c r="L61" s="120" t="str">
        <f>IF(K61="","","ucomb (g)")</f>
        <v/>
      </c>
      <c r="M61" s="98" t="str">
        <f>IF(I61="","","Fdiluição")</f>
        <v/>
      </c>
      <c r="O61" s="126" t="str">
        <f>IF(M62="","","Amostra")</f>
        <v/>
      </c>
      <c r="P61" s="127" t="str">
        <f>IF('Entrada das massas'!N41="","",'Entrada das massas'!N41)</f>
        <v/>
      </c>
      <c r="Q61" s="120" t="str">
        <f>IF(P61="","","uc(g)")</f>
        <v/>
      </c>
      <c r="R61" s="120" t="str">
        <f>IF(Q61="","","Massa (g)")</f>
        <v/>
      </c>
      <c r="S61" s="120" t="str">
        <f>IF(R61="","","ucomb (g)")</f>
        <v/>
      </c>
      <c r="T61" s="98" t="str">
        <f>IF(P61="","","Fdiluição")</f>
        <v/>
      </c>
      <c r="V61" s="126" t="str">
        <f>IF(T62="","","Amostra")</f>
        <v/>
      </c>
      <c r="W61" s="127" t="str">
        <f>IF('Entrada das massas'!S41="","",'Entrada das massas'!S41)</f>
        <v/>
      </c>
      <c r="X61" s="120" t="str">
        <f>IF(W61="","","uc(g)")</f>
        <v/>
      </c>
      <c r="Y61" s="120" t="str">
        <f>IF(X61="","","Massa (g)")</f>
        <v/>
      </c>
      <c r="Z61" s="120" t="str">
        <f>IF(Y61="","","ucomb (g)")</f>
        <v/>
      </c>
      <c r="AA61" s="98" t="str">
        <f>IF(W61="","","Fdiluição")</f>
        <v/>
      </c>
      <c r="AB61" s="100"/>
      <c r="AC61" s="151"/>
      <c r="AD61" s="151"/>
      <c r="AE61" s="151"/>
      <c r="AF61" s="101"/>
      <c r="AG61" s="101"/>
      <c r="AH61" s="101"/>
      <c r="AI61" s="101"/>
      <c r="AJ61" s="101"/>
      <c r="AK61" s="101"/>
      <c r="AL61" s="101"/>
    </row>
    <row r="62" spans="1:46" s="93" customFormat="1" ht="15.75" x14ac:dyDescent="0.3">
      <c r="A62" s="130" t="s">
        <v>57</v>
      </c>
      <c r="B62" s="111">
        <f>IF(AND('Entrada das massas'!C42&lt;=$B$20,'Entrada das massas'!C42&gt;$B$19),'Entrada das massas'!C42-((($C$20-$C$19)*($B$20-'Entrada das massas'!C42)+($B$19*$C$20)-($B$20*$C$20))/($B$19-$B$20)),IF(AND('Entrada das massas'!C42&lt;=$B$19,'Entrada das massas'!C42&gt;$B$18),'Entrada das massas'!C42-((($C$19-$C$18)*($B$19-'Entrada das massas'!C42)+($B$18*$C$19)-($B$19*$C$19))/($B$18-$B$19)),IF(AND('Entrada das massas'!C42&lt;=$B$18,'Entrada das massas'!C42&gt;$B$17),'Entrada das massas'!C42-((($C$18-$C$17)*($B$18-'Entrada das massas'!C42)+($B$17*$C$18)-($B$18*$C$18))/($B$17-$B$18)),IF(AND('Entrada das massas'!C42&lt;=$B$17,'Entrada das massas'!C42&gt;$B$16),'Entrada das massas'!C42-((($C$17-$C$16)*($B$17-'Entrada das massas'!C42)+($B$16*$C$17)-($B$17*$C$17))/($B$16-$B$17)),IF(AND('Entrada das massas'!C42&lt;=$B$16,'Entrada das massas'!C42&gt;$B$15),'Entrada das massas'!C42-((($C$16-$C$15)*($B$16-'Entrada das massas'!C42)+($B$15*$C$16)-($B$16*$C$16))/($B$15-$B$16)),IF(AND('Entrada das massas'!C42&lt;=$B$15,'Entrada das massas'!C42&gt;$B$14),'Entrada das massas'!C42-((($C$15-$C$14)*($B$15-'Entrada das massas'!C42)+($B$14*$C$15)-($B$15*$C$15))/($B$14-$B$15)),IF(AND('Entrada das massas'!C42&lt;=$B$14,'Entrada das massas'!C42&gt;$B$13),'Entrada das massas'!C42-((($C$14-$C$13)*($B$14-'Entrada das massas'!C42)+($B$13*$C$14)-($B$14*$C$14))/($B$13-$B$14)),IF(AND('Entrada das massas'!C42&lt;=$B$13,'Entrada das massas'!C42&gt;$B$12),'Entrada das massas'!C42-((($C$13-$C$12)*($B$13-'Entrada das massas'!C42)+($B$12*$C$13)-($B$13*$C$13))/($B$12-$B$13)),IF(AND('Entrada das massas'!C42&lt;=$B$12,'Entrada das massas'!C42&gt;$B$11),'Entrada das massas'!C42-((($C$12-$C$11)*($B$12-'Entrada das massas'!C42)+($B$11*$C$12)-($B$12*$C$12))/($B$11-$B$12)), IF(AND('Entrada das massas'!C42&lt;=$B$11,'Entrada das massas'!C42&gt;$B$10),'Entrada das massas'!C42-((($C$11-$C$10)*($B$11-'Entrada das massas'!C42)+($B$10*$C$11)-($B$11*$C$11))/($B$10-$B$11)),IF(AND('Entrada das massas'!C42&lt;=$B$10,'Entrada das massas'!C42&gt;$B$9),'Entrada das massas'!C42-((($C$10-$C$9)*($B$10-'Entrada das massas'!C42)+($B$9*$C$10)-($B$10*$C$10))/($B$9-$B$10)),IF(AND('Entrada das massas'!C42&lt;=$B$9,'Entrada das massas'!C42&gt;$B$8),'Entrada das massas'!C42-((($C$9-$C$8)*($B$9-'Entrada das massas'!C42)+($B$8*$C$9)-($B$9*$C$9))/($B$8-$B$9)),IF(AND('Entrada das massas'!C42&lt;=$B$8,'Entrada das massas'!C42&gt;$B$7),'Entrada das massas'!C42-((($C$8-$C$7)*($B$8-'Entrada das massas'!C42)+($B$7*$C$8)-($B$8*$C$8))/($B$7-$B$8)),IF(AND('Entrada das massas'!C42&lt;=$B$7,'Entrada das massas'!C42&gt;$B$6),'Entrada das massas'!C42-((($C$7-$C$6)*($B$7-'Entrada das massas'!C42)+($B$6*$C$7)-($B$7*$C$7))/($B$6-$B$7)),IF(AND('Entrada das massas'!C42&lt;=$B$6,'Entrada das massas'!C42&gt;$B$5),'Entrada das massas'!C42-((($C$6-$C$5)*($B$6-'Entrada das massas'!C42)+($B$5*$C$6)-($B$6*$C$6))/($B$5-$B$6)),IF('Entrada das massas'!C42&lt;=$B$5,'Entrada das massas'!C42-$C$5))))))))))))))))</f>
        <v>14.56750086502</v>
      </c>
      <c r="C62" s="112">
        <f>(IF(AND(B62&lt;=$B$20,B62&gt;$B$19),$D$19+($B$19-B62)/($B$19-$B$20)*($D$20-$D$19),IF(AND(B62&lt;=$B$19,B62&gt;$B$18),$D$18+($B$18-B62)/($B$18-$B$19)*($D$19-$D$18),IF(AND(B62&lt;=$B$18,B62&gt;$B$17),$D$17+($B$17-B62)/($B$17-$B$18)*($D$18-$D$17),IF(AND(B62&lt;=$B$17,B62&gt;$B$16),$D$16+($B$16-B62)/($B$16-$B$17)*($D$17-$D$16),IF(AND(B62&lt;=$B$16,B62&gt;$B$15),$D$15+($B$15-B62)/($B$15-$B$16)*($D$16-$D$15),IF(AND(B62&lt;=$B$15,B62&gt;$B$14),$D$14+($B$14-B62)/($B$14-$B$15)*($D$15-$D$14),IF(AND(B62&lt;=$B$14,B62&gt;$B$13),$D$13+($B$13-B62)/($B$13-$B$14)*($D$14-$D$13),IF(AND(B62&lt;=$B$13,B62&gt;$B$12),$D$12+($B$12-B62)/($B$12-$B$13)*($D$13-$D$12),IF(AND(B62&lt;=$B$12,B62&gt;$B$11),$D$11+($B$11-B62)/($B$11-$B$12)*($D$12-$D$11),IF(AND(B62&lt;=$B$11,B62&gt;$B$10),$D$10+($B$10-B62)/($B$10-$B$11)*($D$11-$D$10),IF(AND(B62&lt;=$B$10,B62&gt;$B$9),$D$9+($B$9-B62)/($B$9-$B$10)*($D$10-$D$9),IF(AND(B62&lt;=$B$9,B62&gt;$B$8),$D$8+($B$8-B62)/($B$8-$B$9)*($D$9-$D$8),IF(AND(B62&lt;=$B$8,B62&gt;$B$7),$D$7+($B$7-B62)/($B$7-$B$8)*($D$8-$D$7),IF(AND(B62&lt;=$B$7,B62&gt;$B$6),$D$6+($B$6-B62)/($B$6-$B$7)*($D$7-$D$6),IF(B62&lt;=$B$6,$D$6))))))))))))))))</f>
        <v>1.0000000000000001E-5</v>
      </c>
      <c r="D62" s="131"/>
      <c r="E62" s="147"/>
      <c r="F62" s="132" t="s">
        <v>70</v>
      </c>
      <c r="H62" s="115" t="str">
        <f>IF(I61="","","Frasco")</f>
        <v/>
      </c>
      <c r="I62" s="116" t="str">
        <f>IF('Entrada das massas'!I42="","",IF(AND('Entrada das massas'!I42&lt;=$B$20,'Entrada das massas'!I42&gt;$B$19),'Entrada das massas'!I42-((($C$20-$C$19)*($B$20-'Entrada das massas'!I42)+($B$19*$C$20)-($B$20*$C$20))/($B$19-$B$20)),IF(AND('Entrada das massas'!I42&lt;=$B$19,'Entrada das massas'!I42&gt;$B$18),'Entrada das massas'!I42-((($C$19-$C$18)*($B$19-'Entrada das massas'!I42)+($B$18*$C$19)-($B$19*$C$19))/($B$18-$B$19)),IF(AND('Entrada das massas'!I42&lt;=$B$18,'Entrada das massas'!I42&gt;$B$17),'Entrada das massas'!I42-((($C$18-$C$17)*($B$18-'Entrada das massas'!I42)+($B$17*$C$18)-($B$18*$C$18))/($B$17-$B$18)),IF(AND('Entrada das massas'!I42&lt;=$B$17,'Entrada das massas'!I42&gt;$B$16),'Entrada das massas'!I42-((($C$17-$C$16)*($B$17-'Entrada das massas'!I42)+($B$16*$C$17)-($B$17*$C$17))/($B$16-$B$17)),IF(AND('Entrada das massas'!I42&lt;=$B$16,'Entrada das massas'!I42&gt;$B$15),'Entrada das massas'!I42-((($C$16-$C$15)*($B$16-'Entrada das massas'!I42)+($B$15*$C$16)-($B$16*$C$16))/($B$15-$B$16)),IF(AND('Entrada das massas'!I42&lt;=$B$15,'Entrada das massas'!I42&gt;$B$14),'Entrada das massas'!I42-((($C$15-$C$14)*($B$15-'Entrada das massas'!I42)+($B$14*$C$15)-($B$15*$C$15))/($B$14-$B$15)),IF(AND('Entrada das massas'!I42&lt;=$B$14,'Entrada das massas'!I42&gt;$B$13),'Entrada das massas'!I42-((($C$14-$C$13)*($B$14-'Entrada das massas'!I42)+($B$13*$C$14)-($B$14*$C$14))/($B$13-$B$14)),IF(AND('Entrada das massas'!I42&lt;=$B$13,'Entrada das massas'!I42&gt;$B$12),'Entrada das massas'!I42-((($C$13-$C$12)*($B$13-'Entrada das massas'!I42)+($B$12*$C$13)-($B$13*$C$13))/($B$12-$B$13)),IF(AND('Entrada das massas'!I42&lt;=$B$12,'Entrada das massas'!I42&gt;$B$11),'Entrada das massas'!I42-((($C$12-$C$11)*($B$12-'Entrada das massas'!I42)+($B$11*$C$12)-($B$12*$C$12))/($B$11-$B$12)),IF(AND('Entrada das massas'!I42&lt;=$B$11,'Entrada das massas'!I42&gt;$B$10),'Entrada das massas'!I42-((($C$11-$C$10)*($B$11-'Entrada das massas'!I42)+($B$10*$C$11)-($B$11*$C$11))/($B$10-$B$11)),IF(AND('Entrada das massas'!I42&lt;=$B$10,'Entrada das massas'!I42&gt;$B$9),'Entrada das massas'!I42-((($C$10-$C$9)*($B$10-'Entrada das massas'!I42)+($B$9*$C$10)-($B$10*$C$10))/($B$9-$B$10)),IF(AND('Entrada das massas'!I42&lt;=$B$9,'Entrada das massas'!I42&gt;$B$8),'Entrada das massas'!I42-((($C$9-$C$8)*($B$9-'Entrada das massas'!I42)+($B$8*$C$9)-($B$9*$C$9))/($B$8-$B$9)),IF(AND('Entrada das massas'!I42&lt;=$B$8,'Entrada das massas'!I42&gt;$B$7),'Entrada das massas'!I42-((($C$8-$C$7)*($B$8-'Entrada das massas'!I42)+($B$7*$C$8)-($B$8*$C$8))/($B$7-$B$8)),IF(AND('Entrada das massas'!I42&lt;=$B$7,'Entrada das massas'!I42&gt;$B$6),'Entrada das massas'!I42-((($C$7-$C$6)*($B$7-'Entrada das massas'!I42)+($B$6*$C$7)-($B$7*$C$7))/($B$6-$B$7)),IF(AND('Entrada das massas'!I42&lt;=$B$6,'Entrada das massas'!I42&gt;$B$5),'Entrada das massas'!I42-((($C$6-$C$5)*($B$6-'Entrada das massas'!I42)+($B$5*$C$6)-($B$6*$C$6))/($B$5-$B$6)),IF('Entrada das massas'!I42&lt;=$B$5,'Entrada das massas'!I42-$C$5)))))))))))))))))</f>
        <v/>
      </c>
      <c r="J62" s="117" t="str">
        <f>IF(I62="","",(IF(AND(I62&lt;=$B$20,I62&gt;$B$19),$D$19+($B$19-I62)/($B$19-$B$20)*($D$20-$D$19),IF(AND(I62&lt;=$B$19,I62&gt;$B$18),$D$18+($B$18-I62)/($B$18-$B$19)*($D$19-$D$18),IF(AND(I62&lt;=$B$18,I62&gt;$B$17),$D$17+($B$17-I62)/($B$17-$B$18)*($D$18-$D$17),IF(AND(I62&lt;=$B$17,I62&gt;$B$16),$D$16+($B$16-I62)/($B$16-$B$17)*($D$17-$D$16),IF(AND(I62&lt;=$B$16,I62&gt;$B$15),$D$15+($B$15-I62)/($B$15-$B$16)*($D$16-$D$15),IF(AND(I62&lt;=$B$15,I62&gt;$B$14),$D$14+($B$14-I62)/($B$14-$B$15)*($D$15-$D$14),IF(AND(I62&lt;=$B$14,I62&gt;$B$13),$D$13+($B$13-I62)/($B$13-$B$14)*($D$14-$D$13),IF(AND(I62&lt;=$B$13,I62&gt;$B$12),$D$12+($B$12-I62)/($B$12-$B$13)*($D$13-$D$12),IF(AND(I62&lt;=$B$12,I62&gt;$B$11),$D$11+($B$11-I62)/($B$11-$B$12)*($D$12-$D$11),IF(AND(I62&lt;=$B$11,I62&gt;$B$10),$D$10+($B$10-I62)/($B$10-$B$11)*($D$11-$D$10),IF(AND(I62&lt;=$B$10,I62&gt;$B$9),$D$9+($B$9-I62)/($B$9-$B$10)*($D$10-$D$9),IF(AND(I62&lt;=$B$9,I62&gt;$B$8),$D$8+($B$8-I62)/($B$8-$B$9)*($D$9-$D$8),IF(AND(I62&lt;=$B$8,I62&gt;$B$7),$D$7+($B$7-I62)/($B$7-$B$8)*($D$8-$D$7),IF(AND(I62&lt;=$B$7,I62&gt;$B$6),$D$6+($B$6-I62)/($B$6-$B$7)*($D$7-$D$6),IF(I62&lt;=$B$6,$D$6)))))))))))))))))</f>
        <v/>
      </c>
      <c r="K62" s="117"/>
      <c r="L62" s="117"/>
      <c r="M62" s="118" t="str">
        <f>IFERROR(K64/K63,"")</f>
        <v/>
      </c>
      <c r="O62" s="115" t="str">
        <f>IF(P61="","","Frasco")</f>
        <v/>
      </c>
      <c r="P62" s="95" t="str">
        <f>IF('Entrada das massas'!N42="","",IF(AND('Entrada das massas'!N42&lt;=$B$20,'Entrada das massas'!N42&gt;$B$19),'Entrada das massas'!N42-((($C$20-$C$19)*($B$20-'Entrada das massas'!N42)+($B$19*$C$20)-($B$20*$C$20))/($B$19-$B$20)),IF(AND('Entrada das massas'!N42&lt;=$B$19,'Entrada das massas'!N42&gt;$B$18),'Entrada das massas'!N42-((($C$19-$C$18)*($B$19-'Entrada das massas'!N42)+($B$18*$C$19)-($B$19*$C$19))/($B$18-$B$19)),IF(AND('Entrada das massas'!N42&lt;=$B$18,'Entrada das massas'!N42&gt;$B$17),'Entrada das massas'!N42-((($C$18-$C$17)*($B$18-'Entrada das massas'!N42)+($B$17*$C$18)-($B$18*$C$18))/($B$17-$B$18)),IF(AND('Entrada das massas'!N42&lt;=$B$17,'Entrada das massas'!N42&gt;$B$16),'Entrada das massas'!N42-((($C$17-$C$16)*($B$17-'Entrada das massas'!N42)+($B$16*$C$17)-($B$17*$C$17))/($B$16-$B$17)),IF(AND('Entrada das massas'!N42&lt;=$B$16,'Entrada das massas'!N42&gt;$B$15),'Entrada das massas'!N42-((($C$16-$C$15)*($B$16-'Entrada das massas'!N42)+($B$15*$C$16)-($B$16*$C$16))/($B$15-$B$16)),IF(AND('Entrada das massas'!N42&lt;=$B$15,'Entrada das massas'!N42&gt;$B$14),'Entrada das massas'!N42-((($C$15-$C$14)*($B$15-'Entrada das massas'!N42)+($B$14*$C$15)-($B$15*$C$15))/($B$14-$B$15)),IF(AND('Entrada das massas'!N42&lt;=$B$14,'Entrada das massas'!N42&gt;$B$13),'Entrada das massas'!N42-((($C$14-$C$13)*($B$14-'Entrada das massas'!N42)+($B$13*$C$14)-($B$14*$C$14))/($B$13-$B$14)),IF(AND('Entrada das massas'!N42&lt;=$B$13,'Entrada das massas'!N42&gt;$B$12),'Entrada das massas'!N42-((($C$13-$C$12)*($B$13-'Entrada das massas'!N42)+($B$12*$C$13)-($B$13*$C$13))/($B$12-$B$13)),IF(AND('Entrada das massas'!N42&lt;=$B$12,'Entrada das massas'!N42&gt;$B$11),'Entrada das massas'!N42-((($C$12-$C$11)*($B$12-'Entrada das massas'!N42)+($B$11*$C$12)-($B$12*$C$12))/($B$11-$B$12)),IF(AND('Entrada das massas'!N42&lt;=$B$11,'Entrada das massas'!N42&gt;$B$10),'Entrada das massas'!N42-((($C$11-$C$10)*($B$11-'Entrada das massas'!N42)+($B$10*$C$11)-($B$11*$C$11))/($B$10-$B$11)),IF(AND('Entrada das massas'!N42&lt;=$B$10,'Entrada das massas'!N42&gt;$B$9),'Entrada das massas'!N42-((($C$10-$C$9)*($B$10-'Entrada das massas'!N42)+($B$9*$C$10)-($B$10*$C$10))/($B$9-$B$10)),IF(AND('Entrada das massas'!N42&lt;=$B$9,'Entrada das massas'!N42&gt;$B$8),'Entrada das massas'!N42-((($C$9-$C$8)*($B$9-'Entrada das massas'!N42)+($B$8*$C$9)-($B$9*$C$9))/($B$8-$B$9)),IF(AND('Entrada das massas'!N42&lt;=$B$8,'Entrada das massas'!N42&gt;$B$7),'Entrada das massas'!N42-((($C$8-$C$7)*($B$8-'Entrada das massas'!N42)+($B$7*$C$8)-($B$8*$C$8))/($B$7-$B$8)),IF(AND('Entrada das massas'!N42&lt;=$B$7,'Entrada das massas'!N42&gt;$B$6),'Entrada das massas'!N42-((($C$7-$C$6)*($B$7-'Entrada das massas'!N42)+($B$6*$C$7)-($B$7*$C$7))/($B$6-$B$7)),IF(AND('Entrada das massas'!N42&lt;=$B$6,'Entrada das massas'!N42&gt;$B$5),'Entrada das massas'!N42-((($C$6-$C$5)*($B$6-'Entrada das massas'!N42)+($B$5*$C$6)-($B$6*$C$6))/($B$5-$B$6)),IF('Entrada das massas'!N42&lt;=$B$5,'Entrada das massas'!N42-$C$5)))))))))))))))))</f>
        <v/>
      </c>
      <c r="Q62" s="117" t="str">
        <f>IF(P62="","",(IF(AND(P62&lt;=$B$20,P62&gt;$B$19),$D$19+($B$19-P62)/($B$19-$B$20)*($D$20-$D$19),IF(AND(P62&lt;=$B$19,P62&gt;$B$18),$D$18+($B$18-P62)/($B$18-$B$19)*($D$19-$D$18),IF(AND(P62&lt;=$B$18,P62&gt;$B$17),$D$17+($B$17-P62)/($B$17-$B$18)*($D$18-$D$17),IF(AND(P62&lt;=$B$17,P62&gt;$B$16),$D$16+($B$16-P62)/($B$16-$B$17)*($D$17-$D$16),IF(AND(P62&lt;=$B$16,P62&gt;$B$15),$D$15+($B$15-P62)/($B$15-$B$16)*($D$16-$D$15),IF(AND(P62&lt;=$B$15,P62&gt;$B$14),$D$14+($B$14-P62)/($B$14-$B$15)*($D$15-$D$14),IF(AND(P62&lt;=$B$14,P62&gt;$B$13),$D$13+($B$13-P62)/($B$13-$B$14)*($D$14-$D$13),IF(AND(P62&lt;=$B$13,P62&gt;$B$12),$D$12+($B$12-P62)/($B$12-$B$13)*($D$13-$D$12),IF(AND(P62&lt;=$B$12,P62&gt;$B$11),$D$11+($B$11-P62)/($B$11-$B$12)*($D$12-$D$11),IF(AND(P62&lt;=$B$11,P62&gt;$B$10),$D$10+($B$10-P62)/($B$10-$B$11)*($D$11-$D$10),IF(AND(P62&lt;=$B$10,P62&gt;$B$9),$D$9+($B$9-P62)/($B$9-$B$10)*($D$10-$D$9),IF(AND(P62&lt;=$B$9,P62&gt;$B$8),$D$8+($B$8-P62)/($B$8-$B$9)*($D$9-$D$8),IF(AND(P62&lt;=$B$8,P62&gt;$B$7),$D$7+($B$7-P62)/($B$7-$B$8)*($D$8-$D$7),IF(AND(P62&lt;=$B$7,P62&gt;$B$6),$D$6+($B$6-P62)/($B$6-$B$7)*($D$7-$D$6),IF(P62&lt;=$B$6,$D$6)))))))))))))))))</f>
        <v/>
      </c>
      <c r="R62" s="117"/>
      <c r="S62" s="117"/>
      <c r="T62" s="118" t="str">
        <f>IFERROR(R64/R63,"")</f>
        <v/>
      </c>
      <c r="V62" s="115" t="str">
        <f>IF(W61="","","Frasco")</f>
        <v/>
      </c>
      <c r="W62" s="95" t="str">
        <f>IF('Entrada das massas'!S42="","",IF(AND('Entrada das massas'!S42&lt;=$B$20,'Entrada das massas'!S42&gt;$B$19),'Entrada das massas'!S42-((($C$20-$C$19)*($B$20-'Entrada das massas'!S42)+($B$19*$C$20)-($B$20*$C$20))/($B$19-$B$20)),IF(AND('Entrada das massas'!S42&lt;=$B$19,'Entrada das massas'!S42&gt;$B$18),'Entrada das massas'!S42-((($C$19-$C$18)*($B$19-'Entrada das massas'!S42)+($B$18*$C$19)-($B$19*$C$19))/($B$18-$B$19)),IF(AND('Entrada das massas'!S42&lt;=$B$18,'Entrada das massas'!S42&gt;$B$17),'Entrada das massas'!S42-((($C$18-$C$17)*($B$18-'Entrada das massas'!S42)+($B$17*$C$18)-($B$18*$C$18))/($B$17-$B$18)),IF(AND('Entrada das massas'!S42&lt;=$B$17,'Entrada das massas'!S42&gt;$B$16),'Entrada das massas'!S42-((($C$17-$C$16)*($B$17-'Entrada das massas'!S42)+($B$16*$C$17)-($B$17*$C$17))/($B$16-$B$17)),IF(AND('Entrada das massas'!S42&lt;=$B$16,'Entrada das massas'!S42&gt;$B$15),'Entrada das massas'!S42-((($C$16-$C$15)*($B$16-'Entrada das massas'!S42)+($B$15*$C$16)-($B$16*$C$16))/($B$15-$B$16)),IF(AND('Entrada das massas'!S42&lt;=$B$15,'Entrada das massas'!S42&gt;$B$14),'Entrada das massas'!S42-((($C$15-$C$14)*($B$15-'Entrada das massas'!S42)+($B$14*$C$15)-($B$15*$C$15))/($B$14-$B$15)),IF(AND('Entrada das massas'!S42&lt;=$B$14,'Entrada das massas'!S42&gt;$B$13),'Entrada das massas'!S42-((($C$14-$C$13)*($B$14-'Entrada das massas'!S42)+($B$13*$C$14)-($B$14*$C$14))/($B$13-$B$14)),IF(AND('Entrada das massas'!S42&lt;=$B$13,'Entrada das massas'!S42&gt;$B$12),'Entrada das massas'!S42-((($C$13-$C$12)*($B$13-'Entrada das massas'!S42)+($B$12*$C$13)-($B$13*$C$13))/($B$12-$B$13)),IF(AND('Entrada das massas'!S42&lt;=$B$12,'Entrada das massas'!S42&gt;$B$11),'Entrada das massas'!S42-((($C$12-$C$11)*($B$12-'Entrada das massas'!S42)+($B$11*$C$12)-($B$12*$C$12))/($B$11-$B$12)),IF(AND('Entrada das massas'!S42&lt;=$B$11,'Entrada das massas'!S42&gt;$B$10),'Entrada das massas'!S42-((($C$11-$C$10)*($B$11-'Entrada das massas'!S42)+($B$10*$C$11)-($B$11*$C$11))/($B$10-$B$11)),IF(AND('Entrada das massas'!S42&lt;=$B$10,'Entrada das massas'!S42&gt;$B$9),'Entrada das massas'!S42-((($C$10-$C$9)*($B$10-'Entrada das massas'!S42)+($B$9*$C$10)-($B$10*$C$10))/($B$9-$B$10)),IF(AND('Entrada das massas'!S42&lt;=$B$9,'Entrada das massas'!S42&gt;$B$8),'Entrada das massas'!S42-((($C$9-$C$8)*($B$9-'Entrada das massas'!S42)+($B$8*$C$9)-($B$9*$C$9))/($B$8-$B$9)),IF(AND('Entrada das massas'!S42&lt;=$B$8,'Entrada das massas'!S42&gt;$B$7),'Entrada das massas'!S42-((($C$8-$C$7)*($B$8-'Entrada das massas'!S42)+($B$7*$C$8)-($B$8*$C$8))/($B$7-$B$8)),IF(AND('Entrada das massas'!S42&lt;=$B$7,'Entrada das massas'!S42&gt;$B$6),'Entrada das massas'!S42-((($C$7-$C$6)*($B$7-'Entrada das massas'!S42)+($B$6*$C$7)-($B$7*$C$7))/($B$6-$B$7)),IF(AND('Entrada das massas'!S42&lt;=$B$6,'Entrada das massas'!S42&gt;$B$5),'Entrada das massas'!S42-((($C$6-$C$5)*($B$6-'Entrada das massas'!S42)+($B$5*$C$6)-($B$6*$C$6))/($B$5-$B$6)),IF('Entrada das massas'!S42&lt;=$B$5,'Entrada das massas'!S42-$C$5)))))))))))))))))</f>
        <v/>
      </c>
      <c r="X62" s="117" t="str">
        <f>IF(W62="","",(IF(AND(W62&lt;=$B$20,W62&gt;$B$19),$D$19+($B$19-W62)/($B$19-$B$20)*($D$20-$D$19),IF(AND(W62&lt;=$B$19,W62&gt;$B$18),$D$18+($B$18-W62)/($B$18-$B$19)*($D$19-$D$18),IF(AND(W62&lt;=$B$18,W62&gt;$B$17),$D$17+($B$17-W62)/($B$17-$B$18)*($D$18-$D$17),IF(AND(W62&lt;=$B$17,W62&gt;$B$16),$D$16+($B$16-W62)/($B$16-$B$17)*($D$17-$D$16),IF(AND(W62&lt;=$B$16,W62&gt;$B$15),$D$15+($B$15-W62)/($B$15-$B$16)*($D$16-$D$15),IF(AND(W62&lt;=$B$15,W62&gt;$B$14),$D$14+($B$14-W62)/($B$14-$B$15)*($D$15-$D$14),IF(AND(W62&lt;=$B$14,W62&gt;$B$13),$D$13+($B$13-W62)/($B$13-$B$14)*($D$14-$D$13),IF(AND(W62&lt;=$B$13,W62&gt;$B$12),$D$12+($B$12-W62)/($B$12-$B$13)*($D$13-$D$12),IF(AND(W62&lt;=$B$12,W62&gt;$B$11),$D$11+($B$11-W62)/($B$11-$B$12)*($D$12-$D$11),IF(AND(W62&lt;=$B$11,W62&gt;$B$10),$D$10+($B$10-W62)/($B$10-$B$11)*($D$11-$D$10),IF(AND(W62&lt;=$B$10,W62&gt;$B$9),$D$9+($B$9-W62)/($B$9-$B$10)*($D$10-$D$9),IF(AND(W62&lt;=$B$9,W62&gt;$B$8),$D$8+($B$8-W62)/($B$8-$B$9)*($D$9-$D$8),IF(AND(W62&lt;=$B$8,W62&gt;$B$7),$D$7+($B$7-W62)/($B$7-$B$8)*($D$8-$D$7),IF(AND(W62&lt;=$B$7,W62&gt;$B$6),$D$6+($B$6-W62)/($B$6-$B$7)*($D$7-$D$6),IF(W62&lt;=$B$6,$D$6)))))))))))))))))</f>
        <v/>
      </c>
      <c r="Y62" s="117"/>
      <c r="Z62" s="117"/>
      <c r="AA62" s="118" t="str">
        <f>IFERROR(Y64/Y63,"")</f>
        <v/>
      </c>
      <c r="AB62" s="100"/>
      <c r="AC62" s="151"/>
      <c r="AD62" s="151"/>
      <c r="AE62" s="151"/>
      <c r="AF62" s="101"/>
    </row>
    <row r="63" spans="1:46" s="98" customFormat="1" x14ac:dyDescent="0.2">
      <c r="A63" s="110" t="s">
        <v>59</v>
      </c>
      <c r="B63" s="111">
        <f>IF(AND('Entrada das massas'!C43&lt;=$B$20,'Entrada das massas'!C43&gt;$B$19),'Entrada das massas'!C43-((($C$20-$C$19)*($B$20-'Entrada das massas'!C43)+($B$19*$C$20)-($B$20*$C$20))/($B$19-$B$20)),IF(AND('Entrada das massas'!C43&lt;=$B$19,'Entrada das massas'!C43&gt;$B$18),'Entrada das massas'!C43-((($C$19-$C$18)*($B$19-'Entrada das massas'!C43)+($B$18*$C$19)-($B$19*$C$19))/($B$18-$B$19)),IF(AND('Entrada das massas'!C43&lt;=$B$18,'Entrada das massas'!C43&gt;$B$17),'Entrada das massas'!C43-((($C$18-$C$17)*($B$18-'Entrada das massas'!C43)+($B$17*$C$18)-($B$18*$C$18))/($B$17-$B$18)),IF(AND('Entrada das massas'!C43&lt;=$B$17,'Entrada das massas'!C43&gt;$B$16),'Entrada das massas'!C43-((($C$17-$C$16)*($B$17-'Entrada das massas'!C43)+($B$16*$C$17)-($B$17*$C$17))/($B$16-$B$17)),IF(AND('Entrada das massas'!C43&lt;=$B$16,'Entrada das massas'!C43&gt;$B$15),'Entrada das massas'!C43-((($C$16-$C$15)*($B$16-'Entrada das massas'!C43)+($B$15*$C$16)-($B$16*$C$16))/($B$15-$B$16)),IF(AND('Entrada das massas'!C43&lt;=$B$15,'Entrada das massas'!C43&gt;$B$14),'Entrada das massas'!C43-((($C$15-$C$14)*($B$15-'Entrada das massas'!C43)+($B$14*$C$15)-($B$15*$C$15))/($B$14-$B$15)),IF(AND('Entrada das massas'!C43&lt;=$B$14,'Entrada das massas'!C43&gt;$B$13),'Entrada das massas'!C43-((($C$14-$C$13)*($B$14-'Entrada das massas'!C43)+($B$13*$C$14)-($B$14*$C$14))/($B$13-$B$14)),IF(AND('Entrada das massas'!C43&lt;=$B$13,'Entrada das massas'!C43&gt;$B$12),'Entrada das massas'!C43-((($C$13-$C$12)*($B$13-'Entrada das massas'!C43)+($B$12*$C$13)-($B$13*$C$13))/($B$12-$B$13)),IF(AND('Entrada das massas'!C43&lt;=$B$12,'Entrada das massas'!C43&gt;$B$11),'Entrada das massas'!C43-((($C$12-$C$11)*($B$12-'Entrada das massas'!C43)+($B$11*$C$12)-($B$12*$C$12))/($B$11-$B$12)), IF(AND('Entrada das massas'!C43&lt;=$B$11,'Entrada das massas'!C43&gt;$B$10),'Entrada das massas'!C43-((($C$11-$C$10)*($B$11-'Entrada das massas'!C43)+($B$10*$C$11)-($B$11*$C$11))/($B$10-$B$11)),IF(AND('Entrada das massas'!C43&lt;=$B$10,'Entrada das massas'!C43&gt;$B$9),'Entrada das massas'!C43-((($C$10-$C$9)*($B$10-'Entrada das massas'!C43)+($B$9*$C$10)-($B$10*$C$10))/($B$9-$B$10)),IF(AND('Entrada das massas'!C43&lt;=$B$9,'Entrada das massas'!C43&gt;$B$8),'Entrada das massas'!C43-((($C$9-$C$8)*($B$9-'Entrada das massas'!C43)+($B$8*$C$9)-($B$9*$C$9))/($B$8-$B$9)),IF(AND('Entrada das massas'!C43&lt;=$B$8,'Entrada das massas'!C43&gt;$B$7),'Entrada das massas'!C43-((($C$8-$C$7)*($B$8-'Entrada das massas'!C43)+($B$7*$C$8)-($B$8*$C$8))/($B$7-$B$8)),IF(AND('Entrada das massas'!C43&lt;=$B$7,'Entrada das massas'!C43&gt;$B$6),'Entrada das massas'!C43-((($C$7-$C$6)*($B$7-'Entrada das massas'!C43)+($B$6*$C$7)-($B$7*$C$7))/($B$6-$B$7)),IF(AND('Entrada das massas'!C43&lt;=$B$6,'Entrada das massas'!C43&gt;$B$5),'Entrada das massas'!C43-((($C$6-$C$5)*($B$6-'Entrada das massas'!C43)+($B$5*$C$6)-($B$6*$C$6))/($B$5-$B$6)),IF('Entrada das massas'!C43&lt;=$B$5,'Entrada das massas'!C43-$C$5))))))))))))))))</f>
        <v>15.973378053259999</v>
      </c>
      <c r="C63" s="112">
        <f>(IF(AND(B63&lt;=$B$20,B63&gt;$B$19),$D$19+($B$19-B63)/($B$19-$B$20)*($D$20-$D$19),IF(AND(B63&lt;=$B$19,B63&gt;$B$18),$D$18+($B$18-B63)/($B$18-$B$19)*($D$19-$D$18),IF(AND(B63&lt;=$B$18,B63&gt;$B$17),$D$17+($B$17-B63)/($B$17-$B$18)*($D$18-$D$17),IF(AND(B63&lt;=$B$17,B63&gt;$B$16),$D$16+($B$16-B63)/($B$16-$B$17)*($D$17-$D$16),IF(AND(B63&lt;=$B$16,B63&gt;$B$15),$D$15+($B$15-B63)/($B$15-$B$16)*($D$16-$D$15),IF(AND(B63&lt;=$B$15,B63&gt;$B$14),$D$14+($B$14-B63)/($B$14-$B$15)*($D$15-$D$14),IF(AND(B63&lt;=$B$14,B63&gt;$B$13),$D$13+($B$13-B63)/($B$13-$B$14)*($D$14-$D$13),IF(AND(B63&lt;=$B$13,B63&gt;$B$12),$D$12+($B$12-B63)/($B$12-$B$13)*($D$13-$D$12),IF(AND(B63&lt;=$B$12,B63&gt;$B$11),$D$11+($B$11-B63)/($B$11-$B$12)*($D$12-$D$11),IF(AND(B63&lt;=$B$11,B63&gt;$B$10),$D$10+($B$10-B63)/($B$10-$B$11)*($D$11-$D$10),IF(AND(B63&lt;=$B$10,B63&gt;$B$9),$D$9+($B$9-B63)/($B$9-$B$10)*($D$10-$D$9),IF(AND(B63&lt;=$B$9,B63&gt;$B$8),$D$8+($B$8-B63)/($B$8-$B$9)*($D$9-$D$8),IF(AND(B63&lt;=$B$8,B63&gt;$B$7),$D$7+($B$7-B63)/($B$7-$B$8)*($D$8-$D$7),IF(AND(B63&lt;=$B$7,B63&gt;$B$6),$D$6+($B$6-B63)/($B$6-$B$7)*($D$7-$D$6),IF(B63&lt;=$B$6,$D$6))))))))))))))))</f>
        <v>1.0000000000000001E-5</v>
      </c>
      <c r="D63" s="110" t="s">
        <v>148</v>
      </c>
      <c r="E63" s="119">
        <f>B63-B62</f>
        <v>1.4058771882399999</v>
      </c>
      <c r="F63" s="112">
        <f>SQRT(SUMSQ(C62:C63))</f>
        <v>1.4142135623730951E-5</v>
      </c>
      <c r="H63" s="115" t="str">
        <f>IF(I61="","","Frasco + Amostra")</f>
        <v/>
      </c>
      <c r="I63" s="116" t="str">
        <f>IF('Entrada das massas'!I43="","",IF(AND('Entrada das massas'!I43&lt;=$B$20,'Entrada das massas'!I43&gt;$B$19),'Entrada das massas'!I43-((($C$20-$C$19)*($B$20-'Entrada das massas'!I43)+($B$19*$C$20)-($B$20*$C$20))/($B$19-$B$20)),IF(AND('Entrada das massas'!I43&lt;=$B$19,'Entrada das massas'!I43&gt;$B$18),'Entrada das massas'!I43-((($C$19-$C$18)*($B$19-'Entrada das massas'!I43)+($B$18*$C$19)-($B$19*$C$19))/($B$18-$B$19)),IF(AND('Entrada das massas'!I43&lt;=$B$18,'Entrada das massas'!I43&gt;$B$17),'Entrada das massas'!I43-((($C$18-$C$17)*($B$18-'Entrada das massas'!I43)+($B$17*$C$18)-($B$18*$C$18))/($B$17-$B$18)),IF(AND('Entrada das massas'!I43&lt;=$B$17,'Entrada das massas'!I43&gt;$B$16),'Entrada das massas'!I43-((($C$17-$C$16)*($B$17-'Entrada das massas'!I43)+($B$16*$C$17)-($B$17*$C$17))/($B$16-$B$17)),IF(AND('Entrada das massas'!I43&lt;=$B$16,'Entrada das massas'!I43&gt;$B$15),'Entrada das massas'!I43-((($C$16-$C$15)*($B$16-'Entrada das massas'!I43)+($B$15*$C$16)-($B$16*$C$16))/($B$15-$B$16)),IF(AND('Entrada das massas'!I43&lt;=$B$15,'Entrada das massas'!I43&gt;$B$14),'Entrada das massas'!I43-((($C$15-$C$14)*($B$15-'Entrada das massas'!I43)+($B$14*$C$15)-($B$15*$C$15))/($B$14-$B$15)),IF(AND('Entrada das massas'!I43&lt;=$B$14,'Entrada das massas'!I43&gt;$B$13),'Entrada das massas'!I43-((($C$14-$C$13)*($B$14-'Entrada das massas'!I43)+($B$13*$C$14)-($B$14*$C$14))/($B$13-$B$14)),IF(AND('Entrada das massas'!I43&lt;=$B$13,'Entrada das massas'!I43&gt;$B$12),'Entrada das massas'!I43-((($C$13-$C$12)*($B$13-'Entrada das massas'!I43)+($B$12*$C$13)-($B$13*$C$13))/($B$12-$B$13)),IF(AND('Entrada das massas'!I43&lt;=$B$12,'Entrada das massas'!I43&gt;$B$11),'Entrada das massas'!I43-((($C$12-$C$11)*($B$12-'Entrada das massas'!I43)+($B$11*$C$12)-($B$12*$C$12))/($B$11-$B$12)),IF(AND('Entrada das massas'!I43&lt;=$B$11,'Entrada das massas'!I43&gt;$B$10),'Entrada das massas'!I43-((($C$11-$C$10)*($B$11-'Entrada das massas'!I43)+($B$10*$C$11)-($B$11*$C$11))/($B$10-$B$11)),IF(AND('Entrada das massas'!I43&lt;=$B$10,'Entrada das massas'!I43&gt;$B$9),'Entrada das massas'!I43-((($C$10-$C$9)*($B$10-'Entrada das massas'!I43)+($B$9*$C$10)-($B$10*$C$10))/($B$9-$B$10)),IF(AND('Entrada das massas'!I43&lt;=$B$9,'Entrada das massas'!I43&gt;$B$8),'Entrada das massas'!I43-((($C$9-$C$8)*($B$9-'Entrada das massas'!I43)+($B$8*$C$9)-($B$9*$C$9))/($B$8-$B$9)),IF(AND('Entrada das massas'!I43&lt;=$B$8,'Entrada das massas'!I43&gt;$B$7),'Entrada das massas'!I43-((($C$8-$C$7)*($B$8-'Entrada das massas'!I43)+($B$7*$C$8)-($B$8*$C$8))/($B$7-$B$8)),IF(AND('Entrada das massas'!I43&lt;=$B$7,'Entrada das massas'!I43&gt;$B$6),'Entrada das massas'!I43-((($C$7-$C$6)*($B$7-'Entrada das massas'!I43)+($B$6*$C$7)-($B$7*$C$7))/($B$6-$B$7)),IF(AND('Entrada das massas'!I43&lt;=$B$6,'Entrada das massas'!I43&gt;$B$5),'Entrada das massas'!I43-((($C$6-$C$5)*($B$6-'Entrada das massas'!I43)+($B$5*$C$6)-($B$6*$C$6))/($B$5-$B$6)),IF('Entrada das massas'!I43&lt;=$B$5,'Entrada das massas'!I43-$C$5)))))))))))))))))</f>
        <v/>
      </c>
      <c r="J63" s="117" t="str">
        <f t="shared" ref="J63:J64" si="24">IF(I63="","",(IF(AND(I63&lt;=$B$20,I63&gt;$B$19),$D$19+($B$19-I63)/($B$19-$B$20)*($D$20-$D$19),IF(AND(I63&lt;=$B$19,I63&gt;$B$18),$D$18+($B$18-I63)/($B$18-$B$19)*($D$19-$D$18),IF(AND(I63&lt;=$B$18,I63&gt;$B$17),$D$17+($B$17-I63)/($B$17-$B$18)*($D$18-$D$17),IF(AND(I63&lt;=$B$17,I63&gt;$B$16),$D$16+($B$16-I63)/($B$16-$B$17)*($D$17-$D$16),IF(AND(I63&lt;=$B$16,I63&gt;$B$15),$D$15+($B$15-I63)/($B$15-$B$16)*($D$16-$D$15),IF(AND(I63&lt;=$B$15,I63&gt;$B$14),$D$14+($B$14-I63)/($B$14-$B$15)*($D$15-$D$14),IF(AND(I63&lt;=$B$14,I63&gt;$B$13),$D$13+($B$13-I63)/($B$13-$B$14)*($D$14-$D$13),IF(AND(I63&lt;=$B$13,I63&gt;$B$12),$D$12+($B$12-I63)/($B$12-$B$13)*($D$13-$D$12),IF(AND(I63&lt;=$B$12,I63&gt;$B$11),$D$11+($B$11-I63)/($B$11-$B$12)*($D$12-$D$11),IF(AND(I63&lt;=$B$11,I63&gt;$B$10),$D$10+($B$10-I63)/($B$10-$B$11)*($D$11-$D$10),IF(AND(I63&lt;=$B$10,I63&gt;$B$9),$D$9+($B$9-I63)/($B$9-$B$10)*($D$10-$D$9),IF(AND(I63&lt;=$B$9,I63&gt;$B$8),$D$8+($B$8-I63)/($B$8-$B$9)*($D$9-$D$8),IF(AND(I63&lt;=$B$8,I63&gt;$B$7),$D$7+($B$7-I63)/($B$7-$B$8)*($D$8-$D$7),IF(AND(I63&lt;=$B$7,I63&gt;$B$6),$D$6+($B$6-I63)/($B$6-$B$7)*($D$7-$D$6),IF(I63&lt;=$B$6,$D$6)))))))))))))))))</f>
        <v/>
      </c>
      <c r="K63" s="120" t="str">
        <f>IF(I62="","",I63-I62)</f>
        <v/>
      </c>
      <c r="L63" s="117" t="str">
        <f>IF(J62="","",SQRT(SUMSQ(J62:J63)))</f>
        <v/>
      </c>
      <c r="M63" s="93" t="str">
        <f>IF(I61="","","Amostra")</f>
        <v/>
      </c>
      <c r="N63" s="118"/>
      <c r="O63" s="115" t="str">
        <f>IF(P61="","","Frasco + Amostra")</f>
        <v/>
      </c>
      <c r="P63" s="95" t="str">
        <f>IF('Entrada das massas'!N43="","",IF(AND('Entrada das massas'!N43&lt;=$B$20,'Entrada das massas'!N43&gt;$B$19),'Entrada das massas'!N43-((($C$20-$C$19)*($B$20-'Entrada das massas'!N43)+($B$19*$C$20)-($B$20*$C$20))/($B$19-$B$20)),IF(AND('Entrada das massas'!N43&lt;=$B$19,'Entrada das massas'!N43&gt;$B$18),'Entrada das massas'!N43-((($C$19-$C$18)*($B$19-'Entrada das massas'!N43)+($B$18*$C$19)-($B$19*$C$19))/($B$18-$B$19)),IF(AND('Entrada das massas'!N43&lt;=$B$18,'Entrada das massas'!N43&gt;$B$17),'Entrada das massas'!N43-((($C$18-$C$17)*($B$18-'Entrada das massas'!N43)+($B$17*$C$18)-($B$18*$C$18))/($B$17-$B$18)),IF(AND('Entrada das massas'!N43&lt;=$B$17,'Entrada das massas'!N43&gt;$B$16),'Entrada das massas'!N43-((($C$17-$C$16)*($B$17-'Entrada das massas'!N43)+($B$16*$C$17)-($B$17*$C$17))/($B$16-$B$17)),IF(AND('Entrada das massas'!N43&lt;=$B$16,'Entrada das massas'!N43&gt;$B$15),'Entrada das massas'!N43-((($C$16-$C$15)*($B$16-'Entrada das massas'!N43)+($B$15*$C$16)-($B$16*$C$16))/($B$15-$B$16)),IF(AND('Entrada das massas'!N43&lt;=$B$15,'Entrada das massas'!N43&gt;$B$14),'Entrada das massas'!N43-((($C$15-$C$14)*($B$15-'Entrada das massas'!N43)+($B$14*$C$15)-($B$15*$C$15))/($B$14-$B$15)),IF(AND('Entrada das massas'!N43&lt;=$B$14,'Entrada das massas'!N43&gt;$B$13),'Entrada das massas'!N43-((($C$14-$C$13)*($B$14-'Entrada das massas'!N43)+($B$13*$C$14)-($B$14*$C$14))/($B$13-$B$14)),IF(AND('Entrada das massas'!N43&lt;=$B$13,'Entrada das massas'!N43&gt;$B$12),'Entrada das massas'!N43-((($C$13-$C$12)*($B$13-'Entrada das massas'!N43)+($B$12*$C$13)-($B$13*$C$13))/($B$12-$B$13)),IF(AND('Entrada das massas'!N43&lt;=$B$12,'Entrada das massas'!N43&gt;$B$11),'Entrada das massas'!N43-((($C$12-$C$11)*($B$12-'Entrada das massas'!N43)+($B$11*$C$12)-($B$12*$C$12))/($B$11-$B$12)),IF(AND('Entrada das massas'!N43&lt;=$B$11,'Entrada das massas'!N43&gt;$B$10),'Entrada das massas'!N43-((($C$11-$C$10)*($B$11-'Entrada das massas'!N43)+($B$10*$C$11)-($B$11*$C$11))/($B$10-$B$11)),IF(AND('Entrada das massas'!N43&lt;=$B$10,'Entrada das massas'!N43&gt;$B$9),'Entrada das massas'!N43-((($C$10-$C$9)*($B$10-'Entrada das massas'!N43)+($B$9*$C$10)-($B$10*$C$10))/($B$9-$B$10)),IF(AND('Entrada das massas'!N43&lt;=$B$9,'Entrada das massas'!N43&gt;$B$8),'Entrada das massas'!N43-((($C$9-$C$8)*($B$9-'Entrada das massas'!N43)+($B$8*$C$9)-($B$9*$C$9))/($B$8-$B$9)),IF(AND('Entrada das massas'!N43&lt;=$B$8,'Entrada das massas'!N43&gt;$B$7),'Entrada das massas'!N43-((($C$8-$C$7)*($B$8-'Entrada das massas'!N43)+($B$7*$C$8)-($B$8*$C$8))/($B$7-$B$8)),IF(AND('Entrada das massas'!N43&lt;=$B$7,'Entrada das massas'!N43&gt;$B$6),'Entrada das massas'!N43-((($C$7-$C$6)*($B$7-'Entrada das massas'!N43)+($B$6*$C$7)-($B$7*$C$7))/($B$6-$B$7)),IF(AND('Entrada das massas'!N43&lt;=$B$6,'Entrada das massas'!N43&gt;$B$5),'Entrada das massas'!N43-((($C$6-$C$5)*($B$6-'Entrada das massas'!N43)+($B$5*$C$6)-($B$6*$C$6))/($B$5-$B$6)),IF('Entrada das massas'!N43&lt;=$B$5,'Entrada das massas'!N43-$C$5)))))))))))))))))</f>
        <v/>
      </c>
      <c r="Q63" s="117" t="str">
        <f t="shared" ref="Q63:Q64" si="25">IF(P63="","",(IF(AND(P63&lt;=$B$20,P63&gt;$B$19),$D$19+($B$19-P63)/($B$19-$B$20)*($D$20-$D$19),IF(AND(P63&lt;=$B$19,P63&gt;$B$18),$D$18+($B$18-P63)/($B$18-$B$19)*($D$19-$D$18),IF(AND(P63&lt;=$B$18,P63&gt;$B$17),$D$17+($B$17-P63)/($B$17-$B$18)*($D$18-$D$17),IF(AND(P63&lt;=$B$17,P63&gt;$B$16),$D$16+($B$16-P63)/($B$16-$B$17)*($D$17-$D$16),IF(AND(P63&lt;=$B$16,P63&gt;$B$15),$D$15+($B$15-P63)/($B$15-$B$16)*($D$16-$D$15),IF(AND(P63&lt;=$B$15,P63&gt;$B$14),$D$14+($B$14-P63)/($B$14-$B$15)*($D$15-$D$14),IF(AND(P63&lt;=$B$14,P63&gt;$B$13),$D$13+($B$13-P63)/($B$13-$B$14)*($D$14-$D$13),IF(AND(P63&lt;=$B$13,P63&gt;$B$12),$D$12+($B$12-P63)/($B$12-$B$13)*($D$13-$D$12),IF(AND(P63&lt;=$B$12,P63&gt;$B$11),$D$11+($B$11-P63)/($B$11-$B$12)*($D$12-$D$11),IF(AND(P63&lt;=$B$11,P63&gt;$B$10),$D$10+($B$10-P63)/($B$10-$B$11)*($D$11-$D$10),IF(AND(P63&lt;=$B$10,P63&gt;$B$9),$D$9+($B$9-P63)/($B$9-$B$10)*($D$10-$D$9),IF(AND(P63&lt;=$B$9,P63&gt;$B$8),$D$8+($B$8-P63)/($B$8-$B$9)*($D$9-$D$8),IF(AND(P63&lt;=$B$8,P63&gt;$B$7),$D$7+($B$7-P63)/($B$7-$B$8)*($D$8-$D$7),IF(AND(P63&lt;=$B$7,P63&gt;$B$6),$D$6+($B$6-P63)/($B$6-$B$7)*($D$7-$D$6),IF(P63&lt;=$B$6,$D$6)))))))))))))))))</f>
        <v/>
      </c>
      <c r="R63" s="120" t="str">
        <f>IF(P62="","",P63-P62)</f>
        <v/>
      </c>
      <c r="S63" s="117" t="str">
        <f>IF(Q62="","",SQRT(SUMSQ(Q62:Q63)))</f>
        <v/>
      </c>
      <c r="T63" s="93" t="str">
        <f>IF(P61="","","Amostra")</f>
        <v/>
      </c>
      <c r="U63" s="118"/>
      <c r="V63" s="115" t="str">
        <f>IF(W61="","","Frasco + Amostra")</f>
        <v/>
      </c>
      <c r="W63" s="95" t="str">
        <f>IF('Entrada das massas'!S43="","",IF(AND('Entrada das massas'!S43&lt;=$B$20,'Entrada das massas'!S43&gt;$B$19),'Entrada das massas'!S43-((($C$20-$C$19)*($B$20-'Entrada das massas'!S43)+($B$19*$C$20)-($B$20*$C$20))/($B$19-$B$20)),IF(AND('Entrada das massas'!S43&lt;=$B$19,'Entrada das massas'!S43&gt;$B$18),'Entrada das massas'!S43-((($C$19-$C$18)*($B$19-'Entrada das massas'!S43)+($B$18*$C$19)-($B$19*$C$19))/($B$18-$B$19)),IF(AND('Entrada das massas'!S43&lt;=$B$18,'Entrada das massas'!S43&gt;$B$17),'Entrada das massas'!S43-((($C$18-$C$17)*($B$18-'Entrada das massas'!S43)+($B$17*$C$18)-($B$18*$C$18))/($B$17-$B$18)),IF(AND('Entrada das massas'!S43&lt;=$B$17,'Entrada das massas'!S43&gt;$B$16),'Entrada das massas'!S43-((($C$17-$C$16)*($B$17-'Entrada das massas'!S43)+($B$16*$C$17)-($B$17*$C$17))/($B$16-$B$17)),IF(AND('Entrada das massas'!S43&lt;=$B$16,'Entrada das massas'!S43&gt;$B$15),'Entrada das massas'!S43-((($C$16-$C$15)*($B$16-'Entrada das massas'!S43)+($B$15*$C$16)-($B$16*$C$16))/($B$15-$B$16)),IF(AND('Entrada das massas'!S43&lt;=$B$15,'Entrada das massas'!S43&gt;$B$14),'Entrada das massas'!S43-((($C$15-$C$14)*($B$15-'Entrada das massas'!S43)+($B$14*$C$15)-($B$15*$C$15))/($B$14-$B$15)),IF(AND('Entrada das massas'!S43&lt;=$B$14,'Entrada das massas'!S43&gt;$B$13),'Entrada das massas'!S43-((($C$14-$C$13)*($B$14-'Entrada das massas'!S43)+($B$13*$C$14)-($B$14*$C$14))/($B$13-$B$14)),IF(AND('Entrada das massas'!S43&lt;=$B$13,'Entrada das massas'!S43&gt;$B$12),'Entrada das massas'!S43-((($C$13-$C$12)*($B$13-'Entrada das massas'!S43)+($B$12*$C$13)-($B$13*$C$13))/($B$12-$B$13)),IF(AND('Entrada das massas'!S43&lt;=$B$12,'Entrada das massas'!S43&gt;$B$11),'Entrada das massas'!S43-((($C$12-$C$11)*($B$12-'Entrada das massas'!S43)+($B$11*$C$12)-($B$12*$C$12))/($B$11-$B$12)),IF(AND('Entrada das massas'!S43&lt;=$B$11,'Entrada das massas'!S43&gt;$B$10),'Entrada das massas'!S43-((($C$11-$C$10)*($B$11-'Entrada das massas'!S43)+($B$10*$C$11)-($B$11*$C$11))/($B$10-$B$11)),IF(AND('Entrada das massas'!S43&lt;=$B$10,'Entrada das massas'!S43&gt;$B$9),'Entrada das massas'!S43-((($C$10-$C$9)*($B$10-'Entrada das massas'!S43)+($B$9*$C$10)-($B$10*$C$10))/($B$9-$B$10)),IF(AND('Entrada das massas'!S43&lt;=$B$9,'Entrada das massas'!S43&gt;$B$8),'Entrada das massas'!S43-((($C$9-$C$8)*($B$9-'Entrada das massas'!S43)+($B$8*$C$9)-($B$9*$C$9))/($B$8-$B$9)),IF(AND('Entrada das massas'!S43&lt;=$B$8,'Entrada das massas'!S43&gt;$B$7),'Entrada das massas'!S43-((($C$8-$C$7)*($B$8-'Entrada das massas'!S43)+($B$7*$C$8)-($B$8*$C$8))/($B$7-$B$8)),IF(AND('Entrada das massas'!S43&lt;=$B$7,'Entrada das massas'!S43&gt;$B$6),'Entrada das massas'!S43-((($C$7-$C$6)*($B$7-'Entrada das massas'!S43)+($B$6*$C$7)-($B$7*$C$7))/($B$6-$B$7)),IF(AND('Entrada das massas'!S43&lt;=$B$6,'Entrada das massas'!S43&gt;$B$5),'Entrada das massas'!S43-((($C$6-$C$5)*($B$6-'Entrada das massas'!S43)+($B$5*$C$6)-($B$6*$C$6))/($B$5-$B$6)),IF('Entrada das massas'!S43&lt;=$B$5,'Entrada das massas'!S43-$C$5)))))))))))))))))</f>
        <v/>
      </c>
      <c r="X63" s="117" t="str">
        <f t="shared" ref="X63:X64" si="26">IF(W63="","",(IF(AND(W63&lt;=$B$20,W63&gt;$B$19),$D$19+($B$19-W63)/($B$19-$B$20)*($D$20-$D$19),IF(AND(W63&lt;=$B$19,W63&gt;$B$18),$D$18+($B$18-W63)/($B$18-$B$19)*($D$19-$D$18),IF(AND(W63&lt;=$B$18,W63&gt;$B$17),$D$17+($B$17-W63)/($B$17-$B$18)*($D$18-$D$17),IF(AND(W63&lt;=$B$17,W63&gt;$B$16),$D$16+($B$16-W63)/($B$16-$B$17)*($D$17-$D$16),IF(AND(W63&lt;=$B$16,W63&gt;$B$15),$D$15+($B$15-W63)/($B$15-$B$16)*($D$16-$D$15),IF(AND(W63&lt;=$B$15,W63&gt;$B$14),$D$14+($B$14-W63)/($B$14-$B$15)*($D$15-$D$14),IF(AND(W63&lt;=$B$14,W63&gt;$B$13),$D$13+($B$13-W63)/($B$13-$B$14)*($D$14-$D$13),IF(AND(W63&lt;=$B$13,W63&gt;$B$12),$D$12+($B$12-W63)/($B$12-$B$13)*($D$13-$D$12),IF(AND(W63&lt;=$B$12,W63&gt;$B$11),$D$11+($B$11-W63)/($B$11-$B$12)*($D$12-$D$11),IF(AND(W63&lt;=$B$11,W63&gt;$B$10),$D$10+($B$10-W63)/($B$10-$B$11)*($D$11-$D$10),IF(AND(W63&lt;=$B$10,W63&gt;$B$9),$D$9+($B$9-W63)/($B$9-$B$10)*($D$10-$D$9),IF(AND(W63&lt;=$B$9,W63&gt;$B$8),$D$8+($B$8-W63)/($B$8-$B$9)*($D$9-$D$8),IF(AND(W63&lt;=$B$8,W63&gt;$B$7),$D$7+($B$7-W63)/($B$7-$B$8)*($D$8-$D$7),IF(AND(W63&lt;=$B$7,W63&gt;$B$6),$D$6+($B$6-W63)/($B$6-$B$7)*($D$7-$D$6),IF(W63&lt;=$B$6,$D$6)))))))))))))))))</f>
        <v/>
      </c>
      <c r="Y63" s="120" t="str">
        <f>IF(W62="","",W63-W62)</f>
        <v/>
      </c>
      <c r="Z63" s="117" t="str">
        <f>IF(X62="","",SQRT(SUMSQ(X62:X63)))</f>
        <v/>
      </c>
      <c r="AA63" s="93" t="str">
        <f>IF(W61="","","Amostra")</f>
        <v/>
      </c>
      <c r="AB63" s="100"/>
      <c r="AC63" s="151"/>
      <c r="AD63" s="318"/>
      <c r="AE63" s="149"/>
      <c r="AF63" s="318"/>
      <c r="AG63" s="318"/>
      <c r="AH63" s="318"/>
      <c r="AI63" s="101"/>
      <c r="AJ63" s="101"/>
      <c r="AK63" s="101"/>
      <c r="AL63" s="101"/>
    </row>
    <row r="64" spans="1:46" x14ac:dyDescent="0.2">
      <c r="A64" s="122" t="s">
        <v>58</v>
      </c>
      <c r="B64" s="111">
        <f>IF(AND('Entrada das massas'!C44&lt;=$B$20,'Entrada das massas'!C44&gt;$B$19),'Entrada das massas'!C44-((($C$20-$C$19)*($B$20-'Entrada das massas'!C44)+($B$19*$C$20)-($B$20*$C$20))/($B$19-$B$20)),IF(AND('Entrada das massas'!C44&lt;=$B$19,'Entrada das massas'!C44&gt;$B$18),'Entrada das massas'!C44-((($C$19-$C$18)*($B$19-'Entrada das massas'!C44)+($B$18*$C$19)-($B$19*$C$19))/($B$18-$B$19)),IF(AND('Entrada das massas'!C44&lt;=$B$18,'Entrada das massas'!C44&gt;$B$17),'Entrada das massas'!C44-((($C$18-$C$17)*($B$18-'Entrada das massas'!C44)+($B$17*$C$18)-($B$18*$C$18))/($B$17-$B$18)),IF(AND('Entrada das massas'!C44&lt;=$B$17,'Entrada das massas'!C44&gt;$B$16),'Entrada das massas'!C44-((($C$17-$C$16)*($B$17-'Entrada das massas'!C44)+($B$16*$C$17)-($B$17*$C$17))/($B$16-$B$17)),IF(AND('Entrada das massas'!C44&lt;=$B$16,'Entrada das massas'!C44&gt;$B$15),'Entrada das massas'!C44-((($C$16-$C$15)*($B$16-'Entrada das massas'!C44)+($B$15*$C$16)-($B$16*$C$16))/($B$15-$B$16)),IF(AND('Entrada das massas'!C44&lt;=$B$15,'Entrada das massas'!C44&gt;$B$14),'Entrada das massas'!C44-((($C$15-$C$14)*($B$15-'Entrada das massas'!C44)+($B$14*$C$15)-($B$15*$C$15))/($B$14-$B$15)),IF(AND('Entrada das massas'!C44&lt;=$B$14,'Entrada das massas'!C44&gt;$B$13),'Entrada das massas'!C44-((($C$14-$C$13)*($B$14-'Entrada das massas'!C44)+($B$13*$C$14)-($B$14*$C$14))/($B$13-$B$14)),IF(AND('Entrada das massas'!C44&lt;=$B$13,'Entrada das massas'!C44&gt;$B$12),'Entrada das massas'!C44-((($C$13-$C$12)*($B$13-'Entrada das massas'!C44)+($B$12*$C$13)-($B$13*$C$13))/($B$12-$B$13)),IF(AND('Entrada das massas'!C44&lt;=$B$12,'Entrada das massas'!C44&gt;$B$11),'Entrada das massas'!C44-((($C$12-$C$11)*($B$12-'Entrada das massas'!C44)+($B$11*$C$12)-($B$12*$C$12))/($B$11-$B$12)), IF(AND('Entrada das massas'!C44&lt;=$B$11,'Entrada das massas'!C44&gt;$B$10),'Entrada das massas'!C44-((($C$11-$C$10)*($B$11-'Entrada das massas'!C44)+($B$10*$C$11)-($B$11*$C$11))/($B$10-$B$11)),IF(AND('Entrada das massas'!C44&lt;=$B$10,'Entrada das massas'!C44&gt;$B$9),'Entrada das massas'!C44-((($C$10-$C$9)*($B$10-'Entrada das massas'!C44)+($B$9*$C$10)-($B$10*$C$10))/($B$9-$B$10)),IF(AND('Entrada das massas'!C44&lt;=$B$9,'Entrada das massas'!C44&gt;$B$8),'Entrada das massas'!C44-((($C$9-$C$8)*($B$9-'Entrada das massas'!C44)+($B$8*$C$9)-($B$9*$C$9))/($B$8-$B$9)),IF(AND('Entrada das massas'!C44&lt;=$B$8,'Entrada das massas'!C44&gt;$B$7),'Entrada das massas'!C44-((($C$8-$C$7)*($B$8-'Entrada das massas'!C44)+($B$7*$C$8)-($B$8*$C$8))/($B$7-$B$8)),IF(AND('Entrada das massas'!C44&lt;=$B$7,'Entrada das massas'!C44&gt;$B$6),'Entrada das massas'!C44-((($C$7-$C$6)*($B$7-'Entrada das massas'!C44)+($B$6*$C$7)-($B$7*$C$7))/($B$6-$B$7)),IF(AND('Entrada das massas'!C44&lt;=$B$6,'Entrada das massas'!C44&gt;$B$5),'Entrada das massas'!C44-((($C$6-$C$5)*($B$6-'Entrada das massas'!C44)+($B$5*$C$6)-($B$6*$C$6))/($B$5-$B$6)),IF('Entrada das massas'!C44&lt;=$B$5,'Entrada das massas'!C44-$C$5))))))))))))))))</f>
        <v>65.12335512332001</v>
      </c>
      <c r="C64" s="112">
        <f>(IF(AND(B64&lt;=$B$20,B64&gt;$B$19),$D$19+($B$19-B64)/($B$19-$B$20)*($D$20-$D$19),IF(AND(B64&lt;=$B$19,B64&gt;$B$18),$D$18+($B$18-B64)/($B$18-$B$19)*($D$19-$D$18),IF(AND(B64&lt;=$B$18,B64&gt;$B$17),$D$17+($B$17-B64)/($B$17-$B$18)*($D$18-$D$17),IF(AND(B64&lt;=$B$17,B64&gt;$B$16),$D$16+($B$16-B64)/($B$16-$B$17)*($D$17-$D$16),IF(AND(B64&lt;=$B$16,B64&gt;$B$15),$D$15+($B$15-B64)/($B$15-$B$16)*($D$16-$D$15),IF(AND(B64&lt;=$B$15,B64&gt;$B$14),$D$14+($B$14-B64)/($B$14-$B$15)*($D$15-$D$14),IF(AND(B64&lt;=$B$14,B64&gt;$B$13),$D$13+($B$13-B64)/($B$13-$B$14)*($D$14-$D$13),IF(AND(B64&lt;=$B$13,B64&gt;$B$12),$D$12+($B$12-B64)/($B$12-$B$13)*($D$13-$D$12),IF(AND(B64&lt;=$B$12,B64&gt;$B$11),$D$11+($B$11-B64)/($B$11-$B$12)*($D$12-$D$11),IF(AND(B64&lt;=$B$11,B64&gt;$B$10),$D$10+($B$10-B64)/($B$10-$B$11)*($D$11-$D$10),IF(AND(B64&lt;=$B$10,B64&gt;$B$9),$D$9+($B$9-B64)/($B$9-$B$10)*($D$10-$D$9),IF(AND(B64&lt;=$B$9,B64&gt;$B$8),$D$8+($B$8-B64)/($B$8-$B$9)*($D$9-$D$8),IF(AND(B64&lt;=$B$8,B64&gt;$B$7),$D$7+($B$7-B64)/($B$7-$B$8)*($D$8-$D$7),IF(AND(B64&lt;=$B$7,B64&gt;$B$6),$D$6+($B$6-B64)/($B$6-$B$7)*($D$7-$D$6),IF(B64&lt;=$B$6,$D$6))))))))))))))))</f>
        <v>2.5000000000000001E-5</v>
      </c>
      <c r="D64" s="113" t="s">
        <v>159</v>
      </c>
      <c r="E64" s="119">
        <f>B64-B62</f>
        <v>50.555854258300009</v>
      </c>
      <c r="F64" s="112">
        <f>SQRT(SUMSQ(C62,C64))</f>
        <v>2.6925824035672523E-5</v>
      </c>
      <c r="H64" s="123" t="str">
        <f>IF(I61="","","Massa final")</f>
        <v/>
      </c>
      <c r="I64" s="116" t="str">
        <f>IF('Entrada das massas'!I44="","",IF(AND('Entrada das massas'!I44&lt;=$B$20,'Entrada das massas'!I44&gt;$B$19),'Entrada das massas'!I44-((($C$20-$C$19)*($B$20-'Entrada das massas'!I44)+($B$19*$C$20)-($B$20*$C$20))/($B$19-$B$20)),IF(AND('Entrada das massas'!I44&lt;=$B$19,'Entrada das massas'!I44&gt;$B$18),'Entrada das massas'!I44-((($C$19-$C$18)*($B$19-'Entrada das massas'!I44)+($B$18*$C$19)-($B$19*$C$19))/($B$18-$B$19)),IF(AND('Entrada das massas'!I44&lt;=$B$18,'Entrada das massas'!I44&gt;$B$17),'Entrada das massas'!I44-((($C$18-$C$17)*($B$18-'Entrada das massas'!I44)+($B$17*$C$18)-($B$18*$C$18))/($B$17-$B$18)),IF(AND('Entrada das massas'!I44&lt;=$B$17,'Entrada das massas'!I44&gt;$B$16),'Entrada das massas'!I44-((($C$17-$C$16)*($B$17-'Entrada das massas'!I44)+($B$16*$C$17)-($B$17*$C$17))/($B$16-$B$17)),IF(AND('Entrada das massas'!I44&lt;=$B$16,'Entrada das massas'!I44&gt;$B$15),'Entrada das massas'!I44-((($C$16-$C$15)*($B$16-'Entrada das massas'!I44)+($B$15*$C$16)-($B$16*$C$16))/($B$15-$B$16)),IF(AND('Entrada das massas'!I44&lt;=$B$15,'Entrada das massas'!I44&gt;$B$14),'Entrada das massas'!I44-((($C$15-$C$14)*($B$15-'Entrada das massas'!I44)+($B$14*$C$15)-($B$15*$C$15))/($B$14-$B$15)),IF(AND('Entrada das massas'!I44&lt;=$B$14,'Entrada das massas'!I44&gt;$B$13),'Entrada das massas'!I44-((($C$14-$C$13)*($B$14-'Entrada das massas'!I44)+($B$13*$C$14)-($B$14*$C$14))/($B$13-$B$14)),IF(AND('Entrada das massas'!I44&lt;=$B$13,'Entrada das massas'!I44&gt;$B$12),'Entrada das massas'!I44-((($C$13-$C$12)*($B$13-'Entrada das massas'!I44)+($B$12*$C$13)-($B$13*$C$13))/($B$12-$B$13)),IF(AND('Entrada das massas'!I44&lt;=$B$12,'Entrada das massas'!I44&gt;$B$11),'Entrada das massas'!I44-((($C$12-$C$11)*($B$12-'Entrada das massas'!I44)+($B$11*$C$12)-($B$12*$C$12))/($B$11-$B$12)),IF(AND('Entrada das massas'!I44&lt;=$B$11,'Entrada das massas'!I44&gt;$B$10),'Entrada das massas'!I44-((($C$11-$C$10)*($B$11-'Entrada das massas'!I44)+($B$10*$C$11)-($B$11*$C$11))/($B$10-$B$11)),IF(AND('Entrada das massas'!I44&lt;=$B$10,'Entrada das massas'!I44&gt;$B$9),'Entrada das massas'!I44-((($C$10-$C$9)*($B$10-'Entrada das massas'!I44)+($B$9*$C$10)-($B$10*$C$10))/($B$9-$B$10)),IF(AND('Entrada das massas'!I44&lt;=$B$9,'Entrada das massas'!I44&gt;$B$8),'Entrada das massas'!I44-((($C$9-$C$8)*($B$9-'Entrada das massas'!I44)+($B$8*$C$9)-($B$9*$C$9))/($B$8-$B$9)),IF(AND('Entrada das massas'!I44&lt;=$B$8,'Entrada das massas'!I44&gt;$B$7),'Entrada das massas'!I44-((($C$8-$C$7)*($B$8-'Entrada das massas'!I44)+($B$7*$C$8)-($B$8*$C$8))/($B$7-$B$8)),IF(AND('Entrada das massas'!I44&lt;=$B$7,'Entrada das massas'!I44&gt;$B$6),'Entrada das massas'!I44-((($C$7-$C$6)*($B$7-'Entrada das massas'!I44)+($B$6*$C$7)-($B$7*$C$7))/($B$6-$B$7)),IF(AND('Entrada das massas'!I44&lt;=$B$6,'Entrada das massas'!I44&gt;$B$5),'Entrada das massas'!I44-((($C$6-$C$5)*($B$6-'Entrada das massas'!I44)+($B$5*$C$6)-($B$6*$C$6))/($B$5-$B$6)),IF('Entrada das massas'!I44&lt;=$B$5,'Entrada das massas'!I44-$C$5)))))))))))))))))</f>
        <v/>
      </c>
      <c r="J64" s="117" t="str">
        <f t="shared" si="24"/>
        <v/>
      </c>
      <c r="K64" s="120" t="str">
        <f>IF(I62="","",I64-I62)</f>
        <v/>
      </c>
      <c r="L64" s="117" t="str">
        <f>IF(J62="","",SQRT(SUMSQ(J62,J64)))</f>
        <v/>
      </c>
      <c r="M64" s="93" t="str">
        <f>IF(I61="","","Solução")</f>
        <v/>
      </c>
      <c r="N64" s="93"/>
      <c r="O64" s="123" t="str">
        <f>IF(P61="","","Massa final")</f>
        <v/>
      </c>
      <c r="P64" s="95" t="str">
        <f>IF('Entrada das massas'!N44="","",IF(AND('Entrada das massas'!N44&lt;=$B$20,'Entrada das massas'!N44&gt;$B$19),'Entrada das massas'!N44-((($C$20-$C$19)*($B$20-'Entrada das massas'!N44)+($B$19*$C$20)-($B$20*$C$20))/($B$19-$B$20)),IF(AND('Entrada das massas'!N44&lt;=$B$19,'Entrada das massas'!N44&gt;$B$18),'Entrada das massas'!N44-((($C$19-$C$18)*($B$19-'Entrada das massas'!N44)+($B$18*$C$19)-($B$19*$C$19))/($B$18-$B$19)),IF(AND('Entrada das massas'!N44&lt;=$B$18,'Entrada das massas'!N44&gt;$B$17),'Entrada das massas'!N44-((($C$18-$C$17)*($B$18-'Entrada das massas'!N44)+($B$17*$C$18)-($B$18*$C$18))/($B$17-$B$18)),IF(AND('Entrada das massas'!N44&lt;=$B$17,'Entrada das massas'!N44&gt;$B$16),'Entrada das massas'!N44-((($C$17-$C$16)*($B$17-'Entrada das massas'!N44)+($B$16*$C$17)-($B$17*$C$17))/($B$16-$B$17)),IF(AND('Entrada das massas'!N44&lt;=$B$16,'Entrada das massas'!N44&gt;$B$15),'Entrada das massas'!N44-((($C$16-$C$15)*($B$16-'Entrada das massas'!N44)+($B$15*$C$16)-($B$16*$C$16))/($B$15-$B$16)),IF(AND('Entrada das massas'!N44&lt;=$B$15,'Entrada das massas'!N44&gt;$B$14),'Entrada das massas'!N44-((($C$15-$C$14)*($B$15-'Entrada das massas'!N44)+($B$14*$C$15)-($B$15*$C$15))/($B$14-$B$15)),IF(AND('Entrada das massas'!N44&lt;=$B$14,'Entrada das massas'!N44&gt;$B$13),'Entrada das massas'!N44-((($C$14-$C$13)*($B$14-'Entrada das massas'!N44)+($B$13*$C$14)-($B$14*$C$14))/($B$13-$B$14)),IF(AND('Entrada das massas'!N44&lt;=$B$13,'Entrada das massas'!N44&gt;$B$12),'Entrada das massas'!N44-((($C$13-$C$12)*($B$13-'Entrada das massas'!N44)+($B$12*$C$13)-($B$13*$C$13))/($B$12-$B$13)),IF(AND('Entrada das massas'!N44&lt;=$B$12,'Entrada das massas'!N44&gt;$B$11),'Entrada das massas'!N44-((($C$12-$C$11)*($B$12-'Entrada das massas'!N44)+($B$11*$C$12)-($B$12*$C$12))/($B$11-$B$12)),IF(AND('Entrada das massas'!N44&lt;=$B$11,'Entrada das massas'!N44&gt;$B$10),'Entrada das massas'!N44-((($C$11-$C$10)*($B$11-'Entrada das massas'!N44)+($B$10*$C$11)-($B$11*$C$11))/($B$10-$B$11)),IF(AND('Entrada das massas'!N44&lt;=$B$10,'Entrada das massas'!N44&gt;$B$9),'Entrada das massas'!N44-((($C$10-$C$9)*($B$10-'Entrada das massas'!N44)+($B$9*$C$10)-($B$10*$C$10))/($B$9-$B$10)),IF(AND('Entrada das massas'!N44&lt;=$B$9,'Entrada das massas'!N44&gt;$B$8),'Entrada das massas'!N44-((($C$9-$C$8)*($B$9-'Entrada das massas'!N44)+($B$8*$C$9)-($B$9*$C$9))/($B$8-$B$9)),IF(AND('Entrada das massas'!N44&lt;=$B$8,'Entrada das massas'!N44&gt;$B$7),'Entrada das massas'!N44-((($C$8-$C$7)*($B$8-'Entrada das massas'!N44)+($B$7*$C$8)-($B$8*$C$8))/($B$7-$B$8)),IF(AND('Entrada das massas'!N44&lt;=$B$7,'Entrada das massas'!N44&gt;$B$6),'Entrada das massas'!N44-((($C$7-$C$6)*($B$7-'Entrada das massas'!N44)+($B$6*$C$7)-($B$7*$C$7))/($B$6-$B$7)),IF(AND('Entrada das massas'!N44&lt;=$B$6,'Entrada das massas'!N44&gt;$B$5),'Entrada das massas'!N44-((($C$6-$C$5)*($B$6-'Entrada das massas'!N44)+($B$5*$C$6)-($B$6*$C$6))/($B$5-$B$6)),IF('Entrada das massas'!N44&lt;=$B$5,'Entrada das massas'!N44-$C$5)))))))))))))))))</f>
        <v/>
      </c>
      <c r="Q64" s="117" t="str">
        <f t="shared" si="25"/>
        <v/>
      </c>
      <c r="R64" s="120" t="str">
        <f>IF(P62="","",P64-P62)</f>
        <v/>
      </c>
      <c r="S64" s="117" t="str">
        <f>IF(Q62="","",SQRT(SUMSQ(Q62,Q64)))</f>
        <v/>
      </c>
      <c r="T64" s="93" t="str">
        <f>IF(P61="","","Solução")</f>
        <v/>
      </c>
      <c r="U64" s="93"/>
      <c r="V64" s="123" t="str">
        <f>IF(W61="","","Massa final")</f>
        <v/>
      </c>
      <c r="W64" s="95" t="str">
        <f>IF('Entrada das massas'!S44="","",IF(AND('Entrada das massas'!S44&lt;=$B$20,'Entrada das massas'!S44&gt;$B$19),'Entrada das massas'!S44-((($C$20-$C$19)*($B$20-'Entrada das massas'!S44)+($B$19*$C$20)-($B$20*$C$20))/($B$19-$B$20)),IF(AND('Entrada das massas'!S44&lt;=$B$19,'Entrada das massas'!S44&gt;$B$18),'Entrada das massas'!S44-((($C$19-$C$18)*($B$19-'Entrada das massas'!S44)+($B$18*$C$19)-($B$19*$C$19))/($B$18-$B$19)),IF(AND('Entrada das massas'!S44&lt;=$B$18,'Entrada das massas'!S44&gt;$B$17),'Entrada das massas'!S44-((($C$18-$C$17)*($B$18-'Entrada das massas'!S44)+($B$17*$C$18)-($B$18*$C$18))/($B$17-$B$18)),IF(AND('Entrada das massas'!S44&lt;=$B$17,'Entrada das massas'!S44&gt;$B$16),'Entrada das massas'!S44-((($C$17-$C$16)*($B$17-'Entrada das massas'!S44)+($B$16*$C$17)-($B$17*$C$17))/($B$16-$B$17)),IF(AND('Entrada das massas'!S44&lt;=$B$16,'Entrada das massas'!S44&gt;$B$15),'Entrada das massas'!S44-((($C$16-$C$15)*($B$16-'Entrada das massas'!S44)+($B$15*$C$16)-($B$16*$C$16))/($B$15-$B$16)),IF(AND('Entrada das massas'!S44&lt;=$B$15,'Entrada das massas'!S44&gt;$B$14),'Entrada das massas'!S44-((($C$15-$C$14)*($B$15-'Entrada das massas'!S44)+($B$14*$C$15)-($B$15*$C$15))/($B$14-$B$15)),IF(AND('Entrada das massas'!S44&lt;=$B$14,'Entrada das massas'!S44&gt;$B$13),'Entrada das massas'!S44-((($C$14-$C$13)*($B$14-'Entrada das massas'!S44)+($B$13*$C$14)-($B$14*$C$14))/($B$13-$B$14)),IF(AND('Entrada das massas'!S44&lt;=$B$13,'Entrada das massas'!S44&gt;$B$12),'Entrada das massas'!S44-((($C$13-$C$12)*($B$13-'Entrada das massas'!S44)+($B$12*$C$13)-($B$13*$C$13))/($B$12-$B$13)),IF(AND('Entrada das massas'!S44&lt;=$B$12,'Entrada das massas'!S44&gt;$B$11),'Entrada das massas'!S44-((($C$12-$C$11)*($B$12-'Entrada das massas'!S44)+($B$11*$C$12)-($B$12*$C$12))/($B$11-$B$12)),IF(AND('Entrada das massas'!S44&lt;=$B$11,'Entrada das massas'!S44&gt;$B$10),'Entrada das massas'!S44-((($C$11-$C$10)*($B$11-'Entrada das massas'!S44)+($B$10*$C$11)-($B$11*$C$11))/($B$10-$B$11)),IF(AND('Entrada das massas'!S44&lt;=$B$10,'Entrada das massas'!S44&gt;$B$9),'Entrada das massas'!S44-((($C$10-$C$9)*($B$10-'Entrada das massas'!S44)+($B$9*$C$10)-($B$10*$C$10))/($B$9-$B$10)),IF(AND('Entrada das massas'!S44&lt;=$B$9,'Entrada das massas'!S44&gt;$B$8),'Entrada das massas'!S44-((($C$9-$C$8)*($B$9-'Entrada das massas'!S44)+($B$8*$C$9)-($B$9*$C$9))/($B$8-$B$9)),IF(AND('Entrada das massas'!S44&lt;=$B$8,'Entrada das massas'!S44&gt;$B$7),'Entrada das massas'!S44-((($C$8-$C$7)*($B$8-'Entrada das massas'!S44)+($B$7*$C$8)-($B$8*$C$8))/($B$7-$B$8)),IF(AND('Entrada das massas'!S44&lt;=$B$7,'Entrada das massas'!S44&gt;$B$6),'Entrada das massas'!S44-((($C$7-$C$6)*($B$7-'Entrada das massas'!S44)+($B$6*$C$7)-($B$7*$C$7))/($B$6-$B$7)),IF(AND('Entrada das massas'!S44&lt;=$B$6,'Entrada das massas'!S44&gt;$B$5),'Entrada das massas'!S44-((($C$6-$C$5)*($B$6-'Entrada das massas'!S44)+($B$5*$C$6)-($B$6*$C$6))/($B$5-$B$6)),IF('Entrada das massas'!S44&lt;=$B$5,'Entrada das massas'!S44-$C$5)))))))))))))))))</f>
        <v/>
      </c>
      <c r="X64" s="117" t="str">
        <f t="shared" si="26"/>
        <v/>
      </c>
      <c r="Y64" s="120" t="str">
        <f>IF(W62="","",W64-W62)</f>
        <v/>
      </c>
      <c r="Z64" s="117" t="str">
        <f>IF(X62="","",SQRT(SUMSQ(X62,X64)))</f>
        <v/>
      </c>
      <c r="AA64" s="93" t="str">
        <f>IF(W61="","","Solução")</f>
        <v/>
      </c>
      <c r="AB64" s="152"/>
      <c r="AC64" s="154"/>
      <c r="AD64" s="93"/>
      <c r="AE64" s="149"/>
      <c r="AF64" s="101"/>
      <c r="AG64" s="101"/>
      <c r="AH64" s="145"/>
      <c r="AI64" s="101"/>
      <c r="AJ64" s="101"/>
      <c r="AK64" s="101"/>
      <c r="AL64" s="101"/>
      <c r="AM64" s="98"/>
      <c r="AN64" s="98"/>
      <c r="AO64" s="98"/>
      <c r="AP64" s="98"/>
      <c r="AQ64" s="98"/>
      <c r="AR64" s="98"/>
      <c r="AS64" s="98"/>
      <c r="AT64" s="98"/>
    </row>
    <row r="65" spans="1:46" ht="13.5" thickBot="1" x14ac:dyDescent="0.25">
      <c r="A65" s="143"/>
      <c r="B65" s="98"/>
      <c r="C65" s="98"/>
      <c r="D65" s="98"/>
      <c r="E65" s="98"/>
      <c r="F65" s="98"/>
      <c r="H65" s="98"/>
      <c r="I65" s="93"/>
      <c r="J65" s="139"/>
      <c r="K65" s="139"/>
      <c r="L65" s="139"/>
      <c r="M65" s="98"/>
      <c r="N65" s="98"/>
      <c r="O65" s="98"/>
      <c r="P65" s="93"/>
      <c r="Q65" s="120"/>
      <c r="R65" s="120"/>
      <c r="S65" s="120"/>
      <c r="T65" s="98"/>
      <c r="U65" s="98"/>
      <c r="V65" s="98"/>
      <c r="W65" s="93"/>
      <c r="X65" s="120"/>
      <c r="Y65" s="120"/>
      <c r="Z65" s="120"/>
      <c r="AA65" s="98"/>
      <c r="AB65" s="152"/>
      <c r="AC65" s="153"/>
      <c r="AD65" s="101"/>
      <c r="AE65" s="149"/>
      <c r="AF65" s="319"/>
      <c r="AG65" s="155"/>
      <c r="AH65" s="101"/>
      <c r="AI65" s="101"/>
      <c r="AJ65" s="101"/>
      <c r="AK65" s="101"/>
      <c r="AL65" s="101"/>
      <c r="AM65" s="98"/>
      <c r="AN65" s="98"/>
      <c r="AO65" s="98"/>
      <c r="AP65" s="98"/>
      <c r="AQ65" s="98"/>
      <c r="AR65" s="98"/>
      <c r="AS65" s="98"/>
      <c r="AT65" s="98"/>
    </row>
    <row r="66" spans="1:46" ht="13.5" thickBot="1" x14ac:dyDescent="0.25">
      <c r="A66" s="572" t="s">
        <v>37</v>
      </c>
      <c r="B66" s="573"/>
      <c r="C66" s="573"/>
      <c r="D66" s="573"/>
      <c r="E66" s="573"/>
      <c r="F66" s="574"/>
      <c r="H66" s="126" t="str">
        <f>IF(I61="","","Amostra")</f>
        <v/>
      </c>
      <c r="I66" s="127" t="str">
        <f>IF('Entrada das massas'!I46="","",'Entrada das massas'!I46)</f>
        <v/>
      </c>
      <c r="J66" s="120" t="str">
        <f>IF(I66="","","uc(g)")</f>
        <v/>
      </c>
      <c r="K66" s="120" t="str">
        <f>IF(J66="","","Massa (g)")</f>
        <v/>
      </c>
      <c r="L66" s="120" t="str">
        <f>IF(K66="","","ucomb (g)")</f>
        <v/>
      </c>
      <c r="M66" s="98" t="str">
        <f>IF(I66="","","Fdiluição")</f>
        <v/>
      </c>
      <c r="N66" s="98"/>
      <c r="O66" s="126" t="str">
        <f>IF(M67="","","Amostra")</f>
        <v/>
      </c>
      <c r="P66" s="127" t="str">
        <f>IF('Entrada das massas'!N46="","",'Entrada das massas'!N46)</f>
        <v/>
      </c>
      <c r="Q66" s="120" t="str">
        <f>IF(P66="","","uc(g)")</f>
        <v/>
      </c>
      <c r="R66" s="120" t="str">
        <f>IF(Q66="","","Massa (g)")</f>
        <v/>
      </c>
      <c r="S66" s="120" t="str">
        <f>IF(R66="","","ucomb (g)")</f>
        <v/>
      </c>
      <c r="T66" s="98" t="str">
        <f>IF(P66="","","Fdiluição")</f>
        <v/>
      </c>
      <c r="U66" s="98"/>
      <c r="V66" s="126" t="str">
        <f>IF(T67="","","Amostra")</f>
        <v/>
      </c>
      <c r="W66" s="127" t="str">
        <f>IF('Entrada das massas'!S46="","",'Entrada das massas'!S46)</f>
        <v/>
      </c>
      <c r="X66" s="120" t="str">
        <f>IF(W66="","","uc(g)")</f>
        <v/>
      </c>
      <c r="Y66" s="120" t="str">
        <f>IF(X66="","","Massa (g)")</f>
        <v/>
      </c>
      <c r="Z66" s="120" t="str">
        <f>IF(Y66="","","ucomb (g)")</f>
        <v/>
      </c>
      <c r="AA66" s="98" t="str">
        <f>IF(W66="","","Fdiluição")</f>
        <v/>
      </c>
      <c r="AB66" s="100"/>
      <c r="AC66" s="151"/>
      <c r="AD66" s="101"/>
      <c r="AE66" s="149"/>
      <c r="AF66" s="93"/>
      <c r="AG66" s="145"/>
      <c r="AH66" s="93"/>
      <c r="AI66" s="145"/>
      <c r="AJ66" s="93"/>
      <c r="AK66" s="145"/>
      <c r="AL66" s="93"/>
      <c r="AM66" s="150"/>
      <c r="AN66" s="93"/>
      <c r="AO66" s="150"/>
      <c r="AP66" s="98"/>
      <c r="AQ66" s="98"/>
      <c r="AR66" s="98"/>
      <c r="AS66" s="98"/>
      <c r="AT66" s="98"/>
    </row>
    <row r="67" spans="1:46" ht="15.75" x14ac:dyDescent="0.3">
      <c r="A67" s="130" t="s">
        <v>57</v>
      </c>
      <c r="B67" s="111">
        <f>IF(AND('Entrada das massas'!C47&lt;=$B$20,'Entrada das massas'!C47&gt;$B$19),'Entrada das massas'!C47-((($C$20-$C$19)*($B$20-'Entrada das massas'!C47)+($B$19*$C$20)-($B$20*$C$20))/($B$19-$B$20)),IF(AND('Entrada das massas'!C47&lt;=$B$19,'Entrada das massas'!C47&gt;$B$18),'Entrada das massas'!C47-((($C$19-$C$18)*($B$19-'Entrada das massas'!C47)+($B$18*$C$19)-($B$19*$C$19))/($B$18-$B$19)),IF(AND('Entrada das massas'!C47&lt;=$B$18,'Entrada das massas'!C47&gt;$B$17),'Entrada das massas'!C47-((($C$18-$C$17)*($B$18-'Entrada das massas'!C47)+($B$17*$C$18)-($B$18*$C$18))/($B$17-$B$18)),IF(AND('Entrada das massas'!C47&lt;=$B$17,'Entrada das massas'!C47&gt;$B$16),'Entrada das massas'!C47-((($C$17-$C$16)*($B$17-'Entrada das massas'!C47)+($B$16*$C$17)-($B$17*$C$17))/($B$16-$B$17)),IF(AND('Entrada das massas'!C47&lt;=$B$16,'Entrada das massas'!C47&gt;$B$15),'Entrada das massas'!C47-((($C$16-$C$15)*($B$16-'Entrada das massas'!C47)+($B$15*$C$16)-($B$16*$C$16))/($B$15-$B$16)),IF(AND('Entrada das massas'!C47&lt;=$B$15,'Entrada das massas'!C47&gt;$B$14),'Entrada das massas'!C47-((($C$15-$C$14)*($B$15-'Entrada das massas'!C47)+($B$14*$C$15)-($B$15*$C$15))/($B$14-$B$15)),IF(AND('Entrada das massas'!C47&lt;=$B$14,'Entrada das massas'!C47&gt;$B$13),'Entrada das massas'!C47-((($C$14-$C$13)*($B$14-'Entrada das massas'!C47)+($B$13*$C$14)-($B$14*$C$14))/($B$13-$B$14)),IF(AND('Entrada das massas'!C47&lt;=$B$13,'Entrada das massas'!C47&gt;$B$12),'Entrada das massas'!C47-((($C$13-$C$12)*($B$13-'Entrada das massas'!C47)+($B$12*$C$13)-($B$13*$C$13))/($B$12-$B$13)),IF(AND('Entrada das massas'!C47&lt;=$B$12,'Entrada das massas'!C47&gt;$B$11),'Entrada das massas'!C47-((($C$12-$C$11)*($B$12-'Entrada das massas'!C47)+($B$11*$C$12)-($B$12*$C$12))/($B$11-$B$12)), IF(AND('Entrada das massas'!C47&lt;=$B$11,'Entrada das massas'!C47&gt;$B$10),'Entrada das massas'!C47-((($C$11-$C$10)*($B$11-'Entrada das massas'!C47)+($B$10*$C$11)-($B$11*$C$11))/($B$10-$B$11)),IF(AND('Entrada das massas'!C47&lt;=$B$10,'Entrada das massas'!C47&gt;$B$9),'Entrada das massas'!C47-((($C$10-$C$9)*($B$10-'Entrada das massas'!C47)+($B$9*$C$10)-($B$10*$C$10))/($B$9-$B$10)),IF(AND('Entrada das massas'!C47&lt;=$B$9,'Entrada das massas'!C47&gt;$B$8),'Entrada das massas'!C47-((($C$9-$C$8)*($B$9-'Entrada das massas'!C47)+($B$8*$C$9)-($B$9*$C$9))/($B$8-$B$9)),IF(AND('Entrada das massas'!C47&lt;=$B$8,'Entrada das massas'!C47&gt;$B$7),'Entrada das massas'!C47-((($C$8-$C$7)*($B$8-'Entrada das massas'!C47)+($B$7*$C$8)-($B$8*$C$8))/($B$7-$B$8)),IF(AND('Entrada das massas'!C47&lt;=$B$7,'Entrada das massas'!C47&gt;$B$6),'Entrada das massas'!C47-((($C$7-$C$6)*($B$7-'Entrada das massas'!C47)+($B$6*$C$7)-($B$7*$C$7))/($B$6-$B$7)),IF(AND('Entrada das massas'!C47&lt;=$B$6,'Entrada das massas'!C47&gt;$B$5),'Entrada das massas'!C47-((($C$6-$C$5)*($B$6-'Entrada das massas'!C47)+($B$5*$C$6)-($B$6*$C$6))/($B$5-$B$6)),IF('Entrada das massas'!C47&lt;=$B$5,'Entrada das massas'!C47-$C$5))))))))))))))))</f>
        <v>14.6298607403</v>
      </c>
      <c r="C67" s="112">
        <f>(IF(AND(B67&lt;=$B$20,B67&gt;$B$19),$D$19+($B$19-B67)/($B$19-$B$20)*($D$20-$D$19),IF(AND(B67&lt;=$B$19,B67&gt;$B$18),$D$18+($B$18-B67)/($B$18-$B$19)*($D$19-$D$18),IF(AND(B67&lt;=$B$18,B67&gt;$B$17),$D$17+($B$17-B67)/($B$17-$B$18)*($D$18-$D$17),IF(AND(B67&lt;=$B$17,B67&gt;$B$16),$D$16+($B$16-B67)/($B$16-$B$17)*($D$17-$D$16),IF(AND(B67&lt;=$B$16,B67&gt;$B$15),$D$15+($B$15-B67)/($B$15-$B$16)*($D$16-$D$15),IF(AND(B67&lt;=$B$15,B67&gt;$B$14),$D$14+($B$14-B67)/($B$14-$B$15)*($D$15-$D$14),IF(AND(B67&lt;=$B$14,B67&gt;$B$13),$D$13+($B$13-B67)/($B$13-$B$14)*($D$14-$D$13),IF(AND(B67&lt;=$B$13,B67&gt;$B$12),$D$12+($B$12-B67)/($B$12-$B$13)*($D$13-$D$12),IF(AND(B67&lt;=$B$12,B67&gt;$B$11),$D$11+($B$11-B67)/($B$11-$B$12)*($D$12-$D$11),IF(AND(B67&lt;=$B$11,B67&gt;$B$10),$D$10+($B$10-B67)/($B$10-$B$11)*($D$11-$D$10),IF(AND(B67&lt;=$B$10,B67&gt;$B$9),$D$9+($B$9-B67)/($B$9-$B$10)*($D$10-$D$9),IF(AND(B67&lt;=$B$9,B67&gt;$B$8),$D$8+($B$8-B67)/($B$8-$B$9)*($D$9-$D$8),IF(AND(B67&lt;=$B$8,B67&gt;$B$7),$D$7+($B$7-B67)/($B$7-$B$8)*($D$8-$D$7),IF(AND(B67&lt;=$B$7,B67&gt;$B$6),$D$6+($B$6-B67)/($B$6-$B$7)*($D$7-$D$6),IF(B67&lt;=$B$6,$D$6))))))))))))))))</f>
        <v>1.0000000000000001E-5</v>
      </c>
      <c r="D67" s="156"/>
      <c r="E67" s="147"/>
      <c r="F67" s="132" t="s">
        <v>70</v>
      </c>
      <c r="H67" s="115" t="str">
        <f>IF(I66="","","Frasco")</f>
        <v/>
      </c>
      <c r="I67" s="116" t="str">
        <f>IF('Entrada das massas'!I47="","",IF(AND('Entrada das massas'!I47&lt;=$B$20,'Entrada das massas'!I47&gt;$B$19),'Entrada das massas'!I47-((($C$20-$C$19)*($B$20-'Entrada das massas'!I47)+($B$19*$C$20)-($B$20*$C$20))/($B$19-$B$20)),IF(AND('Entrada das massas'!I47&lt;=$B$19,'Entrada das massas'!I47&gt;$B$18),'Entrada das massas'!I47-((($C$19-$C$18)*($B$19-'Entrada das massas'!I47)+($B$18*$C$19)-($B$19*$C$19))/($B$18-$B$19)),IF(AND('Entrada das massas'!I47&lt;=$B$18,'Entrada das massas'!I47&gt;$B$17),'Entrada das massas'!I47-((($C$18-$C$17)*($B$18-'Entrada das massas'!I47)+($B$17*$C$18)-($B$18*$C$18))/($B$17-$B$18)),IF(AND('Entrada das massas'!I47&lt;=$B$17,'Entrada das massas'!I47&gt;$B$16),'Entrada das massas'!I47-((($C$17-$C$16)*($B$17-'Entrada das massas'!I47)+($B$16*$C$17)-($B$17*$C$17))/($B$16-$B$17)),IF(AND('Entrada das massas'!I47&lt;=$B$16,'Entrada das massas'!I47&gt;$B$15),'Entrada das massas'!I47-((($C$16-$C$15)*($B$16-'Entrada das massas'!I47)+($B$15*$C$16)-($B$16*$C$16))/($B$15-$B$16)),IF(AND('Entrada das massas'!I47&lt;=$B$15,'Entrada das massas'!I47&gt;$B$14),'Entrada das massas'!I47-((($C$15-$C$14)*($B$15-'Entrada das massas'!I47)+($B$14*$C$15)-($B$15*$C$15))/($B$14-$B$15)),IF(AND('Entrada das massas'!I47&lt;=$B$14,'Entrada das massas'!I47&gt;$B$13),'Entrada das massas'!I47-((($C$14-$C$13)*($B$14-'Entrada das massas'!I47)+($B$13*$C$14)-($B$14*$C$14))/($B$13-$B$14)),IF(AND('Entrada das massas'!I47&lt;=$B$13,'Entrada das massas'!I47&gt;$B$12),'Entrada das massas'!I47-((($C$13-$C$12)*($B$13-'Entrada das massas'!I47)+($B$12*$C$13)-($B$13*$C$13))/($B$12-$B$13)),IF(AND('Entrada das massas'!I47&lt;=$B$12,'Entrada das massas'!I47&gt;$B$11),'Entrada das massas'!I47-((($C$12-$C$11)*($B$12-'Entrada das massas'!I47)+($B$11*$C$12)-($B$12*$C$12))/($B$11-$B$12)),IF(AND('Entrada das massas'!I47&lt;=$B$11,'Entrada das massas'!I47&gt;$B$10),'Entrada das massas'!I47-((($C$11-$C$10)*($B$11-'Entrada das massas'!I47)+($B$10*$C$11)-($B$11*$C$11))/($B$10-$B$11)),IF(AND('Entrada das massas'!I47&lt;=$B$10,'Entrada das massas'!I47&gt;$B$9),'Entrada das massas'!I47-((($C$10-$C$9)*($B$10-'Entrada das massas'!I47)+($B$9*$C$10)-($B$10*$C$10))/($B$9-$B$10)),IF(AND('Entrada das massas'!I47&lt;=$B$9,'Entrada das massas'!I47&gt;$B$8),'Entrada das massas'!I47-((($C$9-$C$8)*($B$9-'Entrada das massas'!I47)+($B$8*$C$9)-($B$9*$C$9))/($B$8-$B$9)),IF(AND('Entrada das massas'!I47&lt;=$B$8,'Entrada das massas'!I47&gt;$B$7),'Entrada das massas'!I47-((($C$8-$C$7)*($B$8-'Entrada das massas'!I47)+($B$7*$C$8)-($B$8*$C$8))/($B$7-$B$8)),IF(AND('Entrada das massas'!I47&lt;=$B$7,'Entrada das massas'!I47&gt;$B$6),'Entrada das massas'!I47-((($C$7-$C$6)*($B$7-'Entrada das massas'!I47)+($B$6*$C$7)-($B$7*$C$7))/($B$6-$B$7)),IF(AND('Entrada das massas'!I47&lt;=$B$6,'Entrada das massas'!I47&gt;$B$5),'Entrada das massas'!I47-((($C$6-$C$5)*($B$6-'Entrada das massas'!I47)+($B$5*$C$6)-($B$6*$C$6))/($B$5-$B$6)),IF('Entrada das massas'!I47&lt;=$B$5,'Entrada das massas'!I47-$C$5)))))))))))))))))</f>
        <v/>
      </c>
      <c r="J67" s="117" t="str">
        <f>IF(I67="","",(IF(AND(I67&lt;=$B$20,I67&gt;$B$19),$D$19+($B$19-I67)/($B$19-$B$20)*($D$20-$D$19),IF(AND(I67&lt;=$B$19,I67&gt;$B$18),$D$18+($B$18-I67)/($B$18-$B$19)*($D$19-$D$18),IF(AND(I67&lt;=$B$18,I67&gt;$B$17),$D$17+($B$17-I67)/($B$17-$B$18)*($D$18-$D$17),IF(AND(I67&lt;=$B$17,I67&gt;$B$16),$D$16+($B$16-I67)/($B$16-$B$17)*($D$17-$D$16),IF(AND(I67&lt;=$B$16,I67&gt;$B$15),$D$15+($B$15-I67)/($B$15-$B$16)*($D$16-$D$15),IF(AND(I67&lt;=$B$15,I67&gt;$B$14),$D$14+($B$14-I67)/($B$14-$B$15)*($D$15-$D$14),IF(AND(I67&lt;=$B$14,I67&gt;$B$13),$D$13+($B$13-I67)/($B$13-$B$14)*($D$14-$D$13),IF(AND(I67&lt;=$B$13,I67&gt;$B$12),$D$12+($B$12-I67)/($B$12-$B$13)*($D$13-$D$12),IF(AND(I67&lt;=$B$12,I67&gt;$B$11),$D$11+($B$11-I67)/($B$11-$B$12)*($D$12-$D$11),IF(AND(I67&lt;=$B$11,I67&gt;$B$10),$D$10+($B$10-I67)/($B$10-$B$11)*($D$11-$D$10),IF(AND(I67&lt;=$B$10,I67&gt;$B$9),$D$9+($B$9-I67)/($B$9-$B$10)*($D$10-$D$9),IF(AND(I67&lt;=$B$9,I67&gt;$B$8),$D$8+($B$8-I67)/($B$8-$B$9)*($D$9-$D$8),IF(AND(I67&lt;=$B$8,I67&gt;$B$7),$D$7+($B$7-I67)/($B$7-$B$8)*($D$8-$D$7),IF(AND(I67&lt;=$B$7,I67&gt;$B$6),$D$6+($B$6-I67)/($B$6-$B$7)*($D$7-$D$6),IF(I67&lt;=$B$6,$D$6)))))))))))))))))</f>
        <v/>
      </c>
      <c r="K67" s="117"/>
      <c r="L67" s="117"/>
      <c r="M67" s="118" t="str">
        <f>IFERROR(K69/K68,"")</f>
        <v/>
      </c>
      <c r="N67" s="93"/>
      <c r="O67" s="115" t="str">
        <f>IF(P66="","","Frasco")</f>
        <v/>
      </c>
      <c r="P67" s="95" t="str">
        <f>IF('Entrada das massas'!N47="","",IF(AND('Entrada das massas'!N47&lt;=$B$20,'Entrada das massas'!N47&gt;$B$19),'Entrada das massas'!N47-((($C$20-$C$19)*($B$20-'Entrada das massas'!N47)+($B$19*$C$20)-($B$20*$C$20))/($B$19-$B$20)),IF(AND('Entrada das massas'!N47&lt;=$B$19,'Entrada das massas'!N47&gt;$B$18),'Entrada das massas'!N47-((($C$19-$C$18)*($B$19-'Entrada das massas'!N47)+($B$18*$C$19)-($B$19*$C$19))/($B$18-$B$19)),IF(AND('Entrada das massas'!N47&lt;=$B$18,'Entrada das massas'!N47&gt;$B$17),'Entrada das massas'!N47-((($C$18-$C$17)*($B$18-'Entrada das massas'!N47)+($B$17*$C$18)-($B$18*$C$18))/($B$17-$B$18)),IF(AND('Entrada das massas'!N47&lt;=$B$17,'Entrada das massas'!N47&gt;$B$16),'Entrada das massas'!N47-((($C$17-$C$16)*($B$17-'Entrada das massas'!N47)+($B$16*$C$17)-($B$17*$C$17))/($B$16-$B$17)),IF(AND('Entrada das massas'!N47&lt;=$B$16,'Entrada das massas'!N47&gt;$B$15),'Entrada das massas'!N47-((($C$16-$C$15)*($B$16-'Entrada das massas'!N47)+($B$15*$C$16)-($B$16*$C$16))/($B$15-$B$16)),IF(AND('Entrada das massas'!N47&lt;=$B$15,'Entrada das massas'!N47&gt;$B$14),'Entrada das massas'!N47-((($C$15-$C$14)*($B$15-'Entrada das massas'!N47)+($B$14*$C$15)-($B$15*$C$15))/($B$14-$B$15)),IF(AND('Entrada das massas'!N47&lt;=$B$14,'Entrada das massas'!N47&gt;$B$13),'Entrada das massas'!N47-((($C$14-$C$13)*($B$14-'Entrada das massas'!N47)+($B$13*$C$14)-($B$14*$C$14))/($B$13-$B$14)),IF(AND('Entrada das massas'!N47&lt;=$B$13,'Entrada das massas'!N47&gt;$B$12),'Entrada das massas'!N47-((($C$13-$C$12)*($B$13-'Entrada das massas'!N47)+($B$12*$C$13)-($B$13*$C$13))/($B$12-$B$13)),IF(AND('Entrada das massas'!N47&lt;=$B$12,'Entrada das massas'!N47&gt;$B$11),'Entrada das massas'!N47-((($C$12-$C$11)*($B$12-'Entrada das massas'!N47)+($B$11*$C$12)-($B$12*$C$12))/($B$11-$B$12)),IF(AND('Entrada das massas'!N47&lt;=$B$11,'Entrada das massas'!N47&gt;$B$10),'Entrada das massas'!N47-((($C$11-$C$10)*($B$11-'Entrada das massas'!N47)+($B$10*$C$11)-($B$11*$C$11))/($B$10-$B$11)),IF(AND('Entrada das massas'!N47&lt;=$B$10,'Entrada das massas'!N47&gt;$B$9),'Entrada das massas'!N47-((($C$10-$C$9)*($B$10-'Entrada das massas'!N47)+($B$9*$C$10)-($B$10*$C$10))/($B$9-$B$10)),IF(AND('Entrada das massas'!N47&lt;=$B$9,'Entrada das massas'!N47&gt;$B$8),'Entrada das massas'!N47-((($C$9-$C$8)*($B$9-'Entrada das massas'!N47)+($B$8*$C$9)-($B$9*$C$9))/($B$8-$B$9)),IF(AND('Entrada das massas'!N47&lt;=$B$8,'Entrada das massas'!N47&gt;$B$7),'Entrada das massas'!N47-((($C$8-$C$7)*($B$8-'Entrada das massas'!N47)+($B$7*$C$8)-($B$8*$C$8))/($B$7-$B$8)),IF(AND('Entrada das massas'!N47&lt;=$B$7,'Entrada das massas'!N47&gt;$B$6),'Entrada das massas'!N47-((($C$7-$C$6)*($B$7-'Entrada das massas'!N47)+($B$6*$C$7)-($B$7*$C$7))/($B$6-$B$7)),IF(AND('Entrada das massas'!N47&lt;=$B$6,'Entrada das massas'!N47&gt;$B$5),'Entrada das massas'!N47-((($C$6-$C$5)*($B$6-'Entrada das massas'!N47)+($B$5*$C$6)-($B$6*$C$6))/($B$5-$B$6)),IF('Entrada das massas'!N47&lt;=$B$5,'Entrada das massas'!N47-$C$5)))))))))))))))))</f>
        <v/>
      </c>
      <c r="Q67" s="117" t="str">
        <f>IF(P67="","",(IF(AND(P67&lt;=$B$20,P67&gt;$B$19),$D$19+($B$19-P67)/($B$19-$B$20)*($D$20-$D$19),IF(AND(P67&lt;=$B$19,P67&gt;$B$18),$D$18+($B$18-P67)/($B$18-$B$19)*($D$19-$D$18),IF(AND(P67&lt;=$B$18,P67&gt;$B$17),$D$17+($B$17-P67)/($B$17-$B$18)*($D$18-$D$17),IF(AND(P67&lt;=$B$17,P67&gt;$B$16),$D$16+($B$16-P67)/($B$16-$B$17)*($D$17-$D$16),IF(AND(P67&lt;=$B$16,P67&gt;$B$15),$D$15+($B$15-P67)/($B$15-$B$16)*($D$16-$D$15),IF(AND(P67&lt;=$B$15,P67&gt;$B$14),$D$14+($B$14-P67)/($B$14-$B$15)*($D$15-$D$14),IF(AND(P67&lt;=$B$14,P67&gt;$B$13),$D$13+($B$13-P67)/($B$13-$B$14)*($D$14-$D$13),IF(AND(P67&lt;=$B$13,P67&gt;$B$12),$D$12+($B$12-P67)/($B$12-$B$13)*($D$13-$D$12),IF(AND(P67&lt;=$B$12,P67&gt;$B$11),$D$11+($B$11-P67)/($B$11-$B$12)*($D$12-$D$11),IF(AND(P67&lt;=$B$11,P67&gt;$B$10),$D$10+($B$10-P67)/($B$10-$B$11)*($D$11-$D$10),IF(AND(P67&lt;=$B$10,P67&gt;$B$9),$D$9+($B$9-P67)/($B$9-$B$10)*($D$10-$D$9),IF(AND(P67&lt;=$B$9,P67&gt;$B$8),$D$8+($B$8-P67)/($B$8-$B$9)*($D$9-$D$8),IF(AND(P67&lt;=$B$8,P67&gt;$B$7),$D$7+($B$7-P67)/($B$7-$B$8)*($D$8-$D$7),IF(AND(P67&lt;=$B$7,P67&gt;$B$6),$D$6+($B$6-P67)/($B$6-$B$7)*($D$7-$D$6),IF(P67&lt;=$B$6,$D$6)))))))))))))))))</f>
        <v/>
      </c>
      <c r="R67" s="117"/>
      <c r="S67" s="117"/>
      <c r="T67" s="118" t="str">
        <f>IFERROR(R69/R68,"")</f>
        <v/>
      </c>
      <c r="U67" s="93"/>
      <c r="V67" s="115" t="str">
        <f>IF(W66="","","Frasco")</f>
        <v/>
      </c>
      <c r="W67" s="95" t="str">
        <f>IF('Entrada das massas'!S47="","",IF(AND('Entrada das massas'!S47&lt;=$B$20,'Entrada das massas'!S47&gt;$B$19),'Entrada das massas'!S47-((($C$20-$C$19)*($B$20-'Entrada das massas'!S47)+($B$19*$C$20)-($B$20*$C$20))/($B$19-$B$20)),IF(AND('Entrada das massas'!S47&lt;=$B$19,'Entrada das massas'!S47&gt;$B$18),'Entrada das massas'!S47-((($C$19-$C$18)*($B$19-'Entrada das massas'!S47)+($B$18*$C$19)-($B$19*$C$19))/($B$18-$B$19)),IF(AND('Entrada das massas'!S47&lt;=$B$18,'Entrada das massas'!S47&gt;$B$17),'Entrada das massas'!S47-((($C$18-$C$17)*($B$18-'Entrada das massas'!S47)+($B$17*$C$18)-($B$18*$C$18))/($B$17-$B$18)),IF(AND('Entrada das massas'!S47&lt;=$B$17,'Entrada das massas'!S47&gt;$B$16),'Entrada das massas'!S47-((($C$17-$C$16)*($B$17-'Entrada das massas'!S47)+($B$16*$C$17)-($B$17*$C$17))/($B$16-$B$17)),IF(AND('Entrada das massas'!S47&lt;=$B$16,'Entrada das massas'!S47&gt;$B$15),'Entrada das massas'!S47-((($C$16-$C$15)*($B$16-'Entrada das massas'!S47)+($B$15*$C$16)-($B$16*$C$16))/($B$15-$B$16)),IF(AND('Entrada das massas'!S47&lt;=$B$15,'Entrada das massas'!S47&gt;$B$14),'Entrada das massas'!S47-((($C$15-$C$14)*($B$15-'Entrada das massas'!S47)+($B$14*$C$15)-($B$15*$C$15))/($B$14-$B$15)),IF(AND('Entrada das massas'!S47&lt;=$B$14,'Entrada das massas'!S47&gt;$B$13),'Entrada das massas'!S47-((($C$14-$C$13)*($B$14-'Entrada das massas'!S47)+($B$13*$C$14)-($B$14*$C$14))/($B$13-$B$14)),IF(AND('Entrada das massas'!S47&lt;=$B$13,'Entrada das massas'!S47&gt;$B$12),'Entrada das massas'!S47-((($C$13-$C$12)*($B$13-'Entrada das massas'!S47)+($B$12*$C$13)-($B$13*$C$13))/($B$12-$B$13)),IF(AND('Entrada das massas'!S47&lt;=$B$12,'Entrada das massas'!S47&gt;$B$11),'Entrada das massas'!S47-((($C$12-$C$11)*($B$12-'Entrada das massas'!S47)+($B$11*$C$12)-($B$12*$C$12))/($B$11-$B$12)),IF(AND('Entrada das massas'!S47&lt;=$B$11,'Entrada das massas'!S47&gt;$B$10),'Entrada das massas'!S47-((($C$11-$C$10)*($B$11-'Entrada das massas'!S47)+($B$10*$C$11)-($B$11*$C$11))/($B$10-$B$11)),IF(AND('Entrada das massas'!S47&lt;=$B$10,'Entrada das massas'!S47&gt;$B$9),'Entrada das massas'!S47-((($C$10-$C$9)*($B$10-'Entrada das massas'!S47)+($B$9*$C$10)-($B$10*$C$10))/($B$9-$B$10)),IF(AND('Entrada das massas'!S47&lt;=$B$9,'Entrada das massas'!S47&gt;$B$8),'Entrada das massas'!S47-((($C$9-$C$8)*($B$9-'Entrada das massas'!S47)+($B$8*$C$9)-($B$9*$C$9))/($B$8-$B$9)),IF(AND('Entrada das massas'!S47&lt;=$B$8,'Entrada das massas'!S47&gt;$B$7),'Entrada das massas'!S47-((($C$8-$C$7)*($B$8-'Entrada das massas'!S47)+($B$7*$C$8)-($B$8*$C$8))/($B$7-$B$8)),IF(AND('Entrada das massas'!S47&lt;=$B$7,'Entrada das massas'!S47&gt;$B$6),'Entrada das massas'!S47-((($C$7-$C$6)*($B$7-'Entrada das massas'!S47)+($B$6*$C$7)-($B$7*$C$7))/($B$6-$B$7)),IF(AND('Entrada das massas'!S47&lt;=$B$6,'Entrada das massas'!S47&gt;$B$5),'Entrada das massas'!S47-((($C$6-$C$5)*($B$6-'Entrada das massas'!S47)+($B$5*$C$6)-($B$6*$C$6))/($B$5-$B$6)),IF('Entrada das massas'!S47&lt;=$B$5,'Entrada das massas'!S47-$C$5)))))))))))))))))</f>
        <v/>
      </c>
      <c r="X67" s="117" t="str">
        <f>IF(W67="","",(IF(AND(W67&lt;=$B$20,W67&gt;$B$19),$D$19+($B$19-W67)/($B$19-$B$20)*($D$20-$D$19),IF(AND(W67&lt;=$B$19,W67&gt;$B$18),$D$18+($B$18-W67)/($B$18-$B$19)*($D$19-$D$18),IF(AND(W67&lt;=$B$18,W67&gt;$B$17),$D$17+($B$17-W67)/($B$17-$B$18)*($D$18-$D$17),IF(AND(W67&lt;=$B$17,W67&gt;$B$16),$D$16+($B$16-W67)/($B$16-$B$17)*($D$17-$D$16),IF(AND(W67&lt;=$B$16,W67&gt;$B$15),$D$15+($B$15-W67)/($B$15-$B$16)*($D$16-$D$15),IF(AND(W67&lt;=$B$15,W67&gt;$B$14),$D$14+($B$14-W67)/($B$14-$B$15)*($D$15-$D$14),IF(AND(W67&lt;=$B$14,W67&gt;$B$13),$D$13+($B$13-W67)/($B$13-$B$14)*($D$14-$D$13),IF(AND(W67&lt;=$B$13,W67&gt;$B$12),$D$12+($B$12-W67)/($B$12-$B$13)*($D$13-$D$12),IF(AND(W67&lt;=$B$12,W67&gt;$B$11),$D$11+($B$11-W67)/($B$11-$B$12)*($D$12-$D$11),IF(AND(W67&lt;=$B$11,W67&gt;$B$10),$D$10+($B$10-W67)/($B$10-$B$11)*($D$11-$D$10),IF(AND(W67&lt;=$B$10,W67&gt;$B$9),$D$9+($B$9-W67)/($B$9-$B$10)*($D$10-$D$9),IF(AND(W67&lt;=$B$9,W67&gt;$B$8),$D$8+($B$8-W67)/($B$8-$B$9)*($D$9-$D$8),IF(AND(W67&lt;=$B$8,W67&gt;$B$7),$D$7+($B$7-W67)/($B$7-$B$8)*($D$8-$D$7),IF(AND(W67&lt;=$B$7,W67&gt;$B$6),$D$6+($B$6-W67)/($B$6-$B$7)*($D$7-$D$6),IF(W67&lt;=$B$6,$D$6)))))))))))))))))</f>
        <v/>
      </c>
      <c r="Y67" s="117"/>
      <c r="Z67" s="117"/>
      <c r="AA67" s="118" t="str">
        <f>IFERROR(Y69/Y68,"")</f>
        <v/>
      </c>
      <c r="AB67" s="100"/>
      <c r="AC67" s="151"/>
      <c r="AD67" s="101"/>
      <c r="AE67" s="149"/>
      <c r="AF67" s="93"/>
      <c r="AG67" s="145"/>
      <c r="AH67" s="93"/>
      <c r="AI67" s="145"/>
      <c r="AJ67" s="93"/>
      <c r="AK67" s="145"/>
      <c r="AL67" s="93"/>
      <c r="AM67" s="150"/>
      <c r="AN67" s="93"/>
      <c r="AO67" s="150"/>
      <c r="AP67" s="98"/>
      <c r="AQ67" s="98"/>
      <c r="AR67" s="98"/>
      <c r="AS67" s="98"/>
      <c r="AT67" s="98"/>
    </row>
    <row r="68" spans="1:46" x14ac:dyDescent="0.2">
      <c r="A68" s="110" t="s">
        <v>59</v>
      </c>
      <c r="B68" s="111">
        <f>IF(AND('Entrada das massas'!C48&lt;=$B$20,'Entrada das massas'!C48&gt;$B$19),'Entrada das massas'!C48-((($C$20-$C$19)*($B$20-'Entrada das massas'!C48)+($B$19*$C$20)-($B$20*$C$20))/($B$19-$B$20)),IF(AND('Entrada das massas'!C48&lt;=$B$19,'Entrada das massas'!C48&gt;$B$18),'Entrada das massas'!C48-((($C$19-$C$18)*($B$19-'Entrada das massas'!C48)+($B$18*$C$19)-($B$19*$C$19))/($B$18-$B$19)),IF(AND('Entrada das massas'!C48&lt;=$B$18,'Entrada das massas'!C48&gt;$B$17),'Entrada das massas'!C48-((($C$18-$C$17)*($B$18-'Entrada das massas'!C48)+($B$17*$C$18)-($B$18*$C$18))/($B$17-$B$18)),IF(AND('Entrada das massas'!C48&lt;=$B$17,'Entrada das massas'!C48&gt;$B$16),'Entrada das massas'!C48-((($C$17-$C$16)*($B$17-'Entrada das massas'!C48)+($B$16*$C$17)-($B$17*$C$17))/($B$16-$B$17)),IF(AND('Entrada das massas'!C48&lt;=$B$16,'Entrada das massas'!C48&gt;$B$15),'Entrada das massas'!C48-((($C$16-$C$15)*($B$16-'Entrada das massas'!C48)+($B$15*$C$16)-($B$16*$C$16))/($B$15-$B$16)),IF(AND('Entrada das massas'!C48&lt;=$B$15,'Entrada das massas'!C48&gt;$B$14),'Entrada das massas'!C48-((($C$15-$C$14)*($B$15-'Entrada das massas'!C48)+($B$14*$C$15)-($B$15*$C$15))/($B$14-$B$15)),IF(AND('Entrada das massas'!C48&lt;=$B$14,'Entrada das massas'!C48&gt;$B$13),'Entrada das massas'!C48-((($C$14-$C$13)*($B$14-'Entrada das massas'!C48)+($B$13*$C$14)-($B$14*$C$14))/($B$13-$B$14)),IF(AND('Entrada das massas'!C48&lt;=$B$13,'Entrada das massas'!C48&gt;$B$12),'Entrada das massas'!C48-((($C$13-$C$12)*($B$13-'Entrada das massas'!C48)+($B$12*$C$13)-($B$13*$C$13))/($B$12-$B$13)),IF(AND('Entrada das massas'!C48&lt;=$B$12,'Entrada das massas'!C48&gt;$B$11),'Entrada das massas'!C48-((($C$12-$C$11)*($B$12-'Entrada das massas'!C48)+($B$11*$C$12)-($B$12*$C$12))/($B$11-$B$12)), IF(AND('Entrada das massas'!C48&lt;=$B$11,'Entrada das massas'!C48&gt;$B$10),'Entrada das massas'!C48-((($C$11-$C$10)*($B$11-'Entrada das massas'!C48)+($B$10*$C$11)-($B$11*$C$11))/($B$10-$B$11)),IF(AND('Entrada das massas'!C48&lt;=$B$10,'Entrada das massas'!C48&gt;$B$9),'Entrada das massas'!C48-((($C$10-$C$9)*($B$10-'Entrada das massas'!C48)+($B$9*$C$10)-($B$10*$C$10))/($B$9-$B$10)),IF(AND('Entrada das massas'!C48&lt;=$B$9,'Entrada das massas'!C48&gt;$B$8),'Entrada das massas'!C48-((($C$9-$C$8)*($B$9-'Entrada das massas'!C48)+($B$8*$C$9)-($B$9*$C$9))/($B$8-$B$9)),IF(AND('Entrada das massas'!C48&lt;=$B$8,'Entrada das massas'!C48&gt;$B$7),'Entrada das massas'!C48-((($C$8-$C$7)*($B$8-'Entrada das massas'!C48)+($B$7*$C$8)-($B$8*$C$8))/($B$7-$B$8)),IF(AND('Entrada das massas'!C48&lt;=$B$7,'Entrada das massas'!C48&gt;$B$6),'Entrada das massas'!C48-((($C$7-$C$6)*($B$7-'Entrada das massas'!C48)+($B$6*$C$7)-($B$7*$C$7))/($B$6-$B$7)),IF(AND('Entrada das massas'!C48&lt;=$B$6,'Entrada das massas'!C48&gt;$B$5),'Entrada das massas'!C48-((($C$6-$C$5)*($B$6-'Entrada das massas'!C48)+($B$5*$C$6)-($B$6*$C$6))/($B$5-$B$6)),IF('Entrada das massas'!C48&lt;=$B$5,'Entrada das massas'!C48-$C$5))))))))))))))))</f>
        <v>16.4503570993</v>
      </c>
      <c r="C68" s="112">
        <f>(IF(AND(B68&lt;=$B$20,B68&gt;$B$19),$D$19+($B$19-B68)/($B$19-$B$20)*($D$20-$D$19),IF(AND(B68&lt;=$B$19,B68&gt;$B$18),$D$18+($B$18-B68)/($B$18-$B$19)*($D$19-$D$18),IF(AND(B68&lt;=$B$18,B68&gt;$B$17),$D$17+($B$17-B68)/($B$17-$B$18)*($D$18-$D$17),IF(AND(B68&lt;=$B$17,B68&gt;$B$16),$D$16+($B$16-B68)/($B$16-$B$17)*($D$17-$D$16),IF(AND(B68&lt;=$B$16,B68&gt;$B$15),$D$15+($B$15-B68)/($B$15-$B$16)*($D$16-$D$15),IF(AND(B68&lt;=$B$15,B68&gt;$B$14),$D$14+($B$14-B68)/($B$14-$B$15)*($D$15-$D$14),IF(AND(B68&lt;=$B$14,B68&gt;$B$13),$D$13+($B$13-B68)/($B$13-$B$14)*($D$14-$D$13),IF(AND(B68&lt;=$B$13,B68&gt;$B$12),$D$12+($B$12-B68)/($B$12-$B$13)*($D$13-$D$12),IF(AND(B68&lt;=$B$12,B68&gt;$B$11),$D$11+($B$11-B68)/($B$11-$B$12)*($D$12-$D$11),IF(AND(B68&lt;=$B$11,B68&gt;$B$10),$D$10+($B$10-B68)/($B$10-$B$11)*($D$11-$D$10),IF(AND(B68&lt;=$B$10,B68&gt;$B$9),$D$9+($B$9-B68)/($B$9-$B$10)*($D$10-$D$9),IF(AND(B68&lt;=$B$9,B68&gt;$B$8),$D$8+($B$8-B68)/($B$8-$B$9)*($D$9-$D$8),IF(AND(B68&lt;=$B$8,B68&gt;$B$7),$D$7+($B$7-B68)/($B$7-$B$8)*($D$8-$D$7),IF(AND(B68&lt;=$B$7,B68&gt;$B$6),$D$6+($B$6-B68)/($B$6-$B$7)*($D$7-$D$6),IF(B68&lt;=$B$6,$D$6))))))))))))))))</f>
        <v>1.0000000000000001E-5</v>
      </c>
      <c r="D68" s="110" t="s">
        <v>149</v>
      </c>
      <c r="E68" s="119">
        <f>B68-B67</f>
        <v>1.8204963589999998</v>
      </c>
      <c r="F68" s="112">
        <f>SQRT(SUMSQ(C67:C68))</f>
        <v>1.4142135623730951E-5</v>
      </c>
      <c r="H68" s="115" t="str">
        <f>IF(I66="","","Frasco + Amostra")</f>
        <v/>
      </c>
      <c r="I68" s="116" t="str">
        <f>IF('Entrada das massas'!I48="","",IF(AND('Entrada das massas'!I48&lt;=$B$20,'Entrada das massas'!I48&gt;$B$19),'Entrada das massas'!I48-((($C$20-$C$19)*($B$20-'Entrada das massas'!I48)+($B$19*$C$20)-($B$20*$C$20))/($B$19-$B$20)),IF(AND('Entrada das massas'!I48&lt;=$B$19,'Entrada das massas'!I48&gt;$B$18),'Entrada das massas'!I48-((($C$19-$C$18)*($B$19-'Entrada das massas'!I48)+($B$18*$C$19)-($B$19*$C$19))/($B$18-$B$19)),IF(AND('Entrada das massas'!I48&lt;=$B$18,'Entrada das massas'!I48&gt;$B$17),'Entrada das massas'!I48-((($C$18-$C$17)*($B$18-'Entrada das massas'!I48)+($B$17*$C$18)-($B$18*$C$18))/($B$17-$B$18)),IF(AND('Entrada das massas'!I48&lt;=$B$17,'Entrada das massas'!I48&gt;$B$16),'Entrada das massas'!I48-((($C$17-$C$16)*($B$17-'Entrada das massas'!I48)+($B$16*$C$17)-($B$17*$C$17))/($B$16-$B$17)),IF(AND('Entrada das massas'!I48&lt;=$B$16,'Entrada das massas'!I48&gt;$B$15),'Entrada das massas'!I48-((($C$16-$C$15)*($B$16-'Entrada das massas'!I48)+($B$15*$C$16)-($B$16*$C$16))/($B$15-$B$16)),IF(AND('Entrada das massas'!I48&lt;=$B$15,'Entrada das massas'!I48&gt;$B$14),'Entrada das massas'!I48-((($C$15-$C$14)*($B$15-'Entrada das massas'!I48)+($B$14*$C$15)-($B$15*$C$15))/($B$14-$B$15)),IF(AND('Entrada das massas'!I48&lt;=$B$14,'Entrada das massas'!I48&gt;$B$13),'Entrada das massas'!I48-((($C$14-$C$13)*($B$14-'Entrada das massas'!I48)+($B$13*$C$14)-($B$14*$C$14))/($B$13-$B$14)),IF(AND('Entrada das massas'!I48&lt;=$B$13,'Entrada das massas'!I48&gt;$B$12),'Entrada das massas'!I48-((($C$13-$C$12)*($B$13-'Entrada das massas'!I48)+($B$12*$C$13)-($B$13*$C$13))/($B$12-$B$13)),IF(AND('Entrada das massas'!I48&lt;=$B$12,'Entrada das massas'!I48&gt;$B$11),'Entrada das massas'!I48-((($C$12-$C$11)*($B$12-'Entrada das massas'!I48)+($B$11*$C$12)-($B$12*$C$12))/($B$11-$B$12)),IF(AND('Entrada das massas'!I48&lt;=$B$11,'Entrada das massas'!I48&gt;$B$10),'Entrada das massas'!I48-((($C$11-$C$10)*($B$11-'Entrada das massas'!I48)+($B$10*$C$11)-($B$11*$C$11))/($B$10-$B$11)),IF(AND('Entrada das massas'!I48&lt;=$B$10,'Entrada das massas'!I48&gt;$B$9),'Entrada das massas'!I48-((($C$10-$C$9)*($B$10-'Entrada das massas'!I48)+($B$9*$C$10)-($B$10*$C$10))/($B$9-$B$10)),IF(AND('Entrada das massas'!I48&lt;=$B$9,'Entrada das massas'!I48&gt;$B$8),'Entrada das massas'!I48-((($C$9-$C$8)*($B$9-'Entrada das massas'!I48)+($B$8*$C$9)-($B$9*$C$9))/($B$8-$B$9)),IF(AND('Entrada das massas'!I48&lt;=$B$8,'Entrada das massas'!I48&gt;$B$7),'Entrada das massas'!I48-((($C$8-$C$7)*($B$8-'Entrada das massas'!I48)+($B$7*$C$8)-($B$8*$C$8))/($B$7-$B$8)),IF(AND('Entrada das massas'!I48&lt;=$B$7,'Entrada das massas'!I48&gt;$B$6),'Entrada das massas'!I48-((($C$7-$C$6)*($B$7-'Entrada das massas'!I48)+($B$6*$C$7)-($B$7*$C$7))/($B$6-$B$7)),IF(AND('Entrada das massas'!I48&lt;=$B$6,'Entrada das massas'!I48&gt;$B$5),'Entrada das massas'!I48-((($C$6-$C$5)*($B$6-'Entrada das massas'!I48)+($B$5*$C$6)-($B$6*$C$6))/($B$5-$B$6)),IF('Entrada das massas'!I48&lt;=$B$5,'Entrada das massas'!I48-$C$5)))))))))))))))))</f>
        <v/>
      </c>
      <c r="J68" s="117" t="str">
        <f t="shared" ref="J68:J69" si="27">IF(I68="","",(IF(AND(I68&lt;=$B$20,I68&gt;$B$19),$D$19+($B$19-I68)/($B$19-$B$20)*($D$20-$D$19),IF(AND(I68&lt;=$B$19,I68&gt;$B$18),$D$18+($B$18-I68)/($B$18-$B$19)*($D$19-$D$18),IF(AND(I68&lt;=$B$18,I68&gt;$B$17),$D$17+($B$17-I68)/($B$17-$B$18)*($D$18-$D$17),IF(AND(I68&lt;=$B$17,I68&gt;$B$16),$D$16+($B$16-I68)/($B$16-$B$17)*($D$17-$D$16),IF(AND(I68&lt;=$B$16,I68&gt;$B$15),$D$15+($B$15-I68)/($B$15-$B$16)*($D$16-$D$15),IF(AND(I68&lt;=$B$15,I68&gt;$B$14),$D$14+($B$14-I68)/($B$14-$B$15)*($D$15-$D$14),IF(AND(I68&lt;=$B$14,I68&gt;$B$13),$D$13+($B$13-I68)/($B$13-$B$14)*($D$14-$D$13),IF(AND(I68&lt;=$B$13,I68&gt;$B$12),$D$12+($B$12-I68)/($B$12-$B$13)*($D$13-$D$12),IF(AND(I68&lt;=$B$12,I68&gt;$B$11),$D$11+($B$11-I68)/($B$11-$B$12)*($D$12-$D$11),IF(AND(I68&lt;=$B$11,I68&gt;$B$10),$D$10+($B$10-I68)/($B$10-$B$11)*($D$11-$D$10),IF(AND(I68&lt;=$B$10,I68&gt;$B$9),$D$9+($B$9-I68)/($B$9-$B$10)*($D$10-$D$9),IF(AND(I68&lt;=$B$9,I68&gt;$B$8),$D$8+($B$8-I68)/($B$8-$B$9)*($D$9-$D$8),IF(AND(I68&lt;=$B$8,I68&gt;$B$7),$D$7+($B$7-I68)/($B$7-$B$8)*($D$8-$D$7),IF(AND(I68&lt;=$B$7,I68&gt;$B$6),$D$6+($B$6-I68)/($B$6-$B$7)*($D$7-$D$6),IF(I68&lt;=$B$6,$D$6)))))))))))))))))</f>
        <v/>
      </c>
      <c r="K68" s="120" t="str">
        <f>IF(I67="","",I68-I67)</f>
        <v/>
      </c>
      <c r="L68" s="117" t="str">
        <f>IF(J67="","",SQRT(SUMSQ(J67:J68)))</f>
        <v/>
      </c>
      <c r="M68" s="93" t="str">
        <f>IF(I66="","","Amostra")</f>
        <v/>
      </c>
      <c r="N68" s="118"/>
      <c r="O68" s="115" t="str">
        <f>IF(P66="","","Frasco + Amostra")</f>
        <v/>
      </c>
      <c r="P68" s="95" t="str">
        <f>IF('Entrada das massas'!N48="","",IF(AND('Entrada das massas'!N48&lt;=$B$20,'Entrada das massas'!N48&gt;$B$19),'Entrada das massas'!N48-((($C$20-$C$19)*($B$20-'Entrada das massas'!N48)+($B$19*$C$20)-($B$20*$C$20))/($B$19-$B$20)),IF(AND('Entrada das massas'!N48&lt;=$B$19,'Entrada das massas'!N48&gt;$B$18),'Entrada das massas'!N48-((($C$19-$C$18)*($B$19-'Entrada das massas'!N48)+($B$18*$C$19)-($B$19*$C$19))/($B$18-$B$19)),IF(AND('Entrada das massas'!N48&lt;=$B$18,'Entrada das massas'!N48&gt;$B$17),'Entrada das massas'!N48-((($C$18-$C$17)*($B$18-'Entrada das massas'!N48)+($B$17*$C$18)-($B$18*$C$18))/($B$17-$B$18)),IF(AND('Entrada das massas'!N48&lt;=$B$17,'Entrada das massas'!N48&gt;$B$16),'Entrada das massas'!N48-((($C$17-$C$16)*($B$17-'Entrada das massas'!N48)+($B$16*$C$17)-($B$17*$C$17))/($B$16-$B$17)),IF(AND('Entrada das massas'!N48&lt;=$B$16,'Entrada das massas'!N48&gt;$B$15),'Entrada das massas'!N48-((($C$16-$C$15)*($B$16-'Entrada das massas'!N48)+($B$15*$C$16)-($B$16*$C$16))/($B$15-$B$16)),IF(AND('Entrada das massas'!N48&lt;=$B$15,'Entrada das massas'!N48&gt;$B$14),'Entrada das massas'!N48-((($C$15-$C$14)*($B$15-'Entrada das massas'!N48)+($B$14*$C$15)-($B$15*$C$15))/($B$14-$B$15)),IF(AND('Entrada das massas'!N48&lt;=$B$14,'Entrada das massas'!N48&gt;$B$13),'Entrada das massas'!N48-((($C$14-$C$13)*($B$14-'Entrada das massas'!N48)+($B$13*$C$14)-($B$14*$C$14))/($B$13-$B$14)),IF(AND('Entrada das massas'!N48&lt;=$B$13,'Entrada das massas'!N48&gt;$B$12),'Entrada das massas'!N48-((($C$13-$C$12)*($B$13-'Entrada das massas'!N48)+($B$12*$C$13)-($B$13*$C$13))/($B$12-$B$13)),IF(AND('Entrada das massas'!N48&lt;=$B$12,'Entrada das massas'!N48&gt;$B$11),'Entrada das massas'!N48-((($C$12-$C$11)*($B$12-'Entrada das massas'!N48)+($B$11*$C$12)-($B$12*$C$12))/($B$11-$B$12)),IF(AND('Entrada das massas'!N48&lt;=$B$11,'Entrada das massas'!N48&gt;$B$10),'Entrada das massas'!N48-((($C$11-$C$10)*($B$11-'Entrada das massas'!N48)+($B$10*$C$11)-($B$11*$C$11))/($B$10-$B$11)),IF(AND('Entrada das massas'!N48&lt;=$B$10,'Entrada das massas'!N48&gt;$B$9),'Entrada das massas'!N48-((($C$10-$C$9)*($B$10-'Entrada das massas'!N48)+($B$9*$C$10)-($B$10*$C$10))/($B$9-$B$10)),IF(AND('Entrada das massas'!N48&lt;=$B$9,'Entrada das massas'!N48&gt;$B$8),'Entrada das massas'!N48-((($C$9-$C$8)*($B$9-'Entrada das massas'!N48)+($B$8*$C$9)-($B$9*$C$9))/($B$8-$B$9)),IF(AND('Entrada das massas'!N48&lt;=$B$8,'Entrada das massas'!N48&gt;$B$7),'Entrada das massas'!N48-((($C$8-$C$7)*($B$8-'Entrada das massas'!N48)+($B$7*$C$8)-($B$8*$C$8))/($B$7-$B$8)),IF(AND('Entrada das massas'!N48&lt;=$B$7,'Entrada das massas'!N48&gt;$B$6),'Entrada das massas'!N48-((($C$7-$C$6)*($B$7-'Entrada das massas'!N48)+($B$6*$C$7)-($B$7*$C$7))/($B$6-$B$7)),IF(AND('Entrada das massas'!N48&lt;=$B$6,'Entrada das massas'!N48&gt;$B$5),'Entrada das massas'!N48-((($C$6-$C$5)*($B$6-'Entrada das massas'!N48)+($B$5*$C$6)-($B$6*$C$6))/($B$5-$B$6)),IF('Entrada das massas'!N48&lt;=$B$5,'Entrada das massas'!N48-$C$5)))))))))))))))))</f>
        <v/>
      </c>
      <c r="Q68" s="117" t="str">
        <f t="shared" ref="Q68:Q69" si="28">IF(P68="","",(IF(AND(P68&lt;=$B$20,P68&gt;$B$19),$D$19+($B$19-P68)/($B$19-$B$20)*($D$20-$D$19),IF(AND(P68&lt;=$B$19,P68&gt;$B$18),$D$18+($B$18-P68)/($B$18-$B$19)*($D$19-$D$18),IF(AND(P68&lt;=$B$18,P68&gt;$B$17),$D$17+($B$17-P68)/($B$17-$B$18)*($D$18-$D$17),IF(AND(P68&lt;=$B$17,P68&gt;$B$16),$D$16+($B$16-P68)/($B$16-$B$17)*($D$17-$D$16),IF(AND(P68&lt;=$B$16,P68&gt;$B$15),$D$15+($B$15-P68)/($B$15-$B$16)*($D$16-$D$15),IF(AND(P68&lt;=$B$15,P68&gt;$B$14),$D$14+($B$14-P68)/($B$14-$B$15)*($D$15-$D$14),IF(AND(P68&lt;=$B$14,P68&gt;$B$13),$D$13+($B$13-P68)/($B$13-$B$14)*($D$14-$D$13),IF(AND(P68&lt;=$B$13,P68&gt;$B$12),$D$12+($B$12-P68)/($B$12-$B$13)*($D$13-$D$12),IF(AND(P68&lt;=$B$12,P68&gt;$B$11),$D$11+($B$11-P68)/($B$11-$B$12)*($D$12-$D$11),IF(AND(P68&lt;=$B$11,P68&gt;$B$10),$D$10+($B$10-P68)/($B$10-$B$11)*($D$11-$D$10),IF(AND(P68&lt;=$B$10,P68&gt;$B$9),$D$9+($B$9-P68)/($B$9-$B$10)*($D$10-$D$9),IF(AND(P68&lt;=$B$9,P68&gt;$B$8),$D$8+($B$8-P68)/($B$8-$B$9)*($D$9-$D$8),IF(AND(P68&lt;=$B$8,P68&gt;$B$7),$D$7+($B$7-P68)/($B$7-$B$8)*($D$8-$D$7),IF(AND(P68&lt;=$B$7,P68&gt;$B$6),$D$6+($B$6-P68)/($B$6-$B$7)*($D$7-$D$6),IF(P68&lt;=$B$6,$D$6)))))))))))))))))</f>
        <v/>
      </c>
      <c r="R68" s="120" t="str">
        <f>IF(P67="","",P68-P67)</f>
        <v/>
      </c>
      <c r="S68" s="117" t="str">
        <f>IF(Q67="","",SQRT(SUMSQ(Q67:Q68)))</f>
        <v/>
      </c>
      <c r="T68" s="93" t="str">
        <f>IF(P66="","","Amostra")</f>
        <v/>
      </c>
      <c r="U68" s="118"/>
      <c r="V68" s="115" t="str">
        <f>IF(W66="","","Frasco + Amostra")</f>
        <v/>
      </c>
      <c r="W68" s="95" t="str">
        <f>IF('Entrada das massas'!S48="","",IF(AND('Entrada das massas'!S48&lt;=$B$20,'Entrada das massas'!S48&gt;$B$19),'Entrada das massas'!S48-((($C$20-$C$19)*($B$20-'Entrada das massas'!S48)+($B$19*$C$20)-($B$20*$C$20))/($B$19-$B$20)),IF(AND('Entrada das massas'!S48&lt;=$B$19,'Entrada das massas'!S48&gt;$B$18),'Entrada das massas'!S48-((($C$19-$C$18)*($B$19-'Entrada das massas'!S48)+($B$18*$C$19)-($B$19*$C$19))/($B$18-$B$19)),IF(AND('Entrada das massas'!S48&lt;=$B$18,'Entrada das massas'!S48&gt;$B$17),'Entrada das massas'!S48-((($C$18-$C$17)*($B$18-'Entrada das massas'!S48)+($B$17*$C$18)-($B$18*$C$18))/($B$17-$B$18)),IF(AND('Entrada das massas'!S48&lt;=$B$17,'Entrada das massas'!S48&gt;$B$16),'Entrada das massas'!S48-((($C$17-$C$16)*($B$17-'Entrada das massas'!S48)+($B$16*$C$17)-($B$17*$C$17))/($B$16-$B$17)),IF(AND('Entrada das massas'!S48&lt;=$B$16,'Entrada das massas'!S48&gt;$B$15),'Entrada das massas'!S48-((($C$16-$C$15)*($B$16-'Entrada das massas'!S48)+($B$15*$C$16)-($B$16*$C$16))/($B$15-$B$16)),IF(AND('Entrada das massas'!S48&lt;=$B$15,'Entrada das massas'!S48&gt;$B$14),'Entrada das massas'!S48-((($C$15-$C$14)*($B$15-'Entrada das massas'!S48)+($B$14*$C$15)-($B$15*$C$15))/($B$14-$B$15)),IF(AND('Entrada das massas'!S48&lt;=$B$14,'Entrada das massas'!S48&gt;$B$13),'Entrada das massas'!S48-((($C$14-$C$13)*($B$14-'Entrada das massas'!S48)+($B$13*$C$14)-($B$14*$C$14))/($B$13-$B$14)),IF(AND('Entrada das massas'!S48&lt;=$B$13,'Entrada das massas'!S48&gt;$B$12),'Entrada das massas'!S48-((($C$13-$C$12)*($B$13-'Entrada das massas'!S48)+($B$12*$C$13)-($B$13*$C$13))/($B$12-$B$13)),IF(AND('Entrada das massas'!S48&lt;=$B$12,'Entrada das massas'!S48&gt;$B$11),'Entrada das massas'!S48-((($C$12-$C$11)*($B$12-'Entrada das massas'!S48)+($B$11*$C$12)-($B$12*$C$12))/($B$11-$B$12)),IF(AND('Entrada das massas'!S48&lt;=$B$11,'Entrada das massas'!S48&gt;$B$10),'Entrada das massas'!S48-((($C$11-$C$10)*($B$11-'Entrada das massas'!S48)+($B$10*$C$11)-($B$11*$C$11))/($B$10-$B$11)),IF(AND('Entrada das massas'!S48&lt;=$B$10,'Entrada das massas'!S48&gt;$B$9),'Entrada das massas'!S48-((($C$10-$C$9)*($B$10-'Entrada das massas'!S48)+($B$9*$C$10)-($B$10*$C$10))/($B$9-$B$10)),IF(AND('Entrada das massas'!S48&lt;=$B$9,'Entrada das massas'!S48&gt;$B$8),'Entrada das massas'!S48-((($C$9-$C$8)*($B$9-'Entrada das massas'!S48)+($B$8*$C$9)-($B$9*$C$9))/($B$8-$B$9)),IF(AND('Entrada das massas'!S48&lt;=$B$8,'Entrada das massas'!S48&gt;$B$7),'Entrada das massas'!S48-((($C$8-$C$7)*($B$8-'Entrada das massas'!S48)+($B$7*$C$8)-($B$8*$C$8))/($B$7-$B$8)),IF(AND('Entrada das massas'!S48&lt;=$B$7,'Entrada das massas'!S48&gt;$B$6),'Entrada das massas'!S48-((($C$7-$C$6)*($B$7-'Entrada das massas'!S48)+($B$6*$C$7)-($B$7*$C$7))/($B$6-$B$7)),IF(AND('Entrada das massas'!S48&lt;=$B$6,'Entrada das massas'!S48&gt;$B$5),'Entrada das massas'!S48-((($C$6-$C$5)*($B$6-'Entrada das massas'!S48)+($B$5*$C$6)-($B$6*$C$6))/($B$5-$B$6)),IF('Entrada das massas'!S48&lt;=$B$5,'Entrada das massas'!S48-$C$5)))))))))))))))))</f>
        <v/>
      </c>
      <c r="X68" s="117" t="str">
        <f t="shared" ref="X68:X69" si="29">IF(W68="","",(IF(AND(W68&lt;=$B$20,W68&gt;$B$19),$D$19+($B$19-W68)/($B$19-$B$20)*($D$20-$D$19),IF(AND(W68&lt;=$B$19,W68&gt;$B$18),$D$18+($B$18-W68)/($B$18-$B$19)*($D$19-$D$18),IF(AND(W68&lt;=$B$18,W68&gt;$B$17),$D$17+($B$17-W68)/($B$17-$B$18)*($D$18-$D$17),IF(AND(W68&lt;=$B$17,W68&gt;$B$16),$D$16+($B$16-W68)/($B$16-$B$17)*($D$17-$D$16),IF(AND(W68&lt;=$B$16,W68&gt;$B$15),$D$15+($B$15-W68)/($B$15-$B$16)*($D$16-$D$15),IF(AND(W68&lt;=$B$15,W68&gt;$B$14),$D$14+($B$14-W68)/($B$14-$B$15)*($D$15-$D$14),IF(AND(W68&lt;=$B$14,W68&gt;$B$13),$D$13+($B$13-W68)/($B$13-$B$14)*($D$14-$D$13),IF(AND(W68&lt;=$B$13,W68&gt;$B$12),$D$12+($B$12-W68)/($B$12-$B$13)*($D$13-$D$12),IF(AND(W68&lt;=$B$12,W68&gt;$B$11),$D$11+($B$11-W68)/($B$11-$B$12)*($D$12-$D$11),IF(AND(W68&lt;=$B$11,W68&gt;$B$10),$D$10+($B$10-W68)/($B$10-$B$11)*($D$11-$D$10),IF(AND(W68&lt;=$B$10,W68&gt;$B$9),$D$9+($B$9-W68)/($B$9-$B$10)*($D$10-$D$9),IF(AND(W68&lt;=$B$9,W68&gt;$B$8),$D$8+($B$8-W68)/($B$8-$B$9)*($D$9-$D$8),IF(AND(W68&lt;=$B$8,W68&gt;$B$7),$D$7+($B$7-W68)/($B$7-$B$8)*($D$8-$D$7),IF(AND(W68&lt;=$B$7,W68&gt;$B$6),$D$6+($B$6-W68)/($B$6-$B$7)*($D$7-$D$6),IF(W68&lt;=$B$6,$D$6)))))))))))))))))</f>
        <v/>
      </c>
      <c r="Y68" s="120" t="str">
        <f>IF(W67="","",W68-W67)</f>
        <v/>
      </c>
      <c r="Z68" s="117" t="str">
        <f>IF(X67="","",SQRT(SUMSQ(X67:X68)))</f>
        <v/>
      </c>
      <c r="AA68" s="93" t="str">
        <f>IF(W66="","","Amostra")</f>
        <v/>
      </c>
      <c r="AB68" s="100"/>
      <c r="AC68" s="151"/>
      <c r="AD68" s="101"/>
      <c r="AE68" s="149"/>
      <c r="AF68" s="93"/>
      <c r="AG68" s="145"/>
      <c r="AH68" s="93"/>
      <c r="AI68" s="145"/>
      <c r="AJ68" s="93"/>
      <c r="AK68" s="145"/>
      <c r="AL68" s="93"/>
      <c r="AM68" s="150"/>
      <c r="AN68" s="93"/>
      <c r="AO68" s="150"/>
      <c r="AP68" s="98"/>
      <c r="AQ68" s="98"/>
      <c r="AR68" s="98"/>
      <c r="AS68" s="98"/>
      <c r="AT68" s="98"/>
    </row>
    <row r="69" spans="1:46" x14ac:dyDescent="0.2">
      <c r="A69" s="122" t="s">
        <v>58</v>
      </c>
      <c r="B69" s="111">
        <f>IF(AND('Entrada das massas'!C49&lt;=$B$20,'Entrada das massas'!C49&gt;$B$19),'Entrada das massas'!C49-((($C$20-$C$19)*($B$20-'Entrada das massas'!C49)+($B$19*$C$20)-($B$20*$C$20))/($B$19-$B$20)),IF(AND('Entrada das massas'!C49&lt;=$B$19,'Entrada das massas'!C49&gt;$B$18),'Entrada das massas'!C49-((($C$19-$C$18)*($B$19-'Entrada das massas'!C49)+($B$18*$C$19)-($B$19*$C$19))/($B$18-$B$19)),IF(AND('Entrada das massas'!C49&lt;=$B$18,'Entrada das massas'!C49&gt;$B$17),'Entrada das massas'!C49-((($C$18-$C$17)*($B$18-'Entrada das massas'!C49)+($B$17*$C$18)-($B$18*$C$18))/($B$17-$B$18)),IF(AND('Entrada das massas'!C49&lt;=$B$17,'Entrada das massas'!C49&gt;$B$16),'Entrada das massas'!C49-((($C$17-$C$16)*($B$17-'Entrada das massas'!C49)+($B$16*$C$17)-($B$17*$C$17))/($B$16-$B$17)),IF(AND('Entrada das massas'!C49&lt;=$B$16,'Entrada das massas'!C49&gt;$B$15),'Entrada das massas'!C49-((($C$16-$C$15)*($B$16-'Entrada das massas'!C49)+($B$15*$C$16)-($B$16*$C$16))/($B$15-$B$16)),IF(AND('Entrada das massas'!C49&lt;=$B$15,'Entrada das massas'!C49&gt;$B$14),'Entrada das massas'!C49-((($C$15-$C$14)*($B$15-'Entrada das massas'!C49)+($B$14*$C$15)-($B$15*$C$15))/($B$14-$B$15)),IF(AND('Entrada das massas'!C49&lt;=$B$14,'Entrada das massas'!C49&gt;$B$13),'Entrada das massas'!C49-((($C$14-$C$13)*($B$14-'Entrada das massas'!C49)+($B$13*$C$14)-($B$14*$C$14))/($B$13-$B$14)),IF(AND('Entrada das massas'!C49&lt;=$B$13,'Entrada das massas'!C49&gt;$B$12),'Entrada das massas'!C49-((($C$13-$C$12)*($B$13-'Entrada das massas'!C49)+($B$12*$C$13)-($B$13*$C$13))/($B$12-$B$13)),IF(AND('Entrada das massas'!C49&lt;=$B$12,'Entrada das massas'!C49&gt;$B$11),'Entrada das massas'!C49-((($C$12-$C$11)*($B$12-'Entrada das massas'!C49)+($B$11*$C$12)-($B$12*$C$12))/($B$11-$B$12)), IF(AND('Entrada das massas'!C49&lt;=$B$11,'Entrada das massas'!C49&gt;$B$10),'Entrada das massas'!C49-((($C$11-$C$10)*($B$11-'Entrada das massas'!C49)+($B$10*$C$11)-($B$11*$C$11))/($B$10-$B$11)),IF(AND('Entrada das massas'!C49&lt;=$B$10,'Entrada das massas'!C49&gt;$B$9),'Entrada das massas'!C49-((($C$10-$C$9)*($B$10-'Entrada das massas'!C49)+($B$9*$C$10)-($B$10*$C$10))/($B$9-$B$10)),IF(AND('Entrada das massas'!C49&lt;=$B$9,'Entrada das massas'!C49&gt;$B$8),'Entrada das massas'!C49-((($C$9-$C$8)*($B$9-'Entrada das massas'!C49)+($B$8*$C$9)-($B$9*$C$9))/($B$8-$B$9)),IF(AND('Entrada das massas'!C49&lt;=$B$8,'Entrada das massas'!C49&gt;$B$7),'Entrada das massas'!C49-((($C$8-$C$7)*($B$8-'Entrada das massas'!C49)+($B$7*$C$8)-($B$8*$C$8))/($B$7-$B$8)),IF(AND('Entrada das massas'!C49&lt;=$B$7,'Entrada das massas'!C49&gt;$B$6),'Entrada das massas'!C49-((($C$7-$C$6)*($B$7-'Entrada das massas'!C49)+($B$6*$C$7)-($B$7*$C$7))/($B$6-$B$7)),IF(AND('Entrada das massas'!C49&lt;=$B$6,'Entrada das massas'!C49&gt;$B$5),'Entrada das massas'!C49-((($C$6-$C$5)*($B$6-'Entrada das massas'!C49)+($B$5*$C$6)-($B$6*$C$6))/($B$5-$B$6)),IF('Entrada das massas'!C49&lt;=$B$5,'Entrada das massas'!C49-$C$5))))))))))))))))</f>
        <v>64.598344598309993</v>
      </c>
      <c r="C69" s="112">
        <f>(IF(AND(B69&lt;=$B$20,B69&gt;$B$19),$D$19+($B$19-B69)/($B$19-$B$20)*($D$20-$D$19),IF(AND(B69&lt;=$B$19,B69&gt;$B$18),$D$18+($B$18-B69)/($B$18-$B$19)*($D$19-$D$18),IF(AND(B69&lt;=$B$18,B69&gt;$B$17),$D$17+($B$17-B69)/($B$17-$B$18)*($D$18-$D$17),IF(AND(B69&lt;=$B$17,B69&gt;$B$16),$D$16+($B$16-B69)/($B$16-$B$17)*($D$17-$D$16),IF(AND(B69&lt;=$B$16,B69&gt;$B$15),$D$15+($B$15-B69)/($B$15-$B$16)*($D$16-$D$15),IF(AND(B69&lt;=$B$15,B69&gt;$B$14),$D$14+($B$14-B69)/($B$14-$B$15)*($D$15-$D$14),IF(AND(B69&lt;=$B$14,B69&gt;$B$13),$D$13+($B$13-B69)/($B$13-$B$14)*($D$14-$D$13),IF(AND(B69&lt;=$B$13,B69&gt;$B$12),$D$12+($B$12-B69)/($B$12-$B$13)*($D$13-$D$12),IF(AND(B69&lt;=$B$12,B69&gt;$B$11),$D$11+($B$11-B69)/($B$11-$B$12)*($D$12-$D$11),IF(AND(B69&lt;=$B$11,B69&gt;$B$10),$D$10+($B$10-B69)/($B$10-$B$11)*($D$11-$D$10),IF(AND(B69&lt;=$B$10,B69&gt;$B$9),$D$9+($B$9-B69)/($B$9-$B$10)*($D$10-$D$9),IF(AND(B69&lt;=$B$9,B69&gt;$B$8),$D$8+($B$8-B69)/($B$8-$B$9)*($D$9-$D$8),IF(AND(B69&lt;=$B$8,B69&gt;$B$7),$D$7+($B$7-B69)/($B$7-$B$8)*($D$8-$D$7),IF(AND(B69&lt;=$B$7,B69&gt;$B$6),$D$6+($B$6-B69)/($B$6-$B$7)*($D$7-$D$6),IF(B69&lt;=$B$6,$D$6))))))))))))))))</f>
        <v>2.5000000000000001E-5</v>
      </c>
      <c r="D69" s="113" t="s">
        <v>160</v>
      </c>
      <c r="E69" s="119">
        <f>B69-B67</f>
        <v>49.968483858009989</v>
      </c>
      <c r="F69" s="112">
        <f>SQRT(SUMSQ(C67,C69))</f>
        <v>2.6925824035672523E-5</v>
      </c>
      <c r="H69" s="123" t="str">
        <f>IF(I66="","","Massa final")</f>
        <v/>
      </c>
      <c r="I69" s="116" t="str">
        <f>IF('Entrada das massas'!I49="","",IF(AND('Entrada das massas'!I49&lt;=$B$20,'Entrada das massas'!I49&gt;$B$19),'Entrada das massas'!I49-((($C$20-$C$19)*($B$20-'Entrada das massas'!I49)+($B$19*$C$20)-($B$20*$C$20))/($B$19-$B$20)),IF(AND('Entrada das massas'!I49&lt;=$B$19,'Entrada das massas'!I49&gt;$B$18),'Entrada das massas'!I49-((($C$19-$C$18)*($B$19-'Entrada das massas'!I49)+($B$18*$C$19)-($B$19*$C$19))/($B$18-$B$19)),IF(AND('Entrada das massas'!I49&lt;=$B$18,'Entrada das massas'!I49&gt;$B$17),'Entrada das massas'!I49-((($C$18-$C$17)*($B$18-'Entrada das massas'!I49)+($B$17*$C$18)-($B$18*$C$18))/($B$17-$B$18)),IF(AND('Entrada das massas'!I49&lt;=$B$17,'Entrada das massas'!I49&gt;$B$16),'Entrada das massas'!I49-((($C$17-$C$16)*($B$17-'Entrada das massas'!I49)+($B$16*$C$17)-($B$17*$C$17))/($B$16-$B$17)),IF(AND('Entrada das massas'!I49&lt;=$B$16,'Entrada das massas'!I49&gt;$B$15),'Entrada das massas'!I49-((($C$16-$C$15)*($B$16-'Entrada das massas'!I49)+($B$15*$C$16)-($B$16*$C$16))/($B$15-$B$16)),IF(AND('Entrada das massas'!I49&lt;=$B$15,'Entrada das massas'!I49&gt;$B$14),'Entrada das massas'!I49-((($C$15-$C$14)*($B$15-'Entrada das massas'!I49)+($B$14*$C$15)-($B$15*$C$15))/($B$14-$B$15)),IF(AND('Entrada das massas'!I49&lt;=$B$14,'Entrada das massas'!I49&gt;$B$13),'Entrada das massas'!I49-((($C$14-$C$13)*($B$14-'Entrada das massas'!I49)+($B$13*$C$14)-($B$14*$C$14))/($B$13-$B$14)),IF(AND('Entrada das massas'!I49&lt;=$B$13,'Entrada das massas'!I49&gt;$B$12),'Entrada das massas'!I49-((($C$13-$C$12)*($B$13-'Entrada das massas'!I49)+($B$12*$C$13)-($B$13*$C$13))/($B$12-$B$13)),IF(AND('Entrada das massas'!I49&lt;=$B$12,'Entrada das massas'!I49&gt;$B$11),'Entrada das massas'!I49-((($C$12-$C$11)*($B$12-'Entrada das massas'!I49)+($B$11*$C$12)-($B$12*$C$12))/($B$11-$B$12)),IF(AND('Entrada das massas'!I49&lt;=$B$11,'Entrada das massas'!I49&gt;$B$10),'Entrada das massas'!I49-((($C$11-$C$10)*($B$11-'Entrada das massas'!I49)+($B$10*$C$11)-($B$11*$C$11))/($B$10-$B$11)),IF(AND('Entrada das massas'!I49&lt;=$B$10,'Entrada das massas'!I49&gt;$B$9),'Entrada das massas'!I49-((($C$10-$C$9)*($B$10-'Entrada das massas'!I49)+($B$9*$C$10)-($B$10*$C$10))/($B$9-$B$10)),IF(AND('Entrada das massas'!I49&lt;=$B$9,'Entrada das massas'!I49&gt;$B$8),'Entrada das massas'!I49-((($C$9-$C$8)*($B$9-'Entrada das massas'!I49)+($B$8*$C$9)-($B$9*$C$9))/($B$8-$B$9)),IF(AND('Entrada das massas'!I49&lt;=$B$8,'Entrada das massas'!I49&gt;$B$7),'Entrada das massas'!I49-((($C$8-$C$7)*($B$8-'Entrada das massas'!I49)+($B$7*$C$8)-($B$8*$C$8))/($B$7-$B$8)),IF(AND('Entrada das massas'!I49&lt;=$B$7,'Entrada das massas'!I49&gt;$B$6),'Entrada das massas'!I49-((($C$7-$C$6)*($B$7-'Entrada das massas'!I49)+($B$6*$C$7)-($B$7*$C$7))/($B$6-$B$7)),IF(AND('Entrada das massas'!I49&lt;=$B$6,'Entrada das massas'!I49&gt;$B$5),'Entrada das massas'!I49-((($C$6-$C$5)*($B$6-'Entrada das massas'!I49)+($B$5*$C$6)-($B$6*$C$6))/($B$5-$B$6)),IF('Entrada das massas'!I49&lt;=$B$5,'Entrada das massas'!I49-$C$5)))))))))))))))))</f>
        <v/>
      </c>
      <c r="J69" s="117" t="str">
        <f t="shared" si="27"/>
        <v/>
      </c>
      <c r="K69" s="120" t="str">
        <f>IF(I67="","",I69-I67)</f>
        <v/>
      </c>
      <c r="L69" s="117" t="str">
        <f>IF(J67="","",SQRT(SUMSQ(J67,J69)))</f>
        <v/>
      </c>
      <c r="M69" s="93" t="str">
        <f>IF(I66="","","Solução")</f>
        <v/>
      </c>
      <c r="N69" s="93"/>
      <c r="O69" s="123" t="str">
        <f>IF(P66="","","Massa final")</f>
        <v/>
      </c>
      <c r="P69" s="95" t="str">
        <f>IF('Entrada das massas'!N49="","",IF(AND('Entrada das massas'!N49&lt;=$B$20,'Entrada das massas'!N49&gt;$B$19),'Entrada das massas'!N49-((($C$20-$C$19)*($B$20-'Entrada das massas'!N49)+($B$19*$C$20)-($B$20*$C$20))/($B$19-$B$20)),IF(AND('Entrada das massas'!N49&lt;=$B$19,'Entrada das massas'!N49&gt;$B$18),'Entrada das massas'!N49-((($C$19-$C$18)*($B$19-'Entrada das massas'!N49)+($B$18*$C$19)-($B$19*$C$19))/($B$18-$B$19)),IF(AND('Entrada das massas'!N49&lt;=$B$18,'Entrada das massas'!N49&gt;$B$17),'Entrada das massas'!N49-((($C$18-$C$17)*($B$18-'Entrada das massas'!N49)+($B$17*$C$18)-($B$18*$C$18))/($B$17-$B$18)),IF(AND('Entrada das massas'!N49&lt;=$B$17,'Entrada das massas'!N49&gt;$B$16),'Entrada das massas'!N49-((($C$17-$C$16)*($B$17-'Entrada das massas'!N49)+($B$16*$C$17)-($B$17*$C$17))/($B$16-$B$17)),IF(AND('Entrada das massas'!N49&lt;=$B$16,'Entrada das massas'!N49&gt;$B$15),'Entrada das massas'!N49-((($C$16-$C$15)*($B$16-'Entrada das massas'!N49)+($B$15*$C$16)-($B$16*$C$16))/($B$15-$B$16)),IF(AND('Entrada das massas'!N49&lt;=$B$15,'Entrada das massas'!N49&gt;$B$14),'Entrada das massas'!N49-((($C$15-$C$14)*($B$15-'Entrada das massas'!N49)+($B$14*$C$15)-($B$15*$C$15))/($B$14-$B$15)),IF(AND('Entrada das massas'!N49&lt;=$B$14,'Entrada das massas'!N49&gt;$B$13),'Entrada das massas'!N49-((($C$14-$C$13)*($B$14-'Entrada das massas'!N49)+($B$13*$C$14)-($B$14*$C$14))/($B$13-$B$14)),IF(AND('Entrada das massas'!N49&lt;=$B$13,'Entrada das massas'!N49&gt;$B$12),'Entrada das massas'!N49-((($C$13-$C$12)*($B$13-'Entrada das massas'!N49)+($B$12*$C$13)-($B$13*$C$13))/($B$12-$B$13)),IF(AND('Entrada das massas'!N49&lt;=$B$12,'Entrada das massas'!N49&gt;$B$11),'Entrada das massas'!N49-((($C$12-$C$11)*($B$12-'Entrada das massas'!N49)+($B$11*$C$12)-($B$12*$C$12))/($B$11-$B$12)),IF(AND('Entrada das massas'!N49&lt;=$B$11,'Entrada das massas'!N49&gt;$B$10),'Entrada das massas'!N49-((($C$11-$C$10)*($B$11-'Entrada das massas'!N49)+($B$10*$C$11)-($B$11*$C$11))/($B$10-$B$11)),IF(AND('Entrada das massas'!N49&lt;=$B$10,'Entrada das massas'!N49&gt;$B$9),'Entrada das massas'!N49-((($C$10-$C$9)*($B$10-'Entrada das massas'!N49)+($B$9*$C$10)-($B$10*$C$10))/($B$9-$B$10)),IF(AND('Entrada das massas'!N49&lt;=$B$9,'Entrada das massas'!N49&gt;$B$8),'Entrada das massas'!N49-((($C$9-$C$8)*($B$9-'Entrada das massas'!N49)+($B$8*$C$9)-($B$9*$C$9))/($B$8-$B$9)),IF(AND('Entrada das massas'!N49&lt;=$B$8,'Entrada das massas'!N49&gt;$B$7),'Entrada das massas'!N49-((($C$8-$C$7)*($B$8-'Entrada das massas'!N49)+($B$7*$C$8)-($B$8*$C$8))/($B$7-$B$8)),IF(AND('Entrada das massas'!N49&lt;=$B$7,'Entrada das massas'!N49&gt;$B$6),'Entrada das massas'!N49-((($C$7-$C$6)*($B$7-'Entrada das massas'!N49)+($B$6*$C$7)-($B$7*$C$7))/($B$6-$B$7)),IF(AND('Entrada das massas'!N49&lt;=$B$6,'Entrada das massas'!N49&gt;$B$5),'Entrada das massas'!N49-((($C$6-$C$5)*($B$6-'Entrada das massas'!N49)+($B$5*$C$6)-($B$6*$C$6))/($B$5-$B$6)),IF('Entrada das massas'!N49&lt;=$B$5,'Entrada das massas'!N49-$C$5)))))))))))))))))</f>
        <v/>
      </c>
      <c r="Q69" s="117" t="str">
        <f t="shared" si="28"/>
        <v/>
      </c>
      <c r="R69" s="120" t="str">
        <f>IF(P67="","",P69-P67)</f>
        <v/>
      </c>
      <c r="S69" s="117" t="str">
        <f>IF(Q67="","",SQRT(SUMSQ(Q67,Q69)))</f>
        <v/>
      </c>
      <c r="T69" s="93" t="str">
        <f>IF(P66="","","Solução")</f>
        <v/>
      </c>
      <c r="U69" s="93"/>
      <c r="V69" s="123" t="str">
        <f>IF(W66="","","Massa final")</f>
        <v/>
      </c>
      <c r="W69" s="95" t="str">
        <f>IF('Entrada das massas'!S49="","",IF(AND('Entrada das massas'!S49&lt;=$B$20,'Entrada das massas'!S49&gt;$B$19),'Entrada das massas'!S49-((($C$20-$C$19)*($B$20-'Entrada das massas'!S49)+($B$19*$C$20)-($B$20*$C$20))/($B$19-$B$20)),IF(AND('Entrada das massas'!S49&lt;=$B$19,'Entrada das massas'!S49&gt;$B$18),'Entrada das massas'!S49-((($C$19-$C$18)*($B$19-'Entrada das massas'!S49)+($B$18*$C$19)-($B$19*$C$19))/($B$18-$B$19)),IF(AND('Entrada das massas'!S49&lt;=$B$18,'Entrada das massas'!S49&gt;$B$17),'Entrada das massas'!S49-((($C$18-$C$17)*($B$18-'Entrada das massas'!S49)+($B$17*$C$18)-($B$18*$C$18))/($B$17-$B$18)),IF(AND('Entrada das massas'!S49&lt;=$B$17,'Entrada das massas'!S49&gt;$B$16),'Entrada das massas'!S49-((($C$17-$C$16)*($B$17-'Entrada das massas'!S49)+($B$16*$C$17)-($B$17*$C$17))/($B$16-$B$17)),IF(AND('Entrada das massas'!S49&lt;=$B$16,'Entrada das massas'!S49&gt;$B$15),'Entrada das massas'!S49-((($C$16-$C$15)*($B$16-'Entrada das massas'!S49)+($B$15*$C$16)-($B$16*$C$16))/($B$15-$B$16)),IF(AND('Entrada das massas'!S49&lt;=$B$15,'Entrada das massas'!S49&gt;$B$14),'Entrada das massas'!S49-((($C$15-$C$14)*($B$15-'Entrada das massas'!S49)+($B$14*$C$15)-($B$15*$C$15))/($B$14-$B$15)),IF(AND('Entrada das massas'!S49&lt;=$B$14,'Entrada das massas'!S49&gt;$B$13),'Entrada das massas'!S49-((($C$14-$C$13)*($B$14-'Entrada das massas'!S49)+($B$13*$C$14)-($B$14*$C$14))/($B$13-$B$14)),IF(AND('Entrada das massas'!S49&lt;=$B$13,'Entrada das massas'!S49&gt;$B$12),'Entrada das massas'!S49-((($C$13-$C$12)*($B$13-'Entrada das massas'!S49)+($B$12*$C$13)-($B$13*$C$13))/($B$12-$B$13)),IF(AND('Entrada das massas'!S49&lt;=$B$12,'Entrada das massas'!S49&gt;$B$11),'Entrada das massas'!S49-((($C$12-$C$11)*($B$12-'Entrada das massas'!S49)+($B$11*$C$12)-($B$12*$C$12))/($B$11-$B$12)),IF(AND('Entrada das massas'!S49&lt;=$B$11,'Entrada das massas'!S49&gt;$B$10),'Entrada das massas'!S49-((($C$11-$C$10)*($B$11-'Entrada das massas'!S49)+($B$10*$C$11)-($B$11*$C$11))/($B$10-$B$11)),IF(AND('Entrada das massas'!S49&lt;=$B$10,'Entrada das massas'!S49&gt;$B$9),'Entrada das massas'!S49-((($C$10-$C$9)*($B$10-'Entrada das massas'!S49)+($B$9*$C$10)-($B$10*$C$10))/($B$9-$B$10)),IF(AND('Entrada das massas'!S49&lt;=$B$9,'Entrada das massas'!S49&gt;$B$8),'Entrada das massas'!S49-((($C$9-$C$8)*($B$9-'Entrada das massas'!S49)+($B$8*$C$9)-($B$9*$C$9))/($B$8-$B$9)),IF(AND('Entrada das massas'!S49&lt;=$B$8,'Entrada das massas'!S49&gt;$B$7),'Entrada das massas'!S49-((($C$8-$C$7)*($B$8-'Entrada das massas'!S49)+($B$7*$C$8)-($B$8*$C$8))/($B$7-$B$8)),IF(AND('Entrada das massas'!S49&lt;=$B$7,'Entrada das massas'!S49&gt;$B$6),'Entrada das massas'!S49-((($C$7-$C$6)*($B$7-'Entrada das massas'!S49)+($B$6*$C$7)-($B$7*$C$7))/($B$6-$B$7)),IF(AND('Entrada das massas'!S49&lt;=$B$6,'Entrada das massas'!S49&gt;$B$5),'Entrada das massas'!S49-((($C$6-$C$5)*($B$6-'Entrada das massas'!S49)+($B$5*$C$6)-($B$6*$C$6))/($B$5-$B$6)),IF('Entrada das massas'!S49&lt;=$B$5,'Entrada das massas'!S49-$C$5)))))))))))))))))</f>
        <v/>
      </c>
      <c r="X69" s="117" t="str">
        <f t="shared" si="29"/>
        <v/>
      </c>
      <c r="Y69" s="120" t="str">
        <f>IF(W67="","",W69-W67)</f>
        <v/>
      </c>
      <c r="Z69" s="117" t="str">
        <f>IF(X67="","",SQRT(SUMSQ(X67,X69)))</f>
        <v/>
      </c>
      <c r="AA69" s="93" t="str">
        <f>IF(W66="","","Solução")</f>
        <v/>
      </c>
      <c r="AB69" s="100"/>
      <c r="AC69" s="151"/>
      <c r="AD69" s="101"/>
      <c r="AE69" s="149"/>
      <c r="AF69" s="93"/>
      <c r="AG69" s="145"/>
      <c r="AH69" s="93"/>
      <c r="AI69" s="145"/>
      <c r="AJ69" s="93"/>
      <c r="AK69" s="145"/>
      <c r="AL69" s="93"/>
      <c r="AM69" s="157"/>
      <c r="AN69" s="93"/>
      <c r="AO69" s="150"/>
      <c r="AP69" s="98"/>
      <c r="AQ69" s="98"/>
      <c r="AR69" s="98"/>
      <c r="AS69" s="98"/>
      <c r="AT69" s="98"/>
    </row>
    <row r="70" spans="1:46" x14ac:dyDescent="0.2">
      <c r="H70" s="98"/>
      <c r="I70" s="93"/>
      <c r="J70" s="144"/>
      <c r="K70" s="139"/>
      <c r="L70" s="139"/>
      <c r="M70" s="98"/>
      <c r="N70" s="98"/>
      <c r="O70" s="98"/>
      <c r="P70" s="93"/>
      <c r="Q70" s="120"/>
      <c r="R70" s="120"/>
      <c r="S70" s="120"/>
      <c r="T70" s="98"/>
      <c r="U70" s="98"/>
      <c r="V70" s="98"/>
      <c r="W70" s="93"/>
      <c r="X70" s="120"/>
      <c r="Y70" s="120"/>
      <c r="Z70" s="120"/>
      <c r="AA70" s="98"/>
      <c r="AB70" s="100"/>
      <c r="AC70" s="151"/>
      <c r="AD70" s="101"/>
      <c r="AE70" s="145"/>
      <c r="AF70" s="93"/>
      <c r="AG70" s="145"/>
      <c r="AH70" s="93"/>
      <c r="AI70" s="145"/>
      <c r="AJ70" s="93"/>
      <c r="AK70" s="145"/>
      <c r="AL70" s="93"/>
      <c r="AM70" s="150"/>
      <c r="AN70" s="93"/>
      <c r="AO70" s="150"/>
      <c r="AP70" s="98"/>
      <c r="AQ70" s="98"/>
      <c r="AR70" s="98"/>
      <c r="AS70" s="98"/>
      <c r="AT70" s="98"/>
    </row>
    <row r="71" spans="1:46" x14ac:dyDescent="0.2">
      <c r="B71" s="158"/>
      <c r="H71" s="126" t="str">
        <f>IF(I66="","","Amostra")</f>
        <v/>
      </c>
      <c r="I71" s="127" t="str">
        <f>IF('Entrada das massas'!I51="","",'Entrada das massas'!I51)</f>
        <v/>
      </c>
      <c r="J71" s="120" t="str">
        <f>IF(I71="","","uc(g)")</f>
        <v/>
      </c>
      <c r="K71" s="120" t="str">
        <f>IF(J71="","","Massa (g)")</f>
        <v/>
      </c>
      <c r="L71" s="120" t="str">
        <f>IF(K71="","","ucomb (g)")</f>
        <v/>
      </c>
      <c r="M71" s="98" t="str">
        <f>IF(I71="","","Fdiluição")</f>
        <v/>
      </c>
      <c r="N71" s="98"/>
      <c r="O71" s="126" t="str">
        <f>IF(M72="","","Amostra")</f>
        <v/>
      </c>
      <c r="P71" s="127" t="str">
        <f>IF('Entrada das massas'!N51="","",'Entrada das massas'!N51)</f>
        <v/>
      </c>
      <c r="Q71" s="120" t="str">
        <f>IF(P71="","","uc(g)")</f>
        <v/>
      </c>
      <c r="R71" s="120" t="str">
        <f>IF(Q71="","","Massa (g)")</f>
        <v/>
      </c>
      <c r="S71" s="120" t="str">
        <f>IF(R71="","","ucomb (g)")</f>
        <v/>
      </c>
      <c r="T71" s="98" t="str">
        <f>IF(P71="","","Fdiluição")</f>
        <v/>
      </c>
      <c r="U71" s="98"/>
      <c r="V71" s="126" t="str">
        <f>IF(T72="","","Amostra")</f>
        <v/>
      </c>
      <c r="W71" s="127" t="str">
        <f>IF('Entrada das massas'!S51="","",'Entrada das massas'!S51)</f>
        <v/>
      </c>
      <c r="X71" s="120" t="str">
        <f>IF(W71="","","uc(g)")</f>
        <v/>
      </c>
      <c r="Y71" s="120" t="str">
        <f>IF(X71="","","Massa (g)")</f>
        <v/>
      </c>
      <c r="Z71" s="120" t="str">
        <f>IF(Y71="","","ucomb (g)")</f>
        <v/>
      </c>
      <c r="AA71" s="98" t="str">
        <f>IF(W71="","","Fdiluição")</f>
        <v/>
      </c>
      <c r="AF71" s="104"/>
    </row>
    <row r="72" spans="1:46" x14ac:dyDescent="0.2">
      <c r="A72" s="318"/>
      <c r="B72" s="121"/>
      <c r="C72" s="318"/>
      <c r="D72" s="318"/>
      <c r="E72" s="318"/>
      <c r="F72" s="318"/>
      <c r="H72" s="115" t="str">
        <f>IF(I71="","","Frasco")</f>
        <v/>
      </c>
      <c r="I72" s="116" t="str">
        <f>IF('Entrada das massas'!I52="","",IF(AND('Entrada das massas'!I52&lt;=$B$20,'Entrada das massas'!I52&gt;$B$19),'Entrada das massas'!I52-((($C$20-$C$19)*($B$20-'Entrada das massas'!I52)+($B$19*$C$20)-($B$20*$C$20))/($B$19-$B$20)),IF(AND('Entrada das massas'!I52&lt;=$B$19,'Entrada das massas'!I52&gt;$B$18),'Entrada das massas'!I52-((($C$19-$C$18)*($B$19-'Entrada das massas'!I52)+($B$18*$C$19)-($B$19*$C$19))/($B$18-$B$19)),IF(AND('Entrada das massas'!I52&lt;=$B$18,'Entrada das massas'!I52&gt;$B$17),'Entrada das massas'!I52-((($C$18-$C$17)*($B$18-'Entrada das massas'!I52)+($B$17*$C$18)-($B$18*$C$18))/($B$17-$B$18)),IF(AND('Entrada das massas'!I52&lt;=$B$17,'Entrada das massas'!I52&gt;$B$16),'Entrada das massas'!I52-((($C$17-$C$16)*($B$17-'Entrada das massas'!I52)+($B$16*$C$17)-($B$17*$C$17))/($B$16-$B$17)),IF(AND('Entrada das massas'!I52&lt;=$B$16,'Entrada das massas'!I52&gt;$B$15),'Entrada das massas'!I52-((($C$16-$C$15)*($B$16-'Entrada das massas'!I52)+($B$15*$C$16)-($B$16*$C$16))/($B$15-$B$16)),IF(AND('Entrada das massas'!I52&lt;=$B$15,'Entrada das massas'!I52&gt;$B$14),'Entrada das massas'!I52-((($C$15-$C$14)*($B$15-'Entrada das massas'!I52)+($B$14*$C$15)-($B$15*$C$15))/($B$14-$B$15)),IF(AND('Entrada das massas'!I52&lt;=$B$14,'Entrada das massas'!I52&gt;$B$13),'Entrada das massas'!I52-((($C$14-$C$13)*($B$14-'Entrada das massas'!I52)+($B$13*$C$14)-($B$14*$C$14))/($B$13-$B$14)),IF(AND('Entrada das massas'!I52&lt;=$B$13,'Entrada das massas'!I52&gt;$B$12),'Entrada das massas'!I52-((($C$13-$C$12)*($B$13-'Entrada das massas'!I52)+($B$12*$C$13)-($B$13*$C$13))/($B$12-$B$13)),IF(AND('Entrada das massas'!I52&lt;=$B$12,'Entrada das massas'!I52&gt;$B$11),'Entrada das massas'!I52-((($C$12-$C$11)*($B$12-'Entrada das massas'!I52)+($B$11*$C$12)-($B$12*$C$12))/($B$11-$B$12)),IF(AND('Entrada das massas'!I52&lt;=$B$11,'Entrada das massas'!I52&gt;$B$10),'Entrada das massas'!I52-((($C$11-$C$10)*($B$11-'Entrada das massas'!I52)+($B$10*$C$11)-($B$11*$C$11))/($B$10-$B$11)),IF(AND('Entrada das massas'!I52&lt;=$B$10,'Entrada das massas'!I52&gt;$B$9),'Entrada das massas'!I52-((($C$10-$C$9)*($B$10-'Entrada das massas'!I52)+($B$9*$C$10)-($B$10*$C$10))/($B$9-$B$10)),IF(AND('Entrada das massas'!I52&lt;=$B$9,'Entrada das massas'!I52&gt;$B$8),'Entrada das massas'!I52-((($C$9-$C$8)*($B$9-'Entrada das massas'!I52)+($B$8*$C$9)-($B$9*$C$9))/($B$8-$B$9)),IF(AND('Entrada das massas'!I52&lt;=$B$8,'Entrada das massas'!I52&gt;$B$7),'Entrada das massas'!I52-((($C$8-$C$7)*($B$8-'Entrada das massas'!I52)+($B$7*$C$8)-($B$8*$C$8))/($B$7-$B$8)),IF(AND('Entrada das massas'!I52&lt;=$B$7,'Entrada das massas'!I52&gt;$B$6),'Entrada das massas'!I52-((($C$7-$C$6)*($B$7-'Entrada das massas'!I52)+($B$6*$C$7)-($B$7*$C$7))/($B$6-$B$7)),IF(AND('Entrada das massas'!I52&lt;=$B$6,'Entrada das massas'!I52&gt;$B$5),'Entrada das massas'!I52-((($C$6-$C$5)*($B$6-'Entrada das massas'!I52)+($B$5*$C$6)-($B$6*$C$6))/($B$5-$B$6)),IF('Entrada das massas'!I52&lt;=$B$5,'Entrada das massas'!I52-$C$5)))))))))))))))))</f>
        <v/>
      </c>
      <c r="J72" s="117" t="str">
        <f>IF(I72="","",(IF(AND(I72&lt;=$B$20,I72&gt;$B$19),$D$19+($B$19-I72)/($B$19-$B$20)*($D$20-$D$19),IF(AND(I72&lt;=$B$19,I72&gt;$B$18),$D$18+($B$18-I72)/($B$18-$B$19)*($D$19-$D$18),IF(AND(I72&lt;=$B$18,I72&gt;$B$17),$D$17+($B$17-I72)/($B$17-$B$18)*($D$18-$D$17),IF(AND(I72&lt;=$B$17,I72&gt;$B$16),$D$16+($B$16-I72)/($B$16-$B$17)*($D$17-$D$16),IF(AND(I72&lt;=$B$16,I72&gt;$B$15),$D$15+($B$15-I72)/($B$15-$B$16)*($D$16-$D$15),IF(AND(I72&lt;=$B$15,I72&gt;$B$14),$D$14+($B$14-I72)/($B$14-$B$15)*($D$15-$D$14),IF(AND(I72&lt;=$B$14,I72&gt;$B$13),$D$13+($B$13-I72)/($B$13-$B$14)*($D$14-$D$13),IF(AND(I72&lt;=$B$13,I72&gt;$B$12),$D$12+($B$12-I72)/($B$12-$B$13)*($D$13-$D$12),IF(AND(I72&lt;=$B$12,I72&gt;$B$11),$D$11+($B$11-I72)/($B$11-$B$12)*($D$12-$D$11),IF(AND(I72&lt;=$B$11,I72&gt;$B$10),$D$10+($B$10-I72)/($B$10-$B$11)*($D$11-$D$10),IF(AND(I72&lt;=$B$10,I72&gt;$B$9),$D$9+($B$9-I72)/($B$9-$B$10)*($D$10-$D$9),IF(AND(I72&lt;=$B$9,I72&gt;$B$8),$D$8+($B$8-I72)/($B$8-$B$9)*($D$9-$D$8),IF(AND(I72&lt;=$B$8,I72&gt;$B$7),$D$7+($B$7-I72)/($B$7-$B$8)*($D$8-$D$7),IF(AND(I72&lt;=$B$7,I72&gt;$B$6),$D$6+($B$6-I72)/($B$6-$B$7)*($D$7-$D$6),IF(I72&lt;=$B$6,$D$6)))))))))))))))))</f>
        <v/>
      </c>
      <c r="K72" s="117"/>
      <c r="L72" s="117"/>
      <c r="M72" s="118" t="str">
        <f>IFERROR(K74/K73,"")</f>
        <v/>
      </c>
      <c r="N72" s="93"/>
      <c r="O72" s="115" t="str">
        <f>IF(P71="","","Frasco")</f>
        <v/>
      </c>
      <c r="P72" s="95" t="str">
        <f>IF('Entrada das massas'!N52="","",IF(AND('Entrada das massas'!N52&lt;=$B$20,'Entrada das massas'!N52&gt;$B$19),'Entrada das massas'!N52-((($C$20-$C$19)*($B$20-'Entrada das massas'!N52)+($B$19*$C$20)-($B$20*$C$20))/($B$19-$B$20)),IF(AND('Entrada das massas'!N52&lt;=$B$19,'Entrada das massas'!N52&gt;$B$18),'Entrada das massas'!N52-((($C$19-$C$18)*($B$19-'Entrada das massas'!N52)+($B$18*$C$19)-($B$19*$C$19))/($B$18-$B$19)),IF(AND('Entrada das massas'!N52&lt;=$B$18,'Entrada das massas'!N52&gt;$B$17),'Entrada das massas'!N52-((($C$18-$C$17)*($B$18-'Entrada das massas'!N52)+($B$17*$C$18)-($B$18*$C$18))/($B$17-$B$18)),IF(AND('Entrada das massas'!N52&lt;=$B$17,'Entrada das massas'!N52&gt;$B$16),'Entrada das massas'!N52-((($C$17-$C$16)*($B$17-'Entrada das massas'!N52)+($B$16*$C$17)-($B$17*$C$17))/($B$16-$B$17)),IF(AND('Entrada das massas'!N52&lt;=$B$16,'Entrada das massas'!N52&gt;$B$15),'Entrada das massas'!N52-((($C$16-$C$15)*($B$16-'Entrada das massas'!N52)+($B$15*$C$16)-($B$16*$C$16))/($B$15-$B$16)),IF(AND('Entrada das massas'!N52&lt;=$B$15,'Entrada das massas'!N52&gt;$B$14),'Entrada das massas'!N52-((($C$15-$C$14)*($B$15-'Entrada das massas'!N52)+($B$14*$C$15)-($B$15*$C$15))/($B$14-$B$15)),IF(AND('Entrada das massas'!N52&lt;=$B$14,'Entrada das massas'!N52&gt;$B$13),'Entrada das massas'!N52-((($C$14-$C$13)*($B$14-'Entrada das massas'!N52)+($B$13*$C$14)-($B$14*$C$14))/($B$13-$B$14)),IF(AND('Entrada das massas'!N52&lt;=$B$13,'Entrada das massas'!N52&gt;$B$12),'Entrada das massas'!N52-((($C$13-$C$12)*($B$13-'Entrada das massas'!N52)+($B$12*$C$13)-($B$13*$C$13))/($B$12-$B$13)),IF(AND('Entrada das massas'!N52&lt;=$B$12,'Entrada das massas'!N52&gt;$B$11),'Entrada das massas'!N52-((($C$12-$C$11)*($B$12-'Entrada das massas'!N52)+($B$11*$C$12)-($B$12*$C$12))/($B$11-$B$12)),IF(AND('Entrada das massas'!N52&lt;=$B$11,'Entrada das massas'!N52&gt;$B$10),'Entrada das massas'!N52-((($C$11-$C$10)*($B$11-'Entrada das massas'!N52)+($B$10*$C$11)-($B$11*$C$11))/($B$10-$B$11)),IF(AND('Entrada das massas'!N52&lt;=$B$10,'Entrada das massas'!N52&gt;$B$9),'Entrada das massas'!N52-((($C$10-$C$9)*($B$10-'Entrada das massas'!N52)+($B$9*$C$10)-($B$10*$C$10))/($B$9-$B$10)),IF(AND('Entrada das massas'!N52&lt;=$B$9,'Entrada das massas'!N52&gt;$B$8),'Entrada das massas'!N52-((($C$9-$C$8)*($B$9-'Entrada das massas'!N52)+($B$8*$C$9)-($B$9*$C$9))/($B$8-$B$9)),IF(AND('Entrada das massas'!N52&lt;=$B$8,'Entrada das massas'!N52&gt;$B$7),'Entrada das massas'!N52-((($C$8-$C$7)*($B$8-'Entrada das massas'!N52)+($B$7*$C$8)-($B$8*$C$8))/($B$7-$B$8)),IF(AND('Entrada das massas'!N52&lt;=$B$7,'Entrada das massas'!N52&gt;$B$6),'Entrada das massas'!N52-((($C$7-$C$6)*($B$7-'Entrada das massas'!N52)+($B$6*$C$7)-($B$7*$C$7))/($B$6-$B$7)),IF(AND('Entrada das massas'!N52&lt;=$B$6,'Entrada das massas'!N52&gt;$B$5),'Entrada das massas'!N52-((($C$6-$C$5)*($B$6-'Entrada das massas'!N52)+($B$5*$C$6)-($B$6*$C$6))/($B$5-$B$6)),IF('Entrada das massas'!N52&lt;=$B$5,'Entrada das massas'!N52-$C$5)))))))))))))))))</f>
        <v/>
      </c>
      <c r="Q72" s="117" t="str">
        <f>IF(P72="","",(IF(AND(P72&lt;=$B$20,P72&gt;$B$19),$D$19+($B$19-P72)/($B$19-$B$20)*($D$20-$D$19),IF(AND(P72&lt;=$B$19,P72&gt;$B$18),$D$18+($B$18-P72)/($B$18-$B$19)*($D$19-$D$18),IF(AND(P72&lt;=$B$18,P72&gt;$B$17),$D$17+($B$17-P72)/($B$17-$B$18)*($D$18-$D$17),IF(AND(P72&lt;=$B$17,P72&gt;$B$16),$D$16+($B$16-P72)/($B$16-$B$17)*($D$17-$D$16),IF(AND(P72&lt;=$B$16,P72&gt;$B$15),$D$15+($B$15-P72)/($B$15-$B$16)*($D$16-$D$15),IF(AND(P72&lt;=$B$15,P72&gt;$B$14),$D$14+($B$14-P72)/($B$14-$B$15)*($D$15-$D$14),IF(AND(P72&lt;=$B$14,P72&gt;$B$13),$D$13+($B$13-P72)/($B$13-$B$14)*($D$14-$D$13),IF(AND(P72&lt;=$B$13,P72&gt;$B$12),$D$12+($B$12-P72)/($B$12-$B$13)*($D$13-$D$12),IF(AND(P72&lt;=$B$12,P72&gt;$B$11),$D$11+($B$11-P72)/($B$11-$B$12)*($D$12-$D$11),IF(AND(P72&lt;=$B$11,P72&gt;$B$10),$D$10+($B$10-P72)/($B$10-$B$11)*($D$11-$D$10),IF(AND(P72&lt;=$B$10,P72&gt;$B$9),$D$9+($B$9-P72)/($B$9-$B$10)*($D$10-$D$9),IF(AND(P72&lt;=$B$9,P72&gt;$B$8),$D$8+($B$8-P72)/($B$8-$B$9)*($D$9-$D$8),IF(AND(P72&lt;=$B$8,P72&gt;$B$7),$D$7+($B$7-P72)/($B$7-$B$8)*($D$8-$D$7),IF(AND(P72&lt;=$B$7,P72&gt;$B$6),$D$6+($B$6-P72)/($B$6-$B$7)*($D$7-$D$6),IF(P72&lt;=$B$6,$D$6)))))))))))))))))</f>
        <v/>
      </c>
      <c r="R72" s="117"/>
      <c r="S72" s="117"/>
      <c r="T72" s="118" t="str">
        <f>IFERROR(R74/R73,"")</f>
        <v/>
      </c>
      <c r="U72" s="93"/>
      <c r="V72" s="115" t="str">
        <f>IF(W71="","","Frasco")</f>
        <v/>
      </c>
      <c r="W72" s="95" t="str">
        <f>IF('Entrada das massas'!S52="","",IF(AND('Entrada das massas'!S52&lt;=$B$20,'Entrada das massas'!S52&gt;$B$19),'Entrada das massas'!S52-((($C$20-$C$19)*($B$20-'Entrada das massas'!S52)+($B$19*$C$20)-($B$20*$C$20))/($B$19-$B$20)),IF(AND('Entrada das massas'!S52&lt;=$B$19,'Entrada das massas'!S52&gt;$B$18),'Entrada das massas'!S52-((($C$19-$C$18)*($B$19-'Entrada das massas'!S52)+($B$18*$C$19)-($B$19*$C$19))/($B$18-$B$19)),IF(AND('Entrada das massas'!S52&lt;=$B$18,'Entrada das massas'!S52&gt;$B$17),'Entrada das massas'!S52-((($C$18-$C$17)*($B$18-'Entrada das massas'!S52)+($B$17*$C$18)-($B$18*$C$18))/($B$17-$B$18)),IF(AND('Entrada das massas'!S52&lt;=$B$17,'Entrada das massas'!S52&gt;$B$16),'Entrada das massas'!S52-((($C$17-$C$16)*($B$17-'Entrada das massas'!S52)+($B$16*$C$17)-($B$17*$C$17))/($B$16-$B$17)),IF(AND('Entrada das massas'!S52&lt;=$B$16,'Entrada das massas'!S52&gt;$B$15),'Entrada das massas'!S52-((($C$16-$C$15)*($B$16-'Entrada das massas'!S52)+($B$15*$C$16)-($B$16*$C$16))/($B$15-$B$16)),IF(AND('Entrada das massas'!S52&lt;=$B$15,'Entrada das massas'!S52&gt;$B$14),'Entrada das massas'!S52-((($C$15-$C$14)*($B$15-'Entrada das massas'!S52)+($B$14*$C$15)-($B$15*$C$15))/($B$14-$B$15)),IF(AND('Entrada das massas'!S52&lt;=$B$14,'Entrada das massas'!S52&gt;$B$13),'Entrada das massas'!S52-((($C$14-$C$13)*($B$14-'Entrada das massas'!S52)+($B$13*$C$14)-($B$14*$C$14))/($B$13-$B$14)),IF(AND('Entrada das massas'!S52&lt;=$B$13,'Entrada das massas'!S52&gt;$B$12),'Entrada das massas'!S52-((($C$13-$C$12)*($B$13-'Entrada das massas'!S52)+($B$12*$C$13)-($B$13*$C$13))/($B$12-$B$13)),IF(AND('Entrada das massas'!S52&lt;=$B$12,'Entrada das massas'!S52&gt;$B$11),'Entrada das massas'!S52-((($C$12-$C$11)*($B$12-'Entrada das massas'!S52)+($B$11*$C$12)-($B$12*$C$12))/($B$11-$B$12)),IF(AND('Entrada das massas'!S52&lt;=$B$11,'Entrada das massas'!S52&gt;$B$10),'Entrada das massas'!S52-((($C$11-$C$10)*($B$11-'Entrada das massas'!S52)+($B$10*$C$11)-($B$11*$C$11))/($B$10-$B$11)),IF(AND('Entrada das massas'!S52&lt;=$B$10,'Entrada das massas'!S52&gt;$B$9),'Entrada das massas'!S52-((($C$10-$C$9)*($B$10-'Entrada das massas'!S52)+($B$9*$C$10)-($B$10*$C$10))/($B$9-$B$10)),IF(AND('Entrada das massas'!S52&lt;=$B$9,'Entrada das massas'!S52&gt;$B$8),'Entrada das massas'!S52-((($C$9-$C$8)*($B$9-'Entrada das massas'!S52)+($B$8*$C$9)-($B$9*$C$9))/($B$8-$B$9)),IF(AND('Entrada das massas'!S52&lt;=$B$8,'Entrada das massas'!S52&gt;$B$7),'Entrada das massas'!S52-((($C$8-$C$7)*($B$8-'Entrada das massas'!S52)+($B$7*$C$8)-($B$8*$C$8))/($B$7-$B$8)),IF(AND('Entrada das massas'!S52&lt;=$B$7,'Entrada das massas'!S52&gt;$B$6),'Entrada das massas'!S52-((($C$7-$C$6)*($B$7-'Entrada das massas'!S52)+($B$6*$C$7)-($B$7*$C$7))/($B$6-$B$7)),IF(AND('Entrada das massas'!S52&lt;=$B$6,'Entrada das massas'!S52&gt;$B$5),'Entrada das massas'!S52-((($C$6-$C$5)*($B$6-'Entrada das massas'!S52)+($B$5*$C$6)-($B$6*$C$6))/($B$5-$B$6)),IF('Entrada das massas'!S52&lt;=$B$5,'Entrada das massas'!S52-$C$5)))))))))))))))))</f>
        <v/>
      </c>
      <c r="X72" s="117" t="str">
        <f>IF(W72="","",(IF(AND(W72&lt;=$B$20,W72&gt;$B$19),$D$19+($B$19-W72)/($B$19-$B$20)*($D$20-$D$19),IF(AND(W72&lt;=$B$19,W72&gt;$B$18),$D$18+($B$18-W72)/($B$18-$B$19)*($D$19-$D$18),IF(AND(W72&lt;=$B$18,W72&gt;$B$17),$D$17+($B$17-W72)/($B$17-$B$18)*($D$18-$D$17),IF(AND(W72&lt;=$B$17,W72&gt;$B$16),$D$16+($B$16-W72)/($B$16-$B$17)*($D$17-$D$16),IF(AND(W72&lt;=$B$16,W72&gt;$B$15),$D$15+($B$15-W72)/($B$15-$B$16)*($D$16-$D$15),IF(AND(W72&lt;=$B$15,W72&gt;$B$14),$D$14+($B$14-W72)/($B$14-$B$15)*($D$15-$D$14),IF(AND(W72&lt;=$B$14,W72&gt;$B$13),$D$13+($B$13-W72)/($B$13-$B$14)*($D$14-$D$13),IF(AND(W72&lt;=$B$13,W72&gt;$B$12),$D$12+($B$12-W72)/($B$12-$B$13)*($D$13-$D$12),IF(AND(W72&lt;=$B$12,W72&gt;$B$11),$D$11+($B$11-W72)/($B$11-$B$12)*($D$12-$D$11),IF(AND(W72&lt;=$B$11,W72&gt;$B$10),$D$10+($B$10-W72)/($B$10-$B$11)*($D$11-$D$10),IF(AND(W72&lt;=$B$10,W72&gt;$B$9),$D$9+($B$9-W72)/($B$9-$B$10)*($D$10-$D$9),IF(AND(W72&lt;=$B$9,W72&gt;$B$8),$D$8+($B$8-W72)/($B$8-$B$9)*($D$9-$D$8),IF(AND(W72&lt;=$B$8,W72&gt;$B$7),$D$7+($B$7-W72)/($B$7-$B$8)*($D$8-$D$7),IF(AND(W72&lt;=$B$7,W72&gt;$B$6),$D$6+($B$6-W72)/($B$6-$B$7)*($D$7-$D$6),IF(W72&lt;=$B$6,$D$6)))))))))))))))))</f>
        <v/>
      </c>
      <c r="Y72" s="117"/>
      <c r="Z72" s="117"/>
      <c r="AA72" s="118" t="str">
        <f>IFERROR(Y74/Y73,"")</f>
        <v/>
      </c>
      <c r="AF72" s="104"/>
    </row>
    <row r="73" spans="1:46" x14ac:dyDescent="0.2">
      <c r="A73" s="101"/>
      <c r="B73" s="159"/>
      <c r="C73" s="101"/>
      <c r="D73" s="101"/>
      <c r="E73" s="101"/>
      <c r="F73" s="101"/>
      <c r="H73" s="115" t="str">
        <f>IF(I71="","","Frasco + Amostra")</f>
        <v/>
      </c>
      <c r="I73" s="116" t="str">
        <f>IF('Entrada das massas'!I53="","",IF(AND('Entrada das massas'!I53&lt;=$B$20,'Entrada das massas'!I53&gt;$B$19),'Entrada das massas'!I53-((($C$20-$C$19)*($B$20-'Entrada das massas'!I53)+($B$19*$C$20)-($B$20*$C$20))/($B$19-$B$20)),IF(AND('Entrada das massas'!I53&lt;=$B$19,'Entrada das massas'!I53&gt;$B$18),'Entrada das massas'!I53-((($C$19-$C$18)*($B$19-'Entrada das massas'!I53)+($B$18*$C$19)-($B$19*$C$19))/($B$18-$B$19)),IF(AND('Entrada das massas'!I53&lt;=$B$18,'Entrada das massas'!I53&gt;$B$17),'Entrada das massas'!I53-((($C$18-$C$17)*($B$18-'Entrada das massas'!I53)+($B$17*$C$18)-($B$18*$C$18))/($B$17-$B$18)),IF(AND('Entrada das massas'!I53&lt;=$B$17,'Entrada das massas'!I53&gt;$B$16),'Entrada das massas'!I53-((($C$17-$C$16)*($B$17-'Entrada das massas'!I53)+($B$16*$C$17)-($B$17*$C$17))/($B$16-$B$17)),IF(AND('Entrada das massas'!I53&lt;=$B$16,'Entrada das massas'!I53&gt;$B$15),'Entrada das massas'!I53-((($C$16-$C$15)*($B$16-'Entrada das massas'!I53)+($B$15*$C$16)-($B$16*$C$16))/($B$15-$B$16)),IF(AND('Entrada das massas'!I53&lt;=$B$15,'Entrada das massas'!I53&gt;$B$14),'Entrada das massas'!I53-((($C$15-$C$14)*($B$15-'Entrada das massas'!I53)+($B$14*$C$15)-($B$15*$C$15))/($B$14-$B$15)),IF(AND('Entrada das massas'!I53&lt;=$B$14,'Entrada das massas'!I53&gt;$B$13),'Entrada das massas'!I53-((($C$14-$C$13)*($B$14-'Entrada das massas'!I53)+($B$13*$C$14)-($B$14*$C$14))/($B$13-$B$14)),IF(AND('Entrada das massas'!I53&lt;=$B$13,'Entrada das massas'!I53&gt;$B$12),'Entrada das massas'!I53-((($C$13-$C$12)*($B$13-'Entrada das massas'!I53)+($B$12*$C$13)-($B$13*$C$13))/($B$12-$B$13)),IF(AND('Entrada das massas'!I53&lt;=$B$12,'Entrada das massas'!I53&gt;$B$11),'Entrada das massas'!I53-((($C$12-$C$11)*($B$12-'Entrada das massas'!I53)+($B$11*$C$12)-($B$12*$C$12))/($B$11-$B$12)),IF(AND('Entrada das massas'!I53&lt;=$B$11,'Entrada das massas'!I53&gt;$B$10),'Entrada das massas'!I53-((($C$11-$C$10)*($B$11-'Entrada das massas'!I53)+($B$10*$C$11)-($B$11*$C$11))/($B$10-$B$11)),IF(AND('Entrada das massas'!I53&lt;=$B$10,'Entrada das massas'!I53&gt;$B$9),'Entrada das massas'!I53-((($C$10-$C$9)*($B$10-'Entrada das massas'!I53)+($B$9*$C$10)-($B$10*$C$10))/($B$9-$B$10)),IF(AND('Entrada das massas'!I53&lt;=$B$9,'Entrada das massas'!I53&gt;$B$8),'Entrada das massas'!I53-((($C$9-$C$8)*($B$9-'Entrada das massas'!I53)+($B$8*$C$9)-($B$9*$C$9))/($B$8-$B$9)),IF(AND('Entrada das massas'!I53&lt;=$B$8,'Entrada das massas'!I53&gt;$B$7),'Entrada das massas'!I53-((($C$8-$C$7)*($B$8-'Entrada das massas'!I53)+($B$7*$C$8)-($B$8*$C$8))/($B$7-$B$8)),IF(AND('Entrada das massas'!I53&lt;=$B$7,'Entrada das massas'!I53&gt;$B$6),'Entrada das massas'!I53-((($C$7-$C$6)*($B$7-'Entrada das massas'!I53)+($B$6*$C$7)-($B$7*$C$7))/($B$6-$B$7)),IF(AND('Entrada das massas'!I53&lt;=$B$6,'Entrada das massas'!I53&gt;$B$5),'Entrada das massas'!I53-((($C$6-$C$5)*($B$6-'Entrada das massas'!I53)+($B$5*$C$6)-($B$6*$C$6))/($B$5-$B$6)),IF('Entrada das massas'!I53&lt;=$B$5,'Entrada das massas'!I53-$C$5)))))))))))))))))</f>
        <v/>
      </c>
      <c r="J73" s="117" t="str">
        <f t="shared" ref="J73:J74" si="30">IF(I73="","",(IF(AND(I73&lt;=$B$20,I73&gt;$B$19),$D$19+($B$19-I73)/($B$19-$B$20)*($D$20-$D$19),IF(AND(I73&lt;=$B$19,I73&gt;$B$18),$D$18+($B$18-I73)/($B$18-$B$19)*($D$19-$D$18),IF(AND(I73&lt;=$B$18,I73&gt;$B$17),$D$17+($B$17-I73)/($B$17-$B$18)*($D$18-$D$17),IF(AND(I73&lt;=$B$17,I73&gt;$B$16),$D$16+($B$16-I73)/($B$16-$B$17)*($D$17-$D$16),IF(AND(I73&lt;=$B$16,I73&gt;$B$15),$D$15+($B$15-I73)/($B$15-$B$16)*($D$16-$D$15),IF(AND(I73&lt;=$B$15,I73&gt;$B$14),$D$14+($B$14-I73)/($B$14-$B$15)*($D$15-$D$14),IF(AND(I73&lt;=$B$14,I73&gt;$B$13),$D$13+($B$13-I73)/($B$13-$B$14)*($D$14-$D$13),IF(AND(I73&lt;=$B$13,I73&gt;$B$12),$D$12+($B$12-I73)/($B$12-$B$13)*($D$13-$D$12),IF(AND(I73&lt;=$B$12,I73&gt;$B$11),$D$11+($B$11-I73)/($B$11-$B$12)*($D$12-$D$11),IF(AND(I73&lt;=$B$11,I73&gt;$B$10),$D$10+($B$10-I73)/($B$10-$B$11)*($D$11-$D$10),IF(AND(I73&lt;=$B$10,I73&gt;$B$9),$D$9+($B$9-I73)/($B$9-$B$10)*($D$10-$D$9),IF(AND(I73&lt;=$B$9,I73&gt;$B$8),$D$8+($B$8-I73)/($B$8-$B$9)*($D$9-$D$8),IF(AND(I73&lt;=$B$8,I73&gt;$B$7),$D$7+($B$7-I73)/($B$7-$B$8)*($D$8-$D$7),IF(AND(I73&lt;=$B$7,I73&gt;$B$6),$D$6+($B$6-I73)/($B$6-$B$7)*($D$7-$D$6),IF(I73&lt;=$B$6,$D$6)))))))))))))))))</f>
        <v/>
      </c>
      <c r="K73" s="120" t="str">
        <f>IF(I72="","",I73-I72)</f>
        <v/>
      </c>
      <c r="L73" s="117" t="str">
        <f>IF(J72="","",SQRT(SUMSQ(J72:J73)))</f>
        <v/>
      </c>
      <c r="M73" s="93" t="str">
        <f>IF(I71="","","Amostra")</f>
        <v/>
      </c>
      <c r="N73" s="118"/>
      <c r="O73" s="115" t="str">
        <f>IF(P71="","","Frasco + Amostra")</f>
        <v/>
      </c>
      <c r="P73" s="95" t="str">
        <f>IF('Entrada das massas'!N53="","",IF(AND('Entrada das massas'!N53&lt;=$B$20,'Entrada das massas'!N53&gt;$B$19),'Entrada das massas'!N53-((($C$20-$C$19)*($B$20-'Entrada das massas'!N53)+($B$19*$C$20)-($B$20*$C$20))/($B$19-$B$20)),IF(AND('Entrada das massas'!N53&lt;=$B$19,'Entrada das massas'!N53&gt;$B$18),'Entrada das massas'!N53-((($C$19-$C$18)*($B$19-'Entrada das massas'!N53)+($B$18*$C$19)-($B$19*$C$19))/($B$18-$B$19)),IF(AND('Entrada das massas'!N53&lt;=$B$18,'Entrada das massas'!N53&gt;$B$17),'Entrada das massas'!N53-((($C$18-$C$17)*($B$18-'Entrada das massas'!N53)+($B$17*$C$18)-($B$18*$C$18))/($B$17-$B$18)),IF(AND('Entrada das massas'!N53&lt;=$B$17,'Entrada das massas'!N53&gt;$B$16),'Entrada das massas'!N53-((($C$17-$C$16)*($B$17-'Entrada das massas'!N53)+($B$16*$C$17)-($B$17*$C$17))/($B$16-$B$17)),IF(AND('Entrada das massas'!N53&lt;=$B$16,'Entrada das massas'!N53&gt;$B$15),'Entrada das massas'!N53-((($C$16-$C$15)*($B$16-'Entrada das massas'!N53)+($B$15*$C$16)-($B$16*$C$16))/($B$15-$B$16)),IF(AND('Entrada das massas'!N53&lt;=$B$15,'Entrada das massas'!N53&gt;$B$14),'Entrada das massas'!N53-((($C$15-$C$14)*($B$15-'Entrada das massas'!N53)+($B$14*$C$15)-($B$15*$C$15))/($B$14-$B$15)),IF(AND('Entrada das massas'!N53&lt;=$B$14,'Entrada das massas'!N53&gt;$B$13),'Entrada das massas'!N53-((($C$14-$C$13)*($B$14-'Entrada das massas'!N53)+($B$13*$C$14)-($B$14*$C$14))/($B$13-$B$14)),IF(AND('Entrada das massas'!N53&lt;=$B$13,'Entrada das massas'!N53&gt;$B$12),'Entrada das massas'!N53-((($C$13-$C$12)*($B$13-'Entrada das massas'!N53)+($B$12*$C$13)-($B$13*$C$13))/($B$12-$B$13)),IF(AND('Entrada das massas'!N53&lt;=$B$12,'Entrada das massas'!N53&gt;$B$11),'Entrada das massas'!N53-((($C$12-$C$11)*($B$12-'Entrada das massas'!N53)+($B$11*$C$12)-($B$12*$C$12))/($B$11-$B$12)),IF(AND('Entrada das massas'!N53&lt;=$B$11,'Entrada das massas'!N53&gt;$B$10),'Entrada das massas'!N53-((($C$11-$C$10)*($B$11-'Entrada das massas'!N53)+($B$10*$C$11)-($B$11*$C$11))/($B$10-$B$11)),IF(AND('Entrada das massas'!N53&lt;=$B$10,'Entrada das massas'!N53&gt;$B$9),'Entrada das massas'!N53-((($C$10-$C$9)*($B$10-'Entrada das massas'!N53)+($B$9*$C$10)-($B$10*$C$10))/($B$9-$B$10)),IF(AND('Entrada das massas'!N53&lt;=$B$9,'Entrada das massas'!N53&gt;$B$8),'Entrada das massas'!N53-((($C$9-$C$8)*($B$9-'Entrada das massas'!N53)+($B$8*$C$9)-($B$9*$C$9))/($B$8-$B$9)),IF(AND('Entrada das massas'!N53&lt;=$B$8,'Entrada das massas'!N53&gt;$B$7),'Entrada das massas'!N53-((($C$8-$C$7)*($B$8-'Entrada das massas'!N53)+($B$7*$C$8)-($B$8*$C$8))/($B$7-$B$8)),IF(AND('Entrada das massas'!N53&lt;=$B$7,'Entrada das massas'!N53&gt;$B$6),'Entrada das massas'!N53-((($C$7-$C$6)*($B$7-'Entrada das massas'!N53)+($B$6*$C$7)-($B$7*$C$7))/($B$6-$B$7)),IF(AND('Entrada das massas'!N53&lt;=$B$6,'Entrada das massas'!N53&gt;$B$5),'Entrada das massas'!N53-((($C$6-$C$5)*($B$6-'Entrada das massas'!N53)+($B$5*$C$6)-($B$6*$C$6))/($B$5-$B$6)),IF('Entrada das massas'!N53&lt;=$B$5,'Entrada das massas'!N53-$C$5)))))))))))))))))</f>
        <v/>
      </c>
      <c r="Q73" s="117" t="str">
        <f t="shared" ref="Q73:Q74" si="31">IF(P73="","",(IF(AND(P73&lt;=$B$20,P73&gt;$B$19),$D$19+($B$19-P73)/($B$19-$B$20)*($D$20-$D$19),IF(AND(P73&lt;=$B$19,P73&gt;$B$18),$D$18+($B$18-P73)/($B$18-$B$19)*($D$19-$D$18),IF(AND(P73&lt;=$B$18,P73&gt;$B$17),$D$17+($B$17-P73)/($B$17-$B$18)*($D$18-$D$17),IF(AND(P73&lt;=$B$17,P73&gt;$B$16),$D$16+($B$16-P73)/($B$16-$B$17)*($D$17-$D$16),IF(AND(P73&lt;=$B$16,P73&gt;$B$15),$D$15+($B$15-P73)/($B$15-$B$16)*($D$16-$D$15),IF(AND(P73&lt;=$B$15,P73&gt;$B$14),$D$14+($B$14-P73)/($B$14-$B$15)*($D$15-$D$14),IF(AND(P73&lt;=$B$14,P73&gt;$B$13),$D$13+($B$13-P73)/($B$13-$B$14)*($D$14-$D$13),IF(AND(P73&lt;=$B$13,P73&gt;$B$12),$D$12+($B$12-P73)/($B$12-$B$13)*($D$13-$D$12),IF(AND(P73&lt;=$B$12,P73&gt;$B$11),$D$11+($B$11-P73)/($B$11-$B$12)*($D$12-$D$11),IF(AND(P73&lt;=$B$11,P73&gt;$B$10),$D$10+($B$10-P73)/($B$10-$B$11)*($D$11-$D$10),IF(AND(P73&lt;=$B$10,P73&gt;$B$9),$D$9+($B$9-P73)/($B$9-$B$10)*($D$10-$D$9),IF(AND(P73&lt;=$B$9,P73&gt;$B$8),$D$8+($B$8-P73)/($B$8-$B$9)*($D$9-$D$8),IF(AND(P73&lt;=$B$8,P73&gt;$B$7),$D$7+($B$7-P73)/($B$7-$B$8)*($D$8-$D$7),IF(AND(P73&lt;=$B$7,P73&gt;$B$6),$D$6+($B$6-P73)/($B$6-$B$7)*($D$7-$D$6),IF(P73&lt;=$B$6,$D$6)))))))))))))))))</f>
        <v/>
      </c>
      <c r="R73" s="120" t="str">
        <f>IF(P72="","",P73-P72)</f>
        <v/>
      </c>
      <c r="S73" s="117" t="str">
        <f>IF(Q72="","",SQRT(SUMSQ(Q72:Q73)))</f>
        <v/>
      </c>
      <c r="T73" s="93" t="str">
        <f>IF(P71="","","Amostra")</f>
        <v/>
      </c>
      <c r="U73" s="118"/>
      <c r="V73" s="115" t="str">
        <f>IF(W71="","","Frasco + Amostra")</f>
        <v/>
      </c>
      <c r="W73" s="95" t="str">
        <f>IF('Entrada das massas'!S53="","",IF(AND('Entrada das massas'!S53&lt;=$B$20,'Entrada das massas'!S53&gt;$B$19),'Entrada das massas'!S53-((($C$20-$C$19)*($B$20-'Entrada das massas'!S53)+($B$19*$C$20)-($B$20*$C$20))/($B$19-$B$20)),IF(AND('Entrada das massas'!S53&lt;=$B$19,'Entrada das massas'!S53&gt;$B$18),'Entrada das massas'!S53-((($C$19-$C$18)*($B$19-'Entrada das massas'!S53)+($B$18*$C$19)-($B$19*$C$19))/($B$18-$B$19)),IF(AND('Entrada das massas'!S53&lt;=$B$18,'Entrada das massas'!S53&gt;$B$17),'Entrada das massas'!S53-((($C$18-$C$17)*($B$18-'Entrada das massas'!S53)+($B$17*$C$18)-($B$18*$C$18))/($B$17-$B$18)),IF(AND('Entrada das massas'!S53&lt;=$B$17,'Entrada das massas'!S53&gt;$B$16),'Entrada das massas'!S53-((($C$17-$C$16)*($B$17-'Entrada das massas'!S53)+($B$16*$C$17)-($B$17*$C$17))/($B$16-$B$17)),IF(AND('Entrada das massas'!S53&lt;=$B$16,'Entrada das massas'!S53&gt;$B$15),'Entrada das massas'!S53-((($C$16-$C$15)*($B$16-'Entrada das massas'!S53)+($B$15*$C$16)-($B$16*$C$16))/($B$15-$B$16)),IF(AND('Entrada das massas'!S53&lt;=$B$15,'Entrada das massas'!S53&gt;$B$14),'Entrada das massas'!S53-((($C$15-$C$14)*($B$15-'Entrada das massas'!S53)+($B$14*$C$15)-($B$15*$C$15))/($B$14-$B$15)),IF(AND('Entrada das massas'!S53&lt;=$B$14,'Entrada das massas'!S53&gt;$B$13),'Entrada das massas'!S53-((($C$14-$C$13)*($B$14-'Entrada das massas'!S53)+($B$13*$C$14)-($B$14*$C$14))/($B$13-$B$14)),IF(AND('Entrada das massas'!S53&lt;=$B$13,'Entrada das massas'!S53&gt;$B$12),'Entrada das massas'!S53-((($C$13-$C$12)*($B$13-'Entrada das massas'!S53)+($B$12*$C$13)-($B$13*$C$13))/($B$12-$B$13)),IF(AND('Entrada das massas'!S53&lt;=$B$12,'Entrada das massas'!S53&gt;$B$11),'Entrada das massas'!S53-((($C$12-$C$11)*($B$12-'Entrada das massas'!S53)+($B$11*$C$12)-($B$12*$C$12))/($B$11-$B$12)),IF(AND('Entrada das massas'!S53&lt;=$B$11,'Entrada das massas'!S53&gt;$B$10),'Entrada das massas'!S53-((($C$11-$C$10)*($B$11-'Entrada das massas'!S53)+($B$10*$C$11)-($B$11*$C$11))/($B$10-$B$11)),IF(AND('Entrada das massas'!S53&lt;=$B$10,'Entrada das massas'!S53&gt;$B$9),'Entrada das massas'!S53-((($C$10-$C$9)*($B$10-'Entrada das massas'!S53)+($B$9*$C$10)-($B$10*$C$10))/($B$9-$B$10)),IF(AND('Entrada das massas'!S53&lt;=$B$9,'Entrada das massas'!S53&gt;$B$8),'Entrada das massas'!S53-((($C$9-$C$8)*($B$9-'Entrada das massas'!S53)+($B$8*$C$9)-($B$9*$C$9))/($B$8-$B$9)),IF(AND('Entrada das massas'!S53&lt;=$B$8,'Entrada das massas'!S53&gt;$B$7),'Entrada das massas'!S53-((($C$8-$C$7)*($B$8-'Entrada das massas'!S53)+($B$7*$C$8)-($B$8*$C$8))/($B$7-$B$8)),IF(AND('Entrada das massas'!S53&lt;=$B$7,'Entrada das massas'!S53&gt;$B$6),'Entrada das massas'!S53-((($C$7-$C$6)*($B$7-'Entrada das massas'!S53)+($B$6*$C$7)-($B$7*$C$7))/($B$6-$B$7)),IF(AND('Entrada das massas'!S53&lt;=$B$6,'Entrada das massas'!S53&gt;$B$5),'Entrada das massas'!S53-((($C$6-$C$5)*($B$6-'Entrada das massas'!S53)+($B$5*$C$6)-($B$6*$C$6))/($B$5-$B$6)),IF('Entrada das massas'!S53&lt;=$B$5,'Entrada das massas'!S53-$C$5)))))))))))))))))</f>
        <v/>
      </c>
      <c r="X73" s="117" t="str">
        <f t="shared" ref="X73:X74" si="32">IF(W73="","",(IF(AND(W73&lt;=$B$20,W73&gt;$B$19),$D$19+($B$19-W73)/($B$19-$B$20)*($D$20-$D$19),IF(AND(W73&lt;=$B$19,W73&gt;$B$18),$D$18+($B$18-W73)/($B$18-$B$19)*($D$19-$D$18),IF(AND(W73&lt;=$B$18,W73&gt;$B$17),$D$17+($B$17-W73)/($B$17-$B$18)*($D$18-$D$17),IF(AND(W73&lt;=$B$17,W73&gt;$B$16),$D$16+($B$16-W73)/($B$16-$B$17)*($D$17-$D$16),IF(AND(W73&lt;=$B$16,W73&gt;$B$15),$D$15+($B$15-W73)/($B$15-$B$16)*($D$16-$D$15),IF(AND(W73&lt;=$B$15,W73&gt;$B$14),$D$14+($B$14-W73)/($B$14-$B$15)*($D$15-$D$14),IF(AND(W73&lt;=$B$14,W73&gt;$B$13),$D$13+($B$13-W73)/($B$13-$B$14)*($D$14-$D$13),IF(AND(W73&lt;=$B$13,W73&gt;$B$12),$D$12+($B$12-W73)/($B$12-$B$13)*($D$13-$D$12),IF(AND(W73&lt;=$B$12,W73&gt;$B$11),$D$11+($B$11-W73)/($B$11-$B$12)*($D$12-$D$11),IF(AND(W73&lt;=$B$11,W73&gt;$B$10),$D$10+($B$10-W73)/($B$10-$B$11)*($D$11-$D$10),IF(AND(W73&lt;=$B$10,W73&gt;$B$9),$D$9+($B$9-W73)/($B$9-$B$10)*($D$10-$D$9),IF(AND(W73&lt;=$B$9,W73&gt;$B$8),$D$8+($B$8-W73)/($B$8-$B$9)*($D$9-$D$8),IF(AND(W73&lt;=$B$8,W73&gt;$B$7),$D$7+($B$7-W73)/($B$7-$B$8)*($D$8-$D$7),IF(AND(W73&lt;=$B$7,W73&gt;$B$6),$D$6+($B$6-W73)/($B$6-$B$7)*($D$7-$D$6),IF(W73&lt;=$B$6,$D$6)))))))))))))))))</f>
        <v/>
      </c>
      <c r="Y73" s="120" t="str">
        <f>IF(W72="","",W73-W72)</f>
        <v/>
      </c>
      <c r="Z73" s="117" t="str">
        <f>IF(X72="","",SQRT(SUMSQ(X72:X73)))</f>
        <v/>
      </c>
      <c r="AA73" s="93" t="str">
        <f>IF(W71="","","Amostra")</f>
        <v/>
      </c>
      <c r="AE73" s="88"/>
      <c r="AF73" s="160"/>
    </row>
    <row r="74" spans="1:46" x14ac:dyDescent="0.2">
      <c r="A74" s="161"/>
      <c r="B74" s="135"/>
      <c r="C74" s="162"/>
      <c r="D74" s="162"/>
      <c r="E74" s="162"/>
      <c r="F74" s="162"/>
      <c r="H74" s="123" t="str">
        <f>IF(I71="","","Massa final")</f>
        <v/>
      </c>
      <c r="I74" s="116" t="str">
        <f>IF('Entrada das massas'!I54="","",IF(AND('Entrada das massas'!I54&lt;=$B$20,'Entrada das massas'!I54&gt;$B$19),'Entrada das massas'!I54-((($C$20-$C$19)*($B$20-'Entrada das massas'!I54)+($B$19*$C$20)-($B$20*$C$20))/($B$19-$B$20)),IF(AND('Entrada das massas'!I54&lt;=$B$19,'Entrada das massas'!I54&gt;$B$18),'Entrada das massas'!I54-((($C$19-$C$18)*($B$19-'Entrada das massas'!I54)+($B$18*$C$19)-($B$19*$C$19))/($B$18-$B$19)),IF(AND('Entrada das massas'!I54&lt;=$B$18,'Entrada das massas'!I54&gt;$B$17),'Entrada das massas'!I54-((($C$18-$C$17)*($B$18-'Entrada das massas'!I54)+($B$17*$C$18)-($B$18*$C$18))/($B$17-$B$18)),IF(AND('Entrada das massas'!I54&lt;=$B$17,'Entrada das massas'!I54&gt;$B$16),'Entrada das massas'!I54-((($C$17-$C$16)*($B$17-'Entrada das massas'!I54)+($B$16*$C$17)-($B$17*$C$17))/($B$16-$B$17)),IF(AND('Entrada das massas'!I54&lt;=$B$16,'Entrada das massas'!I54&gt;$B$15),'Entrada das massas'!I54-((($C$16-$C$15)*($B$16-'Entrada das massas'!I54)+($B$15*$C$16)-($B$16*$C$16))/($B$15-$B$16)),IF(AND('Entrada das massas'!I54&lt;=$B$15,'Entrada das massas'!I54&gt;$B$14),'Entrada das massas'!I54-((($C$15-$C$14)*($B$15-'Entrada das massas'!I54)+($B$14*$C$15)-($B$15*$C$15))/($B$14-$B$15)),IF(AND('Entrada das massas'!I54&lt;=$B$14,'Entrada das massas'!I54&gt;$B$13),'Entrada das massas'!I54-((($C$14-$C$13)*($B$14-'Entrada das massas'!I54)+($B$13*$C$14)-($B$14*$C$14))/($B$13-$B$14)),IF(AND('Entrada das massas'!I54&lt;=$B$13,'Entrada das massas'!I54&gt;$B$12),'Entrada das massas'!I54-((($C$13-$C$12)*($B$13-'Entrada das massas'!I54)+($B$12*$C$13)-($B$13*$C$13))/($B$12-$B$13)),IF(AND('Entrada das massas'!I54&lt;=$B$12,'Entrada das massas'!I54&gt;$B$11),'Entrada das massas'!I54-((($C$12-$C$11)*($B$12-'Entrada das massas'!I54)+($B$11*$C$12)-($B$12*$C$12))/($B$11-$B$12)),IF(AND('Entrada das massas'!I54&lt;=$B$11,'Entrada das massas'!I54&gt;$B$10),'Entrada das massas'!I54-((($C$11-$C$10)*($B$11-'Entrada das massas'!I54)+($B$10*$C$11)-($B$11*$C$11))/($B$10-$B$11)),IF(AND('Entrada das massas'!I54&lt;=$B$10,'Entrada das massas'!I54&gt;$B$9),'Entrada das massas'!I54-((($C$10-$C$9)*($B$10-'Entrada das massas'!I54)+($B$9*$C$10)-($B$10*$C$10))/($B$9-$B$10)),IF(AND('Entrada das massas'!I54&lt;=$B$9,'Entrada das massas'!I54&gt;$B$8),'Entrada das massas'!I54-((($C$9-$C$8)*($B$9-'Entrada das massas'!I54)+($B$8*$C$9)-($B$9*$C$9))/($B$8-$B$9)),IF(AND('Entrada das massas'!I54&lt;=$B$8,'Entrada das massas'!I54&gt;$B$7),'Entrada das massas'!I54-((($C$8-$C$7)*($B$8-'Entrada das massas'!I54)+($B$7*$C$8)-($B$8*$C$8))/($B$7-$B$8)),IF(AND('Entrada das massas'!I54&lt;=$B$7,'Entrada das massas'!I54&gt;$B$6),'Entrada das massas'!I54-((($C$7-$C$6)*($B$7-'Entrada das massas'!I54)+($B$6*$C$7)-($B$7*$C$7))/($B$6-$B$7)),IF(AND('Entrada das massas'!I54&lt;=$B$6,'Entrada das massas'!I54&gt;$B$5),'Entrada das massas'!I54-((($C$6-$C$5)*($B$6-'Entrada das massas'!I54)+($B$5*$C$6)-($B$6*$C$6))/($B$5-$B$6)),IF('Entrada das massas'!I54&lt;=$B$5,'Entrada das massas'!I54-$C$5)))))))))))))))))</f>
        <v/>
      </c>
      <c r="J74" s="117" t="str">
        <f t="shared" si="30"/>
        <v/>
      </c>
      <c r="K74" s="120" t="str">
        <f>IF(I72="","",I74-I72)</f>
        <v/>
      </c>
      <c r="L74" s="117" t="str">
        <f>IF(J72="","",SQRT(SUMSQ(J72,J74)))</f>
        <v/>
      </c>
      <c r="M74" s="93" t="str">
        <f>IF(I71="","","Solução")</f>
        <v/>
      </c>
      <c r="N74" s="93"/>
      <c r="O74" s="123" t="str">
        <f>IF(P71="","","Massa final")</f>
        <v/>
      </c>
      <c r="P74" s="95" t="str">
        <f>IF('Entrada das massas'!N54="","",IF(AND('Entrada das massas'!N54&lt;=$B$20,'Entrada das massas'!N54&gt;$B$19),'Entrada das massas'!N54-((($C$20-$C$19)*($B$20-'Entrada das massas'!N54)+($B$19*$C$20)-($B$20*$C$20))/($B$19-$B$20)),IF(AND('Entrada das massas'!N54&lt;=$B$19,'Entrada das massas'!N54&gt;$B$18),'Entrada das massas'!N54-((($C$19-$C$18)*($B$19-'Entrada das massas'!N54)+($B$18*$C$19)-($B$19*$C$19))/($B$18-$B$19)),IF(AND('Entrada das massas'!N54&lt;=$B$18,'Entrada das massas'!N54&gt;$B$17),'Entrada das massas'!N54-((($C$18-$C$17)*($B$18-'Entrada das massas'!N54)+($B$17*$C$18)-($B$18*$C$18))/($B$17-$B$18)),IF(AND('Entrada das massas'!N54&lt;=$B$17,'Entrada das massas'!N54&gt;$B$16),'Entrada das massas'!N54-((($C$17-$C$16)*($B$17-'Entrada das massas'!N54)+($B$16*$C$17)-($B$17*$C$17))/($B$16-$B$17)),IF(AND('Entrada das massas'!N54&lt;=$B$16,'Entrada das massas'!N54&gt;$B$15),'Entrada das massas'!N54-((($C$16-$C$15)*($B$16-'Entrada das massas'!N54)+($B$15*$C$16)-($B$16*$C$16))/($B$15-$B$16)),IF(AND('Entrada das massas'!N54&lt;=$B$15,'Entrada das massas'!N54&gt;$B$14),'Entrada das massas'!N54-((($C$15-$C$14)*($B$15-'Entrada das massas'!N54)+($B$14*$C$15)-($B$15*$C$15))/($B$14-$B$15)),IF(AND('Entrada das massas'!N54&lt;=$B$14,'Entrada das massas'!N54&gt;$B$13),'Entrada das massas'!N54-((($C$14-$C$13)*($B$14-'Entrada das massas'!N54)+($B$13*$C$14)-($B$14*$C$14))/($B$13-$B$14)),IF(AND('Entrada das massas'!N54&lt;=$B$13,'Entrada das massas'!N54&gt;$B$12),'Entrada das massas'!N54-((($C$13-$C$12)*($B$13-'Entrada das massas'!N54)+($B$12*$C$13)-($B$13*$C$13))/($B$12-$B$13)),IF(AND('Entrada das massas'!N54&lt;=$B$12,'Entrada das massas'!N54&gt;$B$11),'Entrada das massas'!N54-((($C$12-$C$11)*($B$12-'Entrada das massas'!N54)+($B$11*$C$12)-($B$12*$C$12))/($B$11-$B$12)),IF(AND('Entrada das massas'!N54&lt;=$B$11,'Entrada das massas'!N54&gt;$B$10),'Entrada das massas'!N54-((($C$11-$C$10)*($B$11-'Entrada das massas'!N54)+($B$10*$C$11)-($B$11*$C$11))/($B$10-$B$11)),IF(AND('Entrada das massas'!N54&lt;=$B$10,'Entrada das massas'!N54&gt;$B$9),'Entrada das massas'!N54-((($C$10-$C$9)*($B$10-'Entrada das massas'!N54)+($B$9*$C$10)-($B$10*$C$10))/($B$9-$B$10)),IF(AND('Entrada das massas'!N54&lt;=$B$9,'Entrada das massas'!N54&gt;$B$8),'Entrada das massas'!N54-((($C$9-$C$8)*($B$9-'Entrada das massas'!N54)+($B$8*$C$9)-($B$9*$C$9))/($B$8-$B$9)),IF(AND('Entrada das massas'!N54&lt;=$B$8,'Entrada das massas'!N54&gt;$B$7),'Entrada das massas'!N54-((($C$8-$C$7)*($B$8-'Entrada das massas'!N54)+($B$7*$C$8)-($B$8*$C$8))/($B$7-$B$8)),IF(AND('Entrada das massas'!N54&lt;=$B$7,'Entrada das massas'!N54&gt;$B$6),'Entrada das massas'!N54-((($C$7-$C$6)*($B$7-'Entrada das massas'!N54)+($B$6*$C$7)-($B$7*$C$7))/($B$6-$B$7)),IF(AND('Entrada das massas'!N54&lt;=$B$6,'Entrada das massas'!N54&gt;$B$5),'Entrada das massas'!N54-((($C$6-$C$5)*($B$6-'Entrada das massas'!N54)+($B$5*$C$6)-($B$6*$C$6))/($B$5-$B$6)),IF('Entrada das massas'!N54&lt;=$B$5,'Entrada das massas'!N54-$C$5)))))))))))))))))</f>
        <v/>
      </c>
      <c r="Q74" s="117" t="str">
        <f t="shared" si="31"/>
        <v/>
      </c>
      <c r="R74" s="120" t="str">
        <f>IF(P72="","",P74-P72)</f>
        <v/>
      </c>
      <c r="S74" s="117" t="str">
        <f>IF(Q72="","",SQRT(SUMSQ(Q72,Q74)))</f>
        <v/>
      </c>
      <c r="T74" s="93" t="str">
        <f>IF(P71="","","Solução")</f>
        <v/>
      </c>
      <c r="U74" s="93"/>
      <c r="V74" s="123" t="str">
        <f>IF(W71="","","Massa final")</f>
        <v/>
      </c>
      <c r="W74" s="95" t="str">
        <f>IF('Entrada das massas'!S54="","",IF(AND('Entrada das massas'!S54&lt;=$B$20,'Entrada das massas'!S54&gt;$B$19),'Entrada das massas'!S54-((($C$20-$C$19)*($B$20-'Entrada das massas'!S54)+($B$19*$C$20)-($B$20*$C$20))/($B$19-$B$20)),IF(AND('Entrada das massas'!S54&lt;=$B$19,'Entrada das massas'!S54&gt;$B$18),'Entrada das massas'!S54-((($C$19-$C$18)*($B$19-'Entrada das massas'!S54)+($B$18*$C$19)-($B$19*$C$19))/($B$18-$B$19)),IF(AND('Entrada das massas'!S54&lt;=$B$18,'Entrada das massas'!S54&gt;$B$17),'Entrada das massas'!S54-((($C$18-$C$17)*($B$18-'Entrada das massas'!S54)+($B$17*$C$18)-($B$18*$C$18))/($B$17-$B$18)),IF(AND('Entrada das massas'!S54&lt;=$B$17,'Entrada das massas'!S54&gt;$B$16),'Entrada das massas'!S54-((($C$17-$C$16)*($B$17-'Entrada das massas'!S54)+($B$16*$C$17)-($B$17*$C$17))/($B$16-$B$17)),IF(AND('Entrada das massas'!S54&lt;=$B$16,'Entrada das massas'!S54&gt;$B$15),'Entrada das massas'!S54-((($C$16-$C$15)*($B$16-'Entrada das massas'!S54)+($B$15*$C$16)-($B$16*$C$16))/($B$15-$B$16)),IF(AND('Entrada das massas'!S54&lt;=$B$15,'Entrada das massas'!S54&gt;$B$14),'Entrada das massas'!S54-((($C$15-$C$14)*($B$15-'Entrada das massas'!S54)+($B$14*$C$15)-($B$15*$C$15))/($B$14-$B$15)),IF(AND('Entrada das massas'!S54&lt;=$B$14,'Entrada das massas'!S54&gt;$B$13),'Entrada das massas'!S54-((($C$14-$C$13)*($B$14-'Entrada das massas'!S54)+($B$13*$C$14)-($B$14*$C$14))/($B$13-$B$14)),IF(AND('Entrada das massas'!S54&lt;=$B$13,'Entrada das massas'!S54&gt;$B$12),'Entrada das massas'!S54-((($C$13-$C$12)*($B$13-'Entrada das massas'!S54)+($B$12*$C$13)-($B$13*$C$13))/($B$12-$B$13)),IF(AND('Entrada das massas'!S54&lt;=$B$12,'Entrada das massas'!S54&gt;$B$11),'Entrada das massas'!S54-((($C$12-$C$11)*($B$12-'Entrada das massas'!S54)+($B$11*$C$12)-($B$12*$C$12))/($B$11-$B$12)),IF(AND('Entrada das massas'!S54&lt;=$B$11,'Entrada das massas'!S54&gt;$B$10),'Entrada das massas'!S54-((($C$11-$C$10)*($B$11-'Entrada das massas'!S54)+($B$10*$C$11)-($B$11*$C$11))/($B$10-$B$11)),IF(AND('Entrada das massas'!S54&lt;=$B$10,'Entrada das massas'!S54&gt;$B$9),'Entrada das massas'!S54-((($C$10-$C$9)*($B$10-'Entrada das massas'!S54)+($B$9*$C$10)-($B$10*$C$10))/($B$9-$B$10)),IF(AND('Entrada das massas'!S54&lt;=$B$9,'Entrada das massas'!S54&gt;$B$8),'Entrada das massas'!S54-((($C$9-$C$8)*($B$9-'Entrada das massas'!S54)+($B$8*$C$9)-($B$9*$C$9))/($B$8-$B$9)),IF(AND('Entrada das massas'!S54&lt;=$B$8,'Entrada das massas'!S54&gt;$B$7),'Entrada das massas'!S54-((($C$8-$C$7)*($B$8-'Entrada das massas'!S54)+($B$7*$C$8)-($B$8*$C$8))/($B$7-$B$8)),IF(AND('Entrada das massas'!S54&lt;=$B$7,'Entrada das massas'!S54&gt;$B$6),'Entrada das massas'!S54-((($C$7-$C$6)*($B$7-'Entrada das massas'!S54)+($B$6*$C$7)-($B$7*$C$7))/($B$6-$B$7)),IF(AND('Entrada das massas'!S54&lt;=$B$6,'Entrada das massas'!S54&gt;$B$5),'Entrada das massas'!S54-((($C$6-$C$5)*($B$6-'Entrada das massas'!S54)+($B$5*$C$6)-($B$6*$C$6))/($B$5-$B$6)),IF('Entrada das massas'!S54&lt;=$B$5,'Entrada das massas'!S54-$C$5)))))))))))))))))</f>
        <v/>
      </c>
      <c r="X74" s="117" t="str">
        <f t="shared" si="32"/>
        <v/>
      </c>
      <c r="Y74" s="120" t="str">
        <f>IF(W72="","",W74-W72)</f>
        <v/>
      </c>
      <c r="Z74" s="117" t="str">
        <f>IF(X72="","",SQRT(SUMSQ(X72,X74)))</f>
        <v/>
      </c>
      <c r="AA74" s="93" t="str">
        <f>IF(W71="","","Solução")</f>
        <v/>
      </c>
      <c r="AE74" s="88"/>
      <c r="AF74" s="160"/>
    </row>
    <row r="75" spans="1:46" x14ac:dyDescent="0.2">
      <c r="A75" s="93"/>
      <c r="B75" s="101"/>
      <c r="C75" s="101"/>
      <c r="D75" s="101"/>
      <c r="E75" s="101"/>
      <c r="F75" s="101"/>
      <c r="H75" s="98"/>
      <c r="I75" s="93"/>
      <c r="J75" s="139"/>
      <c r="K75" s="139"/>
      <c r="L75" s="139"/>
      <c r="M75" s="98"/>
      <c r="N75" s="98"/>
      <c r="O75" s="98"/>
      <c r="P75" s="93"/>
      <c r="Q75" s="120"/>
      <c r="R75" s="120"/>
      <c r="S75" s="120"/>
      <c r="T75" s="98"/>
      <c r="U75" s="98"/>
      <c r="V75" s="98"/>
      <c r="W75" s="93"/>
      <c r="X75" s="120"/>
      <c r="Y75" s="120"/>
      <c r="Z75" s="120"/>
      <c r="AA75" s="98"/>
      <c r="AE75" s="88"/>
      <c r="AF75" s="160"/>
    </row>
    <row r="76" spans="1:46" x14ac:dyDescent="0.2">
      <c r="A76" s="93"/>
      <c r="B76" s="101"/>
      <c r="C76" s="101"/>
      <c r="D76" s="101"/>
      <c r="E76" s="101"/>
      <c r="F76" s="101"/>
      <c r="H76" s="126" t="str">
        <f>IF(I71="","","Amostra")</f>
        <v/>
      </c>
      <c r="I76" s="127" t="str">
        <f>IF('Entrada das massas'!I56="","",'Entrada das massas'!I56)</f>
        <v/>
      </c>
      <c r="J76" s="120" t="str">
        <f>IF(I76="","","uc(g)")</f>
        <v/>
      </c>
      <c r="K76" s="120" t="str">
        <f>IF(J76="","","Massa (g)")</f>
        <v/>
      </c>
      <c r="L76" s="120" t="str">
        <f>IF(K76="","","ucomb (g)")</f>
        <v/>
      </c>
      <c r="M76" s="98" t="str">
        <f>IF(I76="","","Fdiluição")</f>
        <v/>
      </c>
      <c r="N76" s="98"/>
      <c r="O76" s="126" t="str">
        <f>IF(M77="","","Amostra")</f>
        <v/>
      </c>
      <c r="P76" s="127" t="str">
        <f>IF('Entrada das massas'!N56="","",'Entrada das massas'!N56)</f>
        <v/>
      </c>
      <c r="Q76" s="120" t="str">
        <f>IF(P76="","","uc(g)")</f>
        <v/>
      </c>
      <c r="R76" s="120" t="str">
        <f>IF(Q76="","","Massa (g)")</f>
        <v/>
      </c>
      <c r="S76" s="120" t="str">
        <f>IF(R76="","","ucomb (g)")</f>
        <v/>
      </c>
      <c r="T76" s="98" t="str">
        <f>IF(P76="","","Fdiluição")</f>
        <v/>
      </c>
      <c r="U76" s="98"/>
      <c r="V76" s="126" t="str">
        <f>IF(T77="","","Amostra")</f>
        <v/>
      </c>
      <c r="W76" s="127" t="str">
        <f>IF('Entrada das massas'!S56="","",'Entrada das massas'!S56)</f>
        <v/>
      </c>
      <c r="X76" s="120" t="str">
        <f>IF(W76="","","uc(g)")</f>
        <v/>
      </c>
      <c r="Y76" s="120" t="str">
        <f>IF(X76="","","Massa (g)")</f>
        <v/>
      </c>
      <c r="Z76" s="120" t="str">
        <f>IF(Y76="","","ucomb (g)")</f>
        <v/>
      </c>
      <c r="AA76" s="98" t="str">
        <f>IF(W76="","","Fdiluição")</f>
        <v/>
      </c>
      <c r="AE76" s="88"/>
      <c r="AF76" s="160"/>
    </row>
    <row r="77" spans="1:46" x14ac:dyDescent="0.2">
      <c r="A77" s="93"/>
      <c r="B77" s="101"/>
      <c r="C77" s="101"/>
      <c r="D77" s="101"/>
      <c r="E77" s="101"/>
      <c r="F77" s="101"/>
      <c r="H77" s="115" t="str">
        <f>IF(I76="","","Frasco")</f>
        <v/>
      </c>
      <c r="I77" s="116" t="str">
        <f>IF('Entrada das massas'!I57="","",IF(AND('Entrada das massas'!I57&lt;=$B$20,'Entrada das massas'!I57&gt;$B$19),'Entrada das massas'!I57-((($C$20-$C$19)*($B$20-'Entrada das massas'!I57)+($B$19*$C$20)-($B$20*$C$20))/($B$19-$B$20)),IF(AND('Entrada das massas'!I57&lt;=$B$19,'Entrada das massas'!I57&gt;$B$18),'Entrada das massas'!I57-((($C$19-$C$18)*($B$19-'Entrada das massas'!I57)+($B$18*$C$19)-($B$19*$C$19))/($B$18-$B$19)),IF(AND('Entrada das massas'!I57&lt;=$B$18,'Entrada das massas'!I57&gt;$B$17),'Entrada das massas'!I57-((($C$18-$C$17)*($B$18-'Entrada das massas'!I57)+($B$17*$C$18)-($B$18*$C$18))/($B$17-$B$18)),IF(AND('Entrada das massas'!I57&lt;=$B$17,'Entrada das massas'!I57&gt;$B$16),'Entrada das massas'!I57-((($C$17-$C$16)*($B$17-'Entrada das massas'!I57)+($B$16*$C$17)-($B$17*$C$17))/($B$16-$B$17)),IF(AND('Entrada das massas'!I57&lt;=$B$16,'Entrada das massas'!I57&gt;$B$15),'Entrada das massas'!I57-((($C$16-$C$15)*($B$16-'Entrada das massas'!I57)+($B$15*$C$16)-($B$16*$C$16))/($B$15-$B$16)),IF(AND('Entrada das massas'!I57&lt;=$B$15,'Entrada das massas'!I57&gt;$B$14),'Entrada das massas'!I57-((($C$15-$C$14)*($B$15-'Entrada das massas'!I57)+($B$14*$C$15)-($B$15*$C$15))/($B$14-$B$15)),IF(AND('Entrada das massas'!I57&lt;=$B$14,'Entrada das massas'!I57&gt;$B$13),'Entrada das massas'!I57-((($C$14-$C$13)*($B$14-'Entrada das massas'!I57)+($B$13*$C$14)-($B$14*$C$14))/($B$13-$B$14)),IF(AND('Entrada das massas'!I57&lt;=$B$13,'Entrada das massas'!I57&gt;$B$12),'Entrada das massas'!I57-((($C$13-$C$12)*($B$13-'Entrada das massas'!I57)+($B$12*$C$13)-($B$13*$C$13))/($B$12-$B$13)),IF(AND('Entrada das massas'!I57&lt;=$B$12,'Entrada das massas'!I57&gt;$B$11),'Entrada das massas'!I57-((($C$12-$C$11)*($B$12-'Entrada das massas'!I57)+($B$11*$C$12)-($B$12*$C$12))/($B$11-$B$12)),IF(AND('Entrada das massas'!I57&lt;=$B$11,'Entrada das massas'!I57&gt;$B$10),'Entrada das massas'!I57-((($C$11-$C$10)*($B$11-'Entrada das massas'!I57)+($B$10*$C$11)-($B$11*$C$11))/($B$10-$B$11)),IF(AND('Entrada das massas'!I57&lt;=$B$10,'Entrada das massas'!I57&gt;$B$9),'Entrada das massas'!I57-((($C$10-$C$9)*($B$10-'Entrada das massas'!I57)+($B$9*$C$10)-($B$10*$C$10))/($B$9-$B$10)),IF(AND('Entrada das massas'!I57&lt;=$B$9,'Entrada das massas'!I57&gt;$B$8),'Entrada das massas'!I57-((($C$9-$C$8)*($B$9-'Entrada das massas'!I57)+($B$8*$C$9)-($B$9*$C$9))/($B$8-$B$9)),IF(AND('Entrada das massas'!I57&lt;=$B$8,'Entrada das massas'!I57&gt;$B$7),'Entrada das massas'!I57-((($C$8-$C$7)*($B$8-'Entrada das massas'!I57)+($B$7*$C$8)-($B$8*$C$8))/($B$7-$B$8)),IF(AND('Entrada das massas'!I57&lt;=$B$7,'Entrada das massas'!I57&gt;$B$6),'Entrada das massas'!I57-((($C$7-$C$6)*($B$7-'Entrada das massas'!I57)+($B$6*$C$7)-($B$7*$C$7))/($B$6-$B$7)),IF(AND('Entrada das massas'!I57&lt;=$B$6,'Entrada das massas'!I57&gt;$B$5),'Entrada das massas'!I57-((($C$6-$C$5)*($B$6-'Entrada das massas'!I57)+($B$5*$C$6)-($B$6*$C$6))/($B$5-$B$6)),IF('Entrada das massas'!I57&lt;=$B$5,'Entrada das massas'!I57-$C$5)))))))))))))))))</f>
        <v/>
      </c>
      <c r="J77" s="117" t="str">
        <f>IF(I77="","",(IF(AND(I77&lt;=$B$20,I77&gt;$B$19),$D$19+($B$19-I77)/($B$19-$B$20)*($D$20-$D$19),IF(AND(I77&lt;=$B$19,I77&gt;$B$18),$D$18+($B$18-I77)/($B$18-$B$19)*($D$19-$D$18),IF(AND(I77&lt;=$B$18,I77&gt;$B$17),$D$17+($B$17-I77)/($B$17-$B$18)*($D$18-$D$17),IF(AND(I77&lt;=$B$17,I77&gt;$B$16),$D$16+($B$16-I77)/($B$16-$B$17)*($D$17-$D$16),IF(AND(I77&lt;=$B$16,I77&gt;$B$15),$D$15+($B$15-I77)/($B$15-$B$16)*($D$16-$D$15),IF(AND(I77&lt;=$B$15,I77&gt;$B$14),$D$14+($B$14-I77)/($B$14-$B$15)*($D$15-$D$14),IF(AND(I77&lt;=$B$14,I77&gt;$B$13),$D$13+($B$13-I77)/($B$13-$B$14)*($D$14-$D$13),IF(AND(I77&lt;=$B$13,I77&gt;$B$12),$D$12+($B$12-I77)/($B$12-$B$13)*($D$13-$D$12),IF(AND(I77&lt;=$B$12,I77&gt;$B$11),$D$11+($B$11-I77)/($B$11-$B$12)*($D$12-$D$11),IF(AND(I77&lt;=$B$11,I77&gt;$B$10),$D$10+($B$10-I77)/($B$10-$B$11)*($D$11-$D$10),IF(AND(I77&lt;=$B$10,I77&gt;$B$9),$D$9+($B$9-I77)/($B$9-$B$10)*($D$10-$D$9),IF(AND(I77&lt;=$B$9,I77&gt;$B$8),$D$8+($B$8-I77)/($B$8-$B$9)*($D$9-$D$8),IF(AND(I77&lt;=$B$8,I77&gt;$B$7),$D$7+($B$7-I77)/($B$7-$B$8)*($D$8-$D$7),IF(AND(I77&lt;=$B$7,I77&gt;$B$6),$D$6+($B$6-I77)/($B$6-$B$7)*($D$7-$D$6),IF(I77&lt;=$B$6,$D$6)))))))))))))))))</f>
        <v/>
      </c>
      <c r="K77" s="117"/>
      <c r="L77" s="117"/>
      <c r="M77" s="118" t="str">
        <f>IFERROR(K79/K78,"")</f>
        <v/>
      </c>
      <c r="N77" s="93"/>
      <c r="O77" s="115" t="str">
        <f>IF(P76="","","Frasco")</f>
        <v/>
      </c>
      <c r="P77" s="95" t="str">
        <f>IF('Entrada das massas'!N57="","",IF(AND('Entrada das massas'!N57&lt;=$B$20,'Entrada das massas'!N57&gt;$B$19),'Entrada das massas'!N57-((($C$20-$C$19)*($B$20-'Entrada das massas'!N57)+($B$19*$C$20)-($B$20*$C$20))/($B$19-$B$20)),IF(AND('Entrada das massas'!N57&lt;=$B$19,'Entrada das massas'!N57&gt;$B$18),'Entrada das massas'!N57-((($C$19-$C$18)*($B$19-'Entrada das massas'!N57)+($B$18*$C$19)-($B$19*$C$19))/($B$18-$B$19)),IF(AND('Entrada das massas'!N57&lt;=$B$18,'Entrada das massas'!N57&gt;$B$17),'Entrada das massas'!N57-((($C$18-$C$17)*($B$18-'Entrada das massas'!N57)+($B$17*$C$18)-($B$18*$C$18))/($B$17-$B$18)),IF(AND('Entrada das massas'!N57&lt;=$B$17,'Entrada das massas'!N57&gt;$B$16),'Entrada das massas'!N57-((($C$17-$C$16)*($B$17-'Entrada das massas'!N57)+($B$16*$C$17)-($B$17*$C$17))/($B$16-$B$17)),IF(AND('Entrada das massas'!N57&lt;=$B$16,'Entrada das massas'!N57&gt;$B$15),'Entrada das massas'!N57-((($C$16-$C$15)*($B$16-'Entrada das massas'!N57)+($B$15*$C$16)-($B$16*$C$16))/($B$15-$B$16)),IF(AND('Entrada das massas'!N57&lt;=$B$15,'Entrada das massas'!N57&gt;$B$14),'Entrada das massas'!N57-((($C$15-$C$14)*($B$15-'Entrada das massas'!N57)+($B$14*$C$15)-($B$15*$C$15))/($B$14-$B$15)),IF(AND('Entrada das massas'!N57&lt;=$B$14,'Entrada das massas'!N57&gt;$B$13),'Entrada das massas'!N57-((($C$14-$C$13)*($B$14-'Entrada das massas'!N57)+($B$13*$C$14)-($B$14*$C$14))/($B$13-$B$14)),IF(AND('Entrada das massas'!N57&lt;=$B$13,'Entrada das massas'!N57&gt;$B$12),'Entrada das massas'!N57-((($C$13-$C$12)*($B$13-'Entrada das massas'!N57)+($B$12*$C$13)-($B$13*$C$13))/($B$12-$B$13)),IF(AND('Entrada das massas'!N57&lt;=$B$12,'Entrada das massas'!N57&gt;$B$11),'Entrada das massas'!N57-((($C$12-$C$11)*($B$12-'Entrada das massas'!N57)+($B$11*$C$12)-($B$12*$C$12))/($B$11-$B$12)),IF(AND('Entrada das massas'!N57&lt;=$B$11,'Entrada das massas'!N57&gt;$B$10),'Entrada das massas'!N57-((($C$11-$C$10)*($B$11-'Entrada das massas'!N57)+($B$10*$C$11)-($B$11*$C$11))/($B$10-$B$11)),IF(AND('Entrada das massas'!N57&lt;=$B$10,'Entrada das massas'!N57&gt;$B$9),'Entrada das massas'!N57-((($C$10-$C$9)*($B$10-'Entrada das massas'!N57)+($B$9*$C$10)-($B$10*$C$10))/($B$9-$B$10)),IF(AND('Entrada das massas'!N57&lt;=$B$9,'Entrada das massas'!N57&gt;$B$8),'Entrada das massas'!N57-((($C$9-$C$8)*($B$9-'Entrada das massas'!N57)+($B$8*$C$9)-($B$9*$C$9))/($B$8-$B$9)),IF(AND('Entrada das massas'!N57&lt;=$B$8,'Entrada das massas'!N57&gt;$B$7),'Entrada das massas'!N57-((($C$8-$C$7)*($B$8-'Entrada das massas'!N57)+($B$7*$C$8)-($B$8*$C$8))/($B$7-$B$8)),IF(AND('Entrada das massas'!N57&lt;=$B$7,'Entrada das massas'!N57&gt;$B$6),'Entrada das massas'!N57-((($C$7-$C$6)*($B$7-'Entrada das massas'!N57)+($B$6*$C$7)-($B$7*$C$7))/($B$6-$B$7)),IF(AND('Entrada das massas'!N57&lt;=$B$6,'Entrada das massas'!N57&gt;$B$5),'Entrada das massas'!N57-((($C$6-$C$5)*($B$6-'Entrada das massas'!N57)+($B$5*$C$6)-($B$6*$C$6))/($B$5-$B$6)),IF('Entrada das massas'!N57&lt;=$B$5,'Entrada das massas'!N57-$C$5)))))))))))))))))</f>
        <v/>
      </c>
      <c r="Q77" s="117" t="str">
        <f>IF(P77="","",(IF(AND(P77&lt;=$B$20,P77&gt;$B$19),$D$19+($B$19-P77)/($B$19-$B$20)*($D$20-$D$19),IF(AND(P77&lt;=$B$19,P77&gt;$B$18),$D$18+($B$18-P77)/($B$18-$B$19)*($D$19-$D$18),IF(AND(P77&lt;=$B$18,P77&gt;$B$17),$D$17+($B$17-P77)/($B$17-$B$18)*($D$18-$D$17),IF(AND(P77&lt;=$B$17,P77&gt;$B$16),$D$16+($B$16-P77)/($B$16-$B$17)*($D$17-$D$16),IF(AND(P77&lt;=$B$16,P77&gt;$B$15),$D$15+($B$15-P77)/($B$15-$B$16)*($D$16-$D$15),IF(AND(P77&lt;=$B$15,P77&gt;$B$14),$D$14+($B$14-P77)/($B$14-$B$15)*($D$15-$D$14),IF(AND(P77&lt;=$B$14,P77&gt;$B$13),$D$13+($B$13-P77)/($B$13-$B$14)*($D$14-$D$13),IF(AND(P77&lt;=$B$13,P77&gt;$B$12),$D$12+($B$12-P77)/($B$12-$B$13)*($D$13-$D$12),IF(AND(P77&lt;=$B$12,P77&gt;$B$11),$D$11+($B$11-P77)/($B$11-$B$12)*($D$12-$D$11),IF(AND(P77&lt;=$B$11,P77&gt;$B$10),$D$10+($B$10-P77)/($B$10-$B$11)*($D$11-$D$10),IF(AND(P77&lt;=$B$10,P77&gt;$B$9),$D$9+($B$9-P77)/($B$9-$B$10)*($D$10-$D$9),IF(AND(P77&lt;=$B$9,P77&gt;$B$8),$D$8+($B$8-P77)/($B$8-$B$9)*($D$9-$D$8),IF(AND(P77&lt;=$B$8,P77&gt;$B$7),$D$7+($B$7-P77)/($B$7-$B$8)*($D$8-$D$7),IF(AND(P77&lt;=$B$7,P77&gt;$B$6),$D$6+($B$6-P77)/($B$6-$B$7)*($D$7-$D$6),IF(P77&lt;=$B$6,$D$6)))))))))))))))))</f>
        <v/>
      </c>
      <c r="R77" s="117"/>
      <c r="S77" s="117"/>
      <c r="T77" s="118" t="str">
        <f>IFERROR(R79/R78,"")</f>
        <v/>
      </c>
      <c r="U77" s="93"/>
      <c r="V77" s="115" t="str">
        <f>IF(W76="","","Frasco")</f>
        <v/>
      </c>
      <c r="W77" s="95" t="str">
        <f>IF('Entrada das massas'!S57="","",IF(AND('Entrada das massas'!S57&lt;=$B$20,'Entrada das massas'!S57&gt;$B$19),'Entrada das massas'!S57-((($C$20-$C$19)*($B$20-'Entrada das massas'!S57)+($B$19*$C$20)-($B$20*$C$20))/($B$19-$B$20)),IF(AND('Entrada das massas'!S57&lt;=$B$19,'Entrada das massas'!S57&gt;$B$18),'Entrada das massas'!S57-((($C$19-$C$18)*($B$19-'Entrada das massas'!S57)+($B$18*$C$19)-($B$19*$C$19))/($B$18-$B$19)),IF(AND('Entrada das massas'!S57&lt;=$B$18,'Entrada das massas'!S57&gt;$B$17),'Entrada das massas'!S57-((($C$18-$C$17)*($B$18-'Entrada das massas'!S57)+($B$17*$C$18)-($B$18*$C$18))/($B$17-$B$18)),IF(AND('Entrada das massas'!S57&lt;=$B$17,'Entrada das massas'!S57&gt;$B$16),'Entrada das massas'!S57-((($C$17-$C$16)*($B$17-'Entrada das massas'!S57)+($B$16*$C$17)-($B$17*$C$17))/($B$16-$B$17)),IF(AND('Entrada das massas'!S57&lt;=$B$16,'Entrada das massas'!S57&gt;$B$15),'Entrada das massas'!S57-((($C$16-$C$15)*($B$16-'Entrada das massas'!S57)+($B$15*$C$16)-($B$16*$C$16))/($B$15-$B$16)),IF(AND('Entrada das massas'!S57&lt;=$B$15,'Entrada das massas'!S57&gt;$B$14),'Entrada das massas'!S57-((($C$15-$C$14)*($B$15-'Entrada das massas'!S57)+($B$14*$C$15)-($B$15*$C$15))/($B$14-$B$15)),IF(AND('Entrada das massas'!S57&lt;=$B$14,'Entrada das massas'!S57&gt;$B$13),'Entrada das massas'!S57-((($C$14-$C$13)*($B$14-'Entrada das massas'!S57)+($B$13*$C$14)-($B$14*$C$14))/($B$13-$B$14)),IF(AND('Entrada das massas'!S57&lt;=$B$13,'Entrada das massas'!S57&gt;$B$12),'Entrada das massas'!S57-((($C$13-$C$12)*($B$13-'Entrada das massas'!S57)+($B$12*$C$13)-($B$13*$C$13))/($B$12-$B$13)),IF(AND('Entrada das massas'!S57&lt;=$B$12,'Entrada das massas'!S57&gt;$B$11),'Entrada das massas'!S57-((($C$12-$C$11)*($B$12-'Entrada das massas'!S57)+($B$11*$C$12)-($B$12*$C$12))/($B$11-$B$12)),IF(AND('Entrada das massas'!S57&lt;=$B$11,'Entrada das massas'!S57&gt;$B$10),'Entrada das massas'!S57-((($C$11-$C$10)*($B$11-'Entrada das massas'!S57)+($B$10*$C$11)-($B$11*$C$11))/($B$10-$B$11)),IF(AND('Entrada das massas'!S57&lt;=$B$10,'Entrada das massas'!S57&gt;$B$9),'Entrada das massas'!S57-((($C$10-$C$9)*($B$10-'Entrada das massas'!S57)+($B$9*$C$10)-($B$10*$C$10))/($B$9-$B$10)),IF(AND('Entrada das massas'!S57&lt;=$B$9,'Entrada das massas'!S57&gt;$B$8),'Entrada das massas'!S57-((($C$9-$C$8)*($B$9-'Entrada das massas'!S57)+($B$8*$C$9)-($B$9*$C$9))/($B$8-$B$9)),IF(AND('Entrada das massas'!S57&lt;=$B$8,'Entrada das massas'!S57&gt;$B$7),'Entrada das massas'!S57-((($C$8-$C$7)*($B$8-'Entrada das massas'!S57)+($B$7*$C$8)-($B$8*$C$8))/($B$7-$B$8)),IF(AND('Entrada das massas'!S57&lt;=$B$7,'Entrada das massas'!S57&gt;$B$6),'Entrada das massas'!S57-((($C$7-$C$6)*($B$7-'Entrada das massas'!S57)+($B$6*$C$7)-($B$7*$C$7))/($B$6-$B$7)),IF(AND('Entrada das massas'!S57&lt;=$B$6,'Entrada das massas'!S57&gt;$B$5),'Entrada das massas'!S57-((($C$6-$C$5)*($B$6-'Entrada das massas'!S57)+($B$5*$C$6)-($B$6*$C$6))/($B$5-$B$6)),IF('Entrada das massas'!S57&lt;=$B$5,'Entrada das massas'!S57-$C$5)))))))))))))))))</f>
        <v/>
      </c>
      <c r="X77" s="117" t="str">
        <f>IF(W77="","",(IF(AND(W77&lt;=$B$20,W77&gt;$B$19),$D$19+($B$19-W77)/($B$19-$B$20)*($D$20-$D$19),IF(AND(W77&lt;=$B$19,W77&gt;$B$18),$D$18+($B$18-W77)/($B$18-$B$19)*($D$19-$D$18),IF(AND(W77&lt;=$B$18,W77&gt;$B$17),$D$17+($B$17-W77)/($B$17-$B$18)*($D$18-$D$17),IF(AND(W77&lt;=$B$17,W77&gt;$B$16),$D$16+($B$16-W77)/($B$16-$B$17)*($D$17-$D$16),IF(AND(W77&lt;=$B$16,W77&gt;$B$15),$D$15+($B$15-W77)/($B$15-$B$16)*($D$16-$D$15),IF(AND(W77&lt;=$B$15,W77&gt;$B$14),$D$14+($B$14-W77)/($B$14-$B$15)*($D$15-$D$14),IF(AND(W77&lt;=$B$14,W77&gt;$B$13),$D$13+($B$13-W77)/($B$13-$B$14)*($D$14-$D$13),IF(AND(W77&lt;=$B$13,W77&gt;$B$12),$D$12+($B$12-W77)/($B$12-$B$13)*($D$13-$D$12),IF(AND(W77&lt;=$B$12,W77&gt;$B$11),$D$11+($B$11-W77)/($B$11-$B$12)*($D$12-$D$11),IF(AND(W77&lt;=$B$11,W77&gt;$B$10),$D$10+($B$10-W77)/($B$10-$B$11)*($D$11-$D$10),IF(AND(W77&lt;=$B$10,W77&gt;$B$9),$D$9+($B$9-W77)/($B$9-$B$10)*($D$10-$D$9),IF(AND(W77&lt;=$B$9,W77&gt;$B$8),$D$8+($B$8-W77)/($B$8-$B$9)*($D$9-$D$8),IF(AND(W77&lt;=$B$8,W77&gt;$B$7),$D$7+($B$7-W77)/($B$7-$B$8)*($D$8-$D$7),IF(AND(W77&lt;=$B$7,W77&gt;$B$6),$D$6+($B$6-W77)/($B$6-$B$7)*($D$7-$D$6),IF(W77&lt;=$B$6,$D$6)))))))))))))))))</f>
        <v/>
      </c>
      <c r="Y77" s="117"/>
      <c r="Z77" s="117"/>
      <c r="AA77" s="118" t="str">
        <f>IFERROR(Y79/Y78,"")</f>
        <v/>
      </c>
      <c r="AE77" s="88"/>
      <c r="AF77" s="160"/>
    </row>
    <row r="78" spans="1:46" x14ac:dyDescent="0.2">
      <c r="A78" s="93"/>
      <c r="B78" s="101"/>
      <c r="C78" s="101"/>
      <c r="D78" s="101"/>
      <c r="E78" s="101"/>
      <c r="F78" s="101"/>
      <c r="H78" s="115" t="str">
        <f>IF(I76="","","Frasco + Amostra")</f>
        <v/>
      </c>
      <c r="I78" s="116" t="str">
        <f>IF('Entrada das massas'!I58="","",IF(AND('Entrada das massas'!I58&lt;=$B$20,'Entrada das massas'!I58&gt;$B$19),'Entrada das massas'!I58-((($C$20-$C$19)*($B$20-'Entrada das massas'!I58)+($B$19*$C$20)-($B$20*$C$20))/($B$19-$B$20)),IF(AND('Entrada das massas'!I58&lt;=$B$19,'Entrada das massas'!I58&gt;$B$18),'Entrada das massas'!I58-((($C$19-$C$18)*($B$19-'Entrada das massas'!I58)+($B$18*$C$19)-($B$19*$C$19))/($B$18-$B$19)),IF(AND('Entrada das massas'!I58&lt;=$B$18,'Entrada das massas'!I58&gt;$B$17),'Entrada das massas'!I58-((($C$18-$C$17)*($B$18-'Entrada das massas'!I58)+($B$17*$C$18)-($B$18*$C$18))/($B$17-$B$18)),IF(AND('Entrada das massas'!I58&lt;=$B$17,'Entrada das massas'!I58&gt;$B$16),'Entrada das massas'!I58-((($C$17-$C$16)*($B$17-'Entrada das massas'!I58)+($B$16*$C$17)-($B$17*$C$17))/($B$16-$B$17)),IF(AND('Entrada das massas'!I58&lt;=$B$16,'Entrada das massas'!I58&gt;$B$15),'Entrada das massas'!I58-((($C$16-$C$15)*($B$16-'Entrada das massas'!I58)+($B$15*$C$16)-($B$16*$C$16))/($B$15-$B$16)),IF(AND('Entrada das massas'!I58&lt;=$B$15,'Entrada das massas'!I58&gt;$B$14),'Entrada das massas'!I58-((($C$15-$C$14)*($B$15-'Entrada das massas'!I58)+($B$14*$C$15)-($B$15*$C$15))/($B$14-$B$15)),IF(AND('Entrada das massas'!I58&lt;=$B$14,'Entrada das massas'!I58&gt;$B$13),'Entrada das massas'!I58-((($C$14-$C$13)*($B$14-'Entrada das massas'!I58)+($B$13*$C$14)-($B$14*$C$14))/($B$13-$B$14)),IF(AND('Entrada das massas'!I58&lt;=$B$13,'Entrada das massas'!I58&gt;$B$12),'Entrada das massas'!I58-((($C$13-$C$12)*($B$13-'Entrada das massas'!I58)+($B$12*$C$13)-($B$13*$C$13))/($B$12-$B$13)),IF(AND('Entrada das massas'!I58&lt;=$B$12,'Entrada das massas'!I58&gt;$B$11),'Entrada das massas'!I58-((($C$12-$C$11)*($B$12-'Entrada das massas'!I58)+($B$11*$C$12)-($B$12*$C$12))/($B$11-$B$12)),IF(AND('Entrada das massas'!I58&lt;=$B$11,'Entrada das massas'!I58&gt;$B$10),'Entrada das massas'!I58-((($C$11-$C$10)*($B$11-'Entrada das massas'!I58)+($B$10*$C$11)-($B$11*$C$11))/($B$10-$B$11)),IF(AND('Entrada das massas'!I58&lt;=$B$10,'Entrada das massas'!I58&gt;$B$9),'Entrada das massas'!I58-((($C$10-$C$9)*($B$10-'Entrada das massas'!I58)+($B$9*$C$10)-($B$10*$C$10))/($B$9-$B$10)),IF(AND('Entrada das massas'!I58&lt;=$B$9,'Entrada das massas'!I58&gt;$B$8),'Entrada das massas'!I58-((($C$9-$C$8)*($B$9-'Entrada das massas'!I58)+($B$8*$C$9)-($B$9*$C$9))/($B$8-$B$9)),IF(AND('Entrada das massas'!I58&lt;=$B$8,'Entrada das massas'!I58&gt;$B$7),'Entrada das massas'!I58-((($C$8-$C$7)*($B$8-'Entrada das massas'!I58)+($B$7*$C$8)-($B$8*$C$8))/($B$7-$B$8)),IF(AND('Entrada das massas'!I58&lt;=$B$7,'Entrada das massas'!I58&gt;$B$6),'Entrada das massas'!I58-((($C$7-$C$6)*($B$7-'Entrada das massas'!I58)+($B$6*$C$7)-($B$7*$C$7))/($B$6-$B$7)),IF(AND('Entrada das massas'!I58&lt;=$B$6,'Entrada das massas'!I58&gt;$B$5),'Entrada das massas'!I58-((($C$6-$C$5)*($B$6-'Entrada das massas'!I58)+($B$5*$C$6)-($B$6*$C$6))/($B$5-$B$6)),IF('Entrada das massas'!I58&lt;=$B$5,'Entrada das massas'!I58-$C$5)))))))))))))))))</f>
        <v/>
      </c>
      <c r="J78" s="117" t="str">
        <f t="shared" ref="J78:J79" si="33">IF(I78="","",(IF(AND(I78&lt;=$B$20,I78&gt;$B$19),$D$19+($B$19-I78)/($B$19-$B$20)*($D$20-$D$19),IF(AND(I78&lt;=$B$19,I78&gt;$B$18),$D$18+($B$18-I78)/($B$18-$B$19)*($D$19-$D$18),IF(AND(I78&lt;=$B$18,I78&gt;$B$17),$D$17+($B$17-I78)/($B$17-$B$18)*($D$18-$D$17),IF(AND(I78&lt;=$B$17,I78&gt;$B$16),$D$16+($B$16-I78)/($B$16-$B$17)*($D$17-$D$16),IF(AND(I78&lt;=$B$16,I78&gt;$B$15),$D$15+($B$15-I78)/($B$15-$B$16)*($D$16-$D$15),IF(AND(I78&lt;=$B$15,I78&gt;$B$14),$D$14+($B$14-I78)/($B$14-$B$15)*($D$15-$D$14),IF(AND(I78&lt;=$B$14,I78&gt;$B$13),$D$13+($B$13-I78)/($B$13-$B$14)*($D$14-$D$13),IF(AND(I78&lt;=$B$13,I78&gt;$B$12),$D$12+($B$12-I78)/($B$12-$B$13)*($D$13-$D$12),IF(AND(I78&lt;=$B$12,I78&gt;$B$11),$D$11+($B$11-I78)/($B$11-$B$12)*($D$12-$D$11),IF(AND(I78&lt;=$B$11,I78&gt;$B$10),$D$10+($B$10-I78)/($B$10-$B$11)*($D$11-$D$10),IF(AND(I78&lt;=$B$10,I78&gt;$B$9),$D$9+($B$9-I78)/($B$9-$B$10)*($D$10-$D$9),IF(AND(I78&lt;=$B$9,I78&gt;$B$8),$D$8+($B$8-I78)/($B$8-$B$9)*($D$9-$D$8),IF(AND(I78&lt;=$B$8,I78&gt;$B$7),$D$7+($B$7-I78)/($B$7-$B$8)*($D$8-$D$7),IF(AND(I78&lt;=$B$7,I78&gt;$B$6),$D$6+($B$6-I78)/($B$6-$B$7)*($D$7-$D$6),IF(I78&lt;=$B$6,$D$6)))))))))))))))))</f>
        <v/>
      </c>
      <c r="K78" s="120" t="str">
        <f>IF(I77="","",I78-I77)</f>
        <v/>
      </c>
      <c r="L78" s="117" t="str">
        <f>IF(J77="","",SQRT(SUMSQ(J77:J78)))</f>
        <v/>
      </c>
      <c r="M78" s="93" t="str">
        <f>IF(I76="","","Amostra")</f>
        <v/>
      </c>
      <c r="N78" s="118"/>
      <c r="O78" s="115" t="str">
        <f>IF(P76="","","Frasco + Amostra")</f>
        <v/>
      </c>
      <c r="P78" s="95" t="str">
        <f>IF('Entrada das massas'!N58="","",IF(AND('Entrada das massas'!N58&lt;=$B$20,'Entrada das massas'!N58&gt;$B$19),'Entrada das massas'!N58-((($C$20-$C$19)*($B$20-'Entrada das massas'!N58)+($B$19*$C$20)-($B$20*$C$20))/($B$19-$B$20)),IF(AND('Entrada das massas'!N58&lt;=$B$19,'Entrada das massas'!N58&gt;$B$18),'Entrada das massas'!N58-((($C$19-$C$18)*($B$19-'Entrada das massas'!N58)+($B$18*$C$19)-($B$19*$C$19))/($B$18-$B$19)),IF(AND('Entrada das massas'!N58&lt;=$B$18,'Entrada das massas'!N58&gt;$B$17),'Entrada das massas'!N58-((($C$18-$C$17)*($B$18-'Entrada das massas'!N58)+($B$17*$C$18)-($B$18*$C$18))/($B$17-$B$18)),IF(AND('Entrada das massas'!N58&lt;=$B$17,'Entrada das massas'!N58&gt;$B$16),'Entrada das massas'!N58-((($C$17-$C$16)*($B$17-'Entrada das massas'!N58)+($B$16*$C$17)-($B$17*$C$17))/($B$16-$B$17)),IF(AND('Entrada das massas'!N58&lt;=$B$16,'Entrada das massas'!N58&gt;$B$15),'Entrada das massas'!N58-((($C$16-$C$15)*($B$16-'Entrada das massas'!N58)+($B$15*$C$16)-($B$16*$C$16))/($B$15-$B$16)),IF(AND('Entrada das massas'!N58&lt;=$B$15,'Entrada das massas'!N58&gt;$B$14),'Entrada das massas'!N58-((($C$15-$C$14)*($B$15-'Entrada das massas'!N58)+($B$14*$C$15)-($B$15*$C$15))/($B$14-$B$15)),IF(AND('Entrada das massas'!N58&lt;=$B$14,'Entrada das massas'!N58&gt;$B$13),'Entrada das massas'!N58-((($C$14-$C$13)*($B$14-'Entrada das massas'!N58)+($B$13*$C$14)-($B$14*$C$14))/($B$13-$B$14)),IF(AND('Entrada das massas'!N58&lt;=$B$13,'Entrada das massas'!N58&gt;$B$12),'Entrada das massas'!N58-((($C$13-$C$12)*($B$13-'Entrada das massas'!N58)+($B$12*$C$13)-($B$13*$C$13))/($B$12-$B$13)),IF(AND('Entrada das massas'!N58&lt;=$B$12,'Entrada das massas'!N58&gt;$B$11),'Entrada das massas'!N58-((($C$12-$C$11)*($B$12-'Entrada das massas'!N58)+($B$11*$C$12)-($B$12*$C$12))/($B$11-$B$12)),IF(AND('Entrada das massas'!N58&lt;=$B$11,'Entrada das massas'!N58&gt;$B$10),'Entrada das massas'!N58-((($C$11-$C$10)*($B$11-'Entrada das massas'!N58)+($B$10*$C$11)-($B$11*$C$11))/($B$10-$B$11)),IF(AND('Entrada das massas'!N58&lt;=$B$10,'Entrada das massas'!N58&gt;$B$9),'Entrada das massas'!N58-((($C$10-$C$9)*($B$10-'Entrada das massas'!N58)+($B$9*$C$10)-($B$10*$C$10))/($B$9-$B$10)),IF(AND('Entrada das massas'!N58&lt;=$B$9,'Entrada das massas'!N58&gt;$B$8),'Entrada das massas'!N58-((($C$9-$C$8)*($B$9-'Entrada das massas'!N58)+($B$8*$C$9)-($B$9*$C$9))/($B$8-$B$9)),IF(AND('Entrada das massas'!N58&lt;=$B$8,'Entrada das massas'!N58&gt;$B$7),'Entrada das massas'!N58-((($C$8-$C$7)*($B$8-'Entrada das massas'!N58)+($B$7*$C$8)-($B$8*$C$8))/($B$7-$B$8)),IF(AND('Entrada das massas'!N58&lt;=$B$7,'Entrada das massas'!N58&gt;$B$6),'Entrada das massas'!N58-((($C$7-$C$6)*($B$7-'Entrada das massas'!N58)+($B$6*$C$7)-($B$7*$C$7))/($B$6-$B$7)),IF(AND('Entrada das massas'!N58&lt;=$B$6,'Entrada das massas'!N58&gt;$B$5),'Entrada das massas'!N58-((($C$6-$C$5)*($B$6-'Entrada das massas'!N58)+($B$5*$C$6)-($B$6*$C$6))/($B$5-$B$6)),IF('Entrada das massas'!N58&lt;=$B$5,'Entrada das massas'!N58-$C$5)))))))))))))))))</f>
        <v/>
      </c>
      <c r="Q78" s="117" t="str">
        <f t="shared" ref="Q78:Q79" si="34">IF(P78="","",(IF(AND(P78&lt;=$B$20,P78&gt;$B$19),$D$19+($B$19-P78)/($B$19-$B$20)*($D$20-$D$19),IF(AND(P78&lt;=$B$19,P78&gt;$B$18),$D$18+($B$18-P78)/($B$18-$B$19)*($D$19-$D$18),IF(AND(P78&lt;=$B$18,P78&gt;$B$17),$D$17+($B$17-P78)/($B$17-$B$18)*($D$18-$D$17),IF(AND(P78&lt;=$B$17,P78&gt;$B$16),$D$16+($B$16-P78)/($B$16-$B$17)*($D$17-$D$16),IF(AND(P78&lt;=$B$16,P78&gt;$B$15),$D$15+($B$15-P78)/($B$15-$B$16)*($D$16-$D$15),IF(AND(P78&lt;=$B$15,P78&gt;$B$14),$D$14+($B$14-P78)/($B$14-$B$15)*($D$15-$D$14),IF(AND(P78&lt;=$B$14,P78&gt;$B$13),$D$13+($B$13-P78)/($B$13-$B$14)*($D$14-$D$13),IF(AND(P78&lt;=$B$13,P78&gt;$B$12),$D$12+($B$12-P78)/($B$12-$B$13)*($D$13-$D$12),IF(AND(P78&lt;=$B$12,P78&gt;$B$11),$D$11+($B$11-P78)/($B$11-$B$12)*($D$12-$D$11),IF(AND(P78&lt;=$B$11,P78&gt;$B$10),$D$10+($B$10-P78)/($B$10-$B$11)*($D$11-$D$10),IF(AND(P78&lt;=$B$10,P78&gt;$B$9),$D$9+($B$9-P78)/($B$9-$B$10)*($D$10-$D$9),IF(AND(P78&lt;=$B$9,P78&gt;$B$8),$D$8+($B$8-P78)/($B$8-$B$9)*($D$9-$D$8),IF(AND(P78&lt;=$B$8,P78&gt;$B$7),$D$7+($B$7-P78)/($B$7-$B$8)*($D$8-$D$7),IF(AND(P78&lt;=$B$7,P78&gt;$B$6),$D$6+($B$6-P78)/($B$6-$B$7)*($D$7-$D$6),IF(P78&lt;=$B$6,$D$6)))))))))))))))))</f>
        <v/>
      </c>
      <c r="R78" s="120" t="str">
        <f>IF(P77="","",P78-P77)</f>
        <v/>
      </c>
      <c r="S78" s="117" t="str">
        <f>IF(Q77="","",SQRT(SUMSQ(Q77:Q78)))</f>
        <v/>
      </c>
      <c r="T78" s="93" t="str">
        <f>IF(P76="","","Amostra")</f>
        <v/>
      </c>
      <c r="U78" s="118"/>
      <c r="V78" s="115" t="str">
        <f>IF(W76="","","Frasco + Amostra")</f>
        <v/>
      </c>
      <c r="W78" s="95" t="str">
        <f>IF('Entrada das massas'!S58="","",IF(AND('Entrada das massas'!S58&lt;=$B$20,'Entrada das massas'!S58&gt;$B$19),'Entrada das massas'!S58-((($C$20-$C$19)*($B$20-'Entrada das massas'!S58)+($B$19*$C$20)-($B$20*$C$20))/($B$19-$B$20)),IF(AND('Entrada das massas'!S58&lt;=$B$19,'Entrada das massas'!S58&gt;$B$18),'Entrada das massas'!S58-((($C$19-$C$18)*($B$19-'Entrada das massas'!S58)+($B$18*$C$19)-($B$19*$C$19))/($B$18-$B$19)),IF(AND('Entrada das massas'!S58&lt;=$B$18,'Entrada das massas'!S58&gt;$B$17),'Entrada das massas'!S58-((($C$18-$C$17)*($B$18-'Entrada das massas'!S58)+($B$17*$C$18)-($B$18*$C$18))/($B$17-$B$18)),IF(AND('Entrada das massas'!S58&lt;=$B$17,'Entrada das massas'!S58&gt;$B$16),'Entrada das massas'!S58-((($C$17-$C$16)*($B$17-'Entrada das massas'!S58)+($B$16*$C$17)-($B$17*$C$17))/($B$16-$B$17)),IF(AND('Entrada das massas'!S58&lt;=$B$16,'Entrada das massas'!S58&gt;$B$15),'Entrada das massas'!S58-((($C$16-$C$15)*($B$16-'Entrada das massas'!S58)+($B$15*$C$16)-($B$16*$C$16))/($B$15-$B$16)),IF(AND('Entrada das massas'!S58&lt;=$B$15,'Entrada das massas'!S58&gt;$B$14),'Entrada das massas'!S58-((($C$15-$C$14)*($B$15-'Entrada das massas'!S58)+($B$14*$C$15)-($B$15*$C$15))/($B$14-$B$15)),IF(AND('Entrada das massas'!S58&lt;=$B$14,'Entrada das massas'!S58&gt;$B$13),'Entrada das massas'!S58-((($C$14-$C$13)*($B$14-'Entrada das massas'!S58)+($B$13*$C$14)-($B$14*$C$14))/($B$13-$B$14)),IF(AND('Entrada das massas'!S58&lt;=$B$13,'Entrada das massas'!S58&gt;$B$12),'Entrada das massas'!S58-((($C$13-$C$12)*($B$13-'Entrada das massas'!S58)+($B$12*$C$13)-($B$13*$C$13))/($B$12-$B$13)),IF(AND('Entrada das massas'!S58&lt;=$B$12,'Entrada das massas'!S58&gt;$B$11),'Entrada das massas'!S58-((($C$12-$C$11)*($B$12-'Entrada das massas'!S58)+($B$11*$C$12)-($B$12*$C$12))/($B$11-$B$12)),IF(AND('Entrada das massas'!S58&lt;=$B$11,'Entrada das massas'!S58&gt;$B$10),'Entrada das massas'!S58-((($C$11-$C$10)*($B$11-'Entrada das massas'!S58)+($B$10*$C$11)-($B$11*$C$11))/($B$10-$B$11)),IF(AND('Entrada das massas'!S58&lt;=$B$10,'Entrada das massas'!S58&gt;$B$9),'Entrada das massas'!S58-((($C$10-$C$9)*($B$10-'Entrada das massas'!S58)+($B$9*$C$10)-($B$10*$C$10))/($B$9-$B$10)),IF(AND('Entrada das massas'!S58&lt;=$B$9,'Entrada das massas'!S58&gt;$B$8),'Entrada das massas'!S58-((($C$9-$C$8)*($B$9-'Entrada das massas'!S58)+($B$8*$C$9)-($B$9*$C$9))/($B$8-$B$9)),IF(AND('Entrada das massas'!S58&lt;=$B$8,'Entrada das massas'!S58&gt;$B$7),'Entrada das massas'!S58-((($C$8-$C$7)*($B$8-'Entrada das massas'!S58)+($B$7*$C$8)-($B$8*$C$8))/($B$7-$B$8)),IF(AND('Entrada das massas'!S58&lt;=$B$7,'Entrada das massas'!S58&gt;$B$6),'Entrada das massas'!S58-((($C$7-$C$6)*($B$7-'Entrada das massas'!S58)+($B$6*$C$7)-($B$7*$C$7))/($B$6-$B$7)),IF(AND('Entrada das massas'!S58&lt;=$B$6,'Entrada das massas'!S58&gt;$B$5),'Entrada das massas'!S58-((($C$6-$C$5)*($B$6-'Entrada das massas'!S58)+($B$5*$C$6)-($B$6*$C$6))/($B$5-$B$6)),IF('Entrada das massas'!S58&lt;=$B$5,'Entrada das massas'!S58-$C$5)))))))))))))))))</f>
        <v/>
      </c>
      <c r="X78" s="117" t="str">
        <f t="shared" ref="X78:X79" si="35">IF(W78="","",(IF(AND(W78&lt;=$B$20,W78&gt;$B$19),$D$19+($B$19-W78)/($B$19-$B$20)*($D$20-$D$19),IF(AND(W78&lt;=$B$19,W78&gt;$B$18),$D$18+($B$18-W78)/($B$18-$B$19)*($D$19-$D$18),IF(AND(W78&lt;=$B$18,W78&gt;$B$17),$D$17+($B$17-W78)/($B$17-$B$18)*($D$18-$D$17),IF(AND(W78&lt;=$B$17,W78&gt;$B$16),$D$16+($B$16-W78)/($B$16-$B$17)*($D$17-$D$16),IF(AND(W78&lt;=$B$16,W78&gt;$B$15),$D$15+($B$15-W78)/($B$15-$B$16)*($D$16-$D$15),IF(AND(W78&lt;=$B$15,W78&gt;$B$14),$D$14+($B$14-W78)/($B$14-$B$15)*($D$15-$D$14),IF(AND(W78&lt;=$B$14,W78&gt;$B$13),$D$13+($B$13-W78)/($B$13-$B$14)*($D$14-$D$13),IF(AND(W78&lt;=$B$13,W78&gt;$B$12),$D$12+($B$12-W78)/($B$12-$B$13)*($D$13-$D$12),IF(AND(W78&lt;=$B$12,W78&gt;$B$11),$D$11+($B$11-W78)/($B$11-$B$12)*($D$12-$D$11),IF(AND(W78&lt;=$B$11,W78&gt;$B$10),$D$10+($B$10-W78)/($B$10-$B$11)*($D$11-$D$10),IF(AND(W78&lt;=$B$10,W78&gt;$B$9),$D$9+($B$9-W78)/($B$9-$B$10)*($D$10-$D$9),IF(AND(W78&lt;=$B$9,W78&gt;$B$8),$D$8+($B$8-W78)/($B$8-$B$9)*($D$9-$D$8),IF(AND(W78&lt;=$B$8,W78&gt;$B$7),$D$7+($B$7-W78)/($B$7-$B$8)*($D$8-$D$7),IF(AND(W78&lt;=$B$7,W78&gt;$B$6),$D$6+($B$6-W78)/($B$6-$B$7)*($D$7-$D$6),IF(W78&lt;=$B$6,$D$6)))))))))))))))))</f>
        <v/>
      </c>
      <c r="Y78" s="120" t="str">
        <f>IF(W77="","",W78-W77)</f>
        <v/>
      </c>
      <c r="Z78" s="117" t="str">
        <f>IF(X77="","",SQRT(SUMSQ(X77:X78)))</f>
        <v/>
      </c>
      <c r="AA78" s="93" t="str">
        <f>IF(W76="","","Amostra")</f>
        <v/>
      </c>
      <c r="AE78" s="88"/>
      <c r="AF78" s="160"/>
    </row>
    <row r="79" spans="1:46" x14ac:dyDescent="0.2">
      <c r="A79" s="93"/>
      <c r="B79" s="101"/>
      <c r="C79" s="101"/>
      <c r="D79" s="101"/>
      <c r="E79" s="101"/>
      <c r="F79" s="101"/>
      <c r="H79" s="123" t="str">
        <f>IF(I76="","","Massa final")</f>
        <v/>
      </c>
      <c r="I79" s="116" t="str">
        <f>IF('Entrada das massas'!I59="","",IF(AND('Entrada das massas'!I59&lt;=$B$20,'Entrada das massas'!I59&gt;$B$19),'Entrada das massas'!I59-((($C$20-$C$19)*($B$20-'Entrada das massas'!I59)+($B$19*$C$20)-($B$20*$C$20))/($B$19-$B$20)),IF(AND('Entrada das massas'!I59&lt;=$B$19,'Entrada das massas'!I59&gt;$B$18),'Entrada das massas'!I59-((($C$19-$C$18)*($B$19-'Entrada das massas'!I59)+($B$18*$C$19)-($B$19*$C$19))/($B$18-$B$19)),IF(AND('Entrada das massas'!I59&lt;=$B$18,'Entrada das massas'!I59&gt;$B$17),'Entrada das massas'!I59-((($C$18-$C$17)*($B$18-'Entrada das massas'!I59)+($B$17*$C$18)-($B$18*$C$18))/($B$17-$B$18)),IF(AND('Entrada das massas'!I59&lt;=$B$17,'Entrada das massas'!I59&gt;$B$16),'Entrada das massas'!I59-((($C$17-$C$16)*($B$17-'Entrada das massas'!I59)+($B$16*$C$17)-($B$17*$C$17))/($B$16-$B$17)),IF(AND('Entrada das massas'!I59&lt;=$B$16,'Entrada das massas'!I59&gt;$B$15),'Entrada das massas'!I59-((($C$16-$C$15)*($B$16-'Entrada das massas'!I59)+($B$15*$C$16)-($B$16*$C$16))/($B$15-$B$16)),IF(AND('Entrada das massas'!I59&lt;=$B$15,'Entrada das massas'!I59&gt;$B$14),'Entrada das massas'!I59-((($C$15-$C$14)*($B$15-'Entrada das massas'!I59)+($B$14*$C$15)-($B$15*$C$15))/($B$14-$B$15)),IF(AND('Entrada das massas'!I59&lt;=$B$14,'Entrada das massas'!I59&gt;$B$13),'Entrada das massas'!I59-((($C$14-$C$13)*($B$14-'Entrada das massas'!I59)+($B$13*$C$14)-($B$14*$C$14))/($B$13-$B$14)),IF(AND('Entrada das massas'!I59&lt;=$B$13,'Entrada das massas'!I59&gt;$B$12),'Entrada das massas'!I59-((($C$13-$C$12)*($B$13-'Entrada das massas'!I59)+($B$12*$C$13)-($B$13*$C$13))/($B$12-$B$13)),IF(AND('Entrada das massas'!I59&lt;=$B$12,'Entrada das massas'!I59&gt;$B$11),'Entrada das massas'!I59-((($C$12-$C$11)*($B$12-'Entrada das massas'!I59)+($B$11*$C$12)-($B$12*$C$12))/($B$11-$B$12)),IF(AND('Entrada das massas'!I59&lt;=$B$11,'Entrada das massas'!I59&gt;$B$10),'Entrada das massas'!I59-((($C$11-$C$10)*($B$11-'Entrada das massas'!I59)+($B$10*$C$11)-($B$11*$C$11))/($B$10-$B$11)),IF(AND('Entrada das massas'!I59&lt;=$B$10,'Entrada das massas'!I59&gt;$B$9),'Entrada das massas'!I59-((($C$10-$C$9)*($B$10-'Entrada das massas'!I59)+($B$9*$C$10)-($B$10*$C$10))/($B$9-$B$10)),IF(AND('Entrada das massas'!I59&lt;=$B$9,'Entrada das massas'!I59&gt;$B$8),'Entrada das massas'!I59-((($C$9-$C$8)*($B$9-'Entrada das massas'!I59)+($B$8*$C$9)-($B$9*$C$9))/($B$8-$B$9)),IF(AND('Entrada das massas'!I59&lt;=$B$8,'Entrada das massas'!I59&gt;$B$7),'Entrada das massas'!I59-((($C$8-$C$7)*($B$8-'Entrada das massas'!I59)+($B$7*$C$8)-($B$8*$C$8))/($B$7-$B$8)),IF(AND('Entrada das massas'!I59&lt;=$B$7,'Entrada das massas'!I59&gt;$B$6),'Entrada das massas'!I59-((($C$7-$C$6)*($B$7-'Entrada das massas'!I59)+($B$6*$C$7)-($B$7*$C$7))/($B$6-$B$7)),IF(AND('Entrada das massas'!I59&lt;=$B$6,'Entrada das massas'!I59&gt;$B$5),'Entrada das massas'!I59-((($C$6-$C$5)*($B$6-'Entrada das massas'!I59)+($B$5*$C$6)-($B$6*$C$6))/($B$5-$B$6)),IF('Entrada das massas'!I59&lt;=$B$5,'Entrada das massas'!I59-$C$5)))))))))))))))))</f>
        <v/>
      </c>
      <c r="J79" s="117" t="str">
        <f t="shared" si="33"/>
        <v/>
      </c>
      <c r="K79" s="120" t="str">
        <f>IF(I77="","",I79-I77)</f>
        <v/>
      </c>
      <c r="L79" s="117" t="str">
        <f>IF(J77="","",SQRT(SUMSQ(J77,J79)))</f>
        <v/>
      </c>
      <c r="M79" s="93" t="str">
        <f>IF(I76="","","Solução")</f>
        <v/>
      </c>
      <c r="N79" s="93"/>
      <c r="O79" s="123" t="str">
        <f>IF(P76="","","Massa final")</f>
        <v/>
      </c>
      <c r="P79" s="95" t="str">
        <f>IF('Entrada das massas'!N59="","",IF(AND('Entrada das massas'!N59&lt;=$B$20,'Entrada das massas'!N59&gt;$B$19),'Entrada das massas'!N59-((($C$20-$C$19)*($B$20-'Entrada das massas'!N59)+($B$19*$C$20)-($B$20*$C$20))/($B$19-$B$20)),IF(AND('Entrada das massas'!N59&lt;=$B$19,'Entrada das massas'!N59&gt;$B$18),'Entrada das massas'!N59-((($C$19-$C$18)*($B$19-'Entrada das massas'!N59)+($B$18*$C$19)-($B$19*$C$19))/($B$18-$B$19)),IF(AND('Entrada das massas'!N59&lt;=$B$18,'Entrada das massas'!N59&gt;$B$17),'Entrada das massas'!N59-((($C$18-$C$17)*($B$18-'Entrada das massas'!N59)+($B$17*$C$18)-($B$18*$C$18))/($B$17-$B$18)),IF(AND('Entrada das massas'!N59&lt;=$B$17,'Entrada das massas'!N59&gt;$B$16),'Entrada das massas'!N59-((($C$17-$C$16)*($B$17-'Entrada das massas'!N59)+($B$16*$C$17)-($B$17*$C$17))/($B$16-$B$17)),IF(AND('Entrada das massas'!N59&lt;=$B$16,'Entrada das massas'!N59&gt;$B$15),'Entrada das massas'!N59-((($C$16-$C$15)*($B$16-'Entrada das massas'!N59)+($B$15*$C$16)-($B$16*$C$16))/($B$15-$B$16)),IF(AND('Entrada das massas'!N59&lt;=$B$15,'Entrada das massas'!N59&gt;$B$14),'Entrada das massas'!N59-((($C$15-$C$14)*($B$15-'Entrada das massas'!N59)+($B$14*$C$15)-($B$15*$C$15))/($B$14-$B$15)),IF(AND('Entrada das massas'!N59&lt;=$B$14,'Entrada das massas'!N59&gt;$B$13),'Entrada das massas'!N59-((($C$14-$C$13)*($B$14-'Entrada das massas'!N59)+($B$13*$C$14)-($B$14*$C$14))/($B$13-$B$14)),IF(AND('Entrada das massas'!N59&lt;=$B$13,'Entrada das massas'!N59&gt;$B$12),'Entrada das massas'!N59-((($C$13-$C$12)*($B$13-'Entrada das massas'!N59)+($B$12*$C$13)-($B$13*$C$13))/($B$12-$B$13)),IF(AND('Entrada das massas'!N59&lt;=$B$12,'Entrada das massas'!N59&gt;$B$11),'Entrada das massas'!N59-((($C$12-$C$11)*($B$12-'Entrada das massas'!N59)+($B$11*$C$12)-($B$12*$C$12))/($B$11-$B$12)),IF(AND('Entrada das massas'!N59&lt;=$B$11,'Entrada das massas'!N59&gt;$B$10),'Entrada das massas'!N59-((($C$11-$C$10)*($B$11-'Entrada das massas'!N59)+($B$10*$C$11)-($B$11*$C$11))/($B$10-$B$11)),IF(AND('Entrada das massas'!N59&lt;=$B$10,'Entrada das massas'!N59&gt;$B$9),'Entrada das massas'!N59-((($C$10-$C$9)*($B$10-'Entrada das massas'!N59)+($B$9*$C$10)-($B$10*$C$10))/($B$9-$B$10)),IF(AND('Entrada das massas'!N59&lt;=$B$9,'Entrada das massas'!N59&gt;$B$8),'Entrada das massas'!N59-((($C$9-$C$8)*($B$9-'Entrada das massas'!N59)+($B$8*$C$9)-($B$9*$C$9))/($B$8-$B$9)),IF(AND('Entrada das massas'!N59&lt;=$B$8,'Entrada das massas'!N59&gt;$B$7),'Entrada das massas'!N59-((($C$8-$C$7)*($B$8-'Entrada das massas'!N59)+($B$7*$C$8)-($B$8*$C$8))/($B$7-$B$8)),IF(AND('Entrada das massas'!N59&lt;=$B$7,'Entrada das massas'!N59&gt;$B$6),'Entrada das massas'!N59-((($C$7-$C$6)*($B$7-'Entrada das massas'!N59)+($B$6*$C$7)-($B$7*$C$7))/($B$6-$B$7)),IF(AND('Entrada das massas'!N59&lt;=$B$6,'Entrada das massas'!N59&gt;$B$5),'Entrada das massas'!N59-((($C$6-$C$5)*($B$6-'Entrada das massas'!N59)+($B$5*$C$6)-($B$6*$C$6))/($B$5-$B$6)),IF('Entrada das massas'!N59&lt;=$B$5,'Entrada das massas'!N59-$C$5)))))))))))))))))</f>
        <v/>
      </c>
      <c r="Q79" s="117" t="str">
        <f t="shared" si="34"/>
        <v/>
      </c>
      <c r="R79" s="120" t="str">
        <f>IF(P77="","",P79-P77)</f>
        <v/>
      </c>
      <c r="S79" s="117" t="str">
        <f>IF(Q77="","",SQRT(SUMSQ(Q77,Q79)))</f>
        <v/>
      </c>
      <c r="T79" s="93" t="str">
        <f>IF(P76="","","Solução")</f>
        <v/>
      </c>
      <c r="U79" s="93"/>
      <c r="V79" s="123" t="str">
        <f>IF(W76="","","Massa final")</f>
        <v/>
      </c>
      <c r="W79" s="95" t="str">
        <f>IF('Entrada das massas'!S59="","",IF(AND('Entrada das massas'!S59&lt;=$B$20,'Entrada das massas'!S59&gt;$B$19),'Entrada das massas'!S59-((($C$20-$C$19)*($B$20-'Entrada das massas'!S59)+($B$19*$C$20)-($B$20*$C$20))/($B$19-$B$20)),IF(AND('Entrada das massas'!S59&lt;=$B$19,'Entrada das massas'!S59&gt;$B$18),'Entrada das massas'!S59-((($C$19-$C$18)*($B$19-'Entrada das massas'!S59)+($B$18*$C$19)-($B$19*$C$19))/($B$18-$B$19)),IF(AND('Entrada das massas'!S59&lt;=$B$18,'Entrada das massas'!S59&gt;$B$17),'Entrada das massas'!S59-((($C$18-$C$17)*($B$18-'Entrada das massas'!S59)+($B$17*$C$18)-($B$18*$C$18))/($B$17-$B$18)),IF(AND('Entrada das massas'!S59&lt;=$B$17,'Entrada das massas'!S59&gt;$B$16),'Entrada das massas'!S59-((($C$17-$C$16)*($B$17-'Entrada das massas'!S59)+($B$16*$C$17)-($B$17*$C$17))/($B$16-$B$17)),IF(AND('Entrada das massas'!S59&lt;=$B$16,'Entrada das massas'!S59&gt;$B$15),'Entrada das massas'!S59-((($C$16-$C$15)*($B$16-'Entrada das massas'!S59)+($B$15*$C$16)-($B$16*$C$16))/($B$15-$B$16)),IF(AND('Entrada das massas'!S59&lt;=$B$15,'Entrada das massas'!S59&gt;$B$14),'Entrada das massas'!S59-((($C$15-$C$14)*($B$15-'Entrada das massas'!S59)+($B$14*$C$15)-($B$15*$C$15))/($B$14-$B$15)),IF(AND('Entrada das massas'!S59&lt;=$B$14,'Entrada das massas'!S59&gt;$B$13),'Entrada das massas'!S59-((($C$14-$C$13)*($B$14-'Entrada das massas'!S59)+($B$13*$C$14)-($B$14*$C$14))/($B$13-$B$14)),IF(AND('Entrada das massas'!S59&lt;=$B$13,'Entrada das massas'!S59&gt;$B$12),'Entrada das massas'!S59-((($C$13-$C$12)*($B$13-'Entrada das massas'!S59)+($B$12*$C$13)-($B$13*$C$13))/($B$12-$B$13)),IF(AND('Entrada das massas'!S59&lt;=$B$12,'Entrada das massas'!S59&gt;$B$11),'Entrada das massas'!S59-((($C$12-$C$11)*($B$12-'Entrada das massas'!S59)+($B$11*$C$12)-($B$12*$C$12))/($B$11-$B$12)),IF(AND('Entrada das massas'!S59&lt;=$B$11,'Entrada das massas'!S59&gt;$B$10),'Entrada das massas'!S59-((($C$11-$C$10)*($B$11-'Entrada das massas'!S59)+($B$10*$C$11)-($B$11*$C$11))/($B$10-$B$11)),IF(AND('Entrada das massas'!S59&lt;=$B$10,'Entrada das massas'!S59&gt;$B$9),'Entrada das massas'!S59-((($C$10-$C$9)*($B$10-'Entrada das massas'!S59)+($B$9*$C$10)-($B$10*$C$10))/($B$9-$B$10)),IF(AND('Entrada das massas'!S59&lt;=$B$9,'Entrada das massas'!S59&gt;$B$8),'Entrada das massas'!S59-((($C$9-$C$8)*($B$9-'Entrada das massas'!S59)+($B$8*$C$9)-($B$9*$C$9))/($B$8-$B$9)),IF(AND('Entrada das massas'!S59&lt;=$B$8,'Entrada das massas'!S59&gt;$B$7),'Entrada das massas'!S59-((($C$8-$C$7)*($B$8-'Entrada das massas'!S59)+($B$7*$C$8)-($B$8*$C$8))/($B$7-$B$8)),IF(AND('Entrada das massas'!S59&lt;=$B$7,'Entrada das massas'!S59&gt;$B$6),'Entrada das massas'!S59-((($C$7-$C$6)*($B$7-'Entrada das massas'!S59)+($B$6*$C$7)-($B$7*$C$7))/($B$6-$B$7)),IF(AND('Entrada das massas'!S59&lt;=$B$6,'Entrada das massas'!S59&gt;$B$5),'Entrada das massas'!S59-((($C$6-$C$5)*($B$6-'Entrada das massas'!S59)+($B$5*$C$6)-($B$6*$C$6))/($B$5-$B$6)),IF('Entrada das massas'!S59&lt;=$B$5,'Entrada das massas'!S59-$C$5)))))))))))))))))</f>
        <v/>
      </c>
      <c r="X79" s="117" t="str">
        <f t="shared" si="35"/>
        <v/>
      </c>
      <c r="Y79" s="120" t="str">
        <f>IF(W77="","",W79-W77)</f>
        <v/>
      </c>
      <c r="Z79" s="117" t="str">
        <f>IF(X77="","",SQRT(SUMSQ(X77,X79)))</f>
        <v/>
      </c>
      <c r="AA79" s="93" t="str">
        <f>IF(W76="","","Solução")</f>
        <v/>
      </c>
      <c r="AB79" s="104"/>
      <c r="AC79" s="104"/>
      <c r="AE79" s="88"/>
      <c r="AF79" s="160"/>
    </row>
    <row r="80" spans="1:46" x14ac:dyDescent="0.2">
      <c r="A80" s="93"/>
      <c r="B80" s="101"/>
      <c r="C80" s="101"/>
      <c r="D80" s="101"/>
      <c r="E80" s="101"/>
      <c r="F80" s="101"/>
      <c r="H80" s="98"/>
      <c r="I80" s="93"/>
      <c r="J80" s="139"/>
      <c r="K80" s="139"/>
      <c r="L80" s="139"/>
      <c r="M80" s="98"/>
      <c r="N80" s="98"/>
      <c r="O80" s="98"/>
      <c r="P80" s="93"/>
      <c r="Q80" s="120"/>
      <c r="R80" s="120"/>
      <c r="S80" s="120"/>
      <c r="T80" s="98"/>
      <c r="U80" s="98"/>
      <c r="V80" s="98"/>
      <c r="W80" s="93"/>
      <c r="X80" s="120"/>
      <c r="Y80" s="120"/>
      <c r="Z80" s="120"/>
      <c r="AA80" s="98"/>
      <c r="AB80" s="104"/>
      <c r="AC80" s="104"/>
      <c r="AE80" s="88"/>
      <c r="AF80" s="160"/>
    </row>
    <row r="81" spans="1:32" x14ac:dyDescent="0.2">
      <c r="A81" s="93"/>
      <c r="B81" s="101"/>
      <c r="C81" s="101"/>
      <c r="D81" s="101"/>
      <c r="E81" s="101"/>
      <c r="F81" s="101"/>
      <c r="H81" s="126" t="str">
        <f>IF(I76="","","Amostra")</f>
        <v/>
      </c>
      <c r="I81" s="127" t="str">
        <f>IF('Entrada das massas'!I61="","",'Entrada das massas'!I61)</f>
        <v/>
      </c>
      <c r="J81" s="120" t="str">
        <f>IF(I81="","","uc(g)")</f>
        <v/>
      </c>
      <c r="K81" s="120" t="str">
        <f>IF(J81="","","Massa (g)")</f>
        <v/>
      </c>
      <c r="L81" s="120" t="str">
        <f>IF(K81="","","ucomb (g)")</f>
        <v/>
      </c>
      <c r="M81" s="98" t="str">
        <f>IF(I81="","","Fdiluição")</f>
        <v/>
      </c>
      <c r="N81" s="98"/>
      <c r="O81" s="126" t="str">
        <f>IF(M82="","","Amostra")</f>
        <v/>
      </c>
      <c r="P81" s="127" t="str">
        <f>IF('Entrada das massas'!N61="","",'Entrada das massas'!N61)</f>
        <v/>
      </c>
      <c r="Q81" s="120" t="str">
        <f>IF(P81="","","uc(g)")</f>
        <v/>
      </c>
      <c r="R81" s="120" t="str">
        <f>IF(Q81="","","Massa (g)")</f>
        <v/>
      </c>
      <c r="S81" s="120" t="str">
        <f>IF(R81="","","ucomb (g)")</f>
        <v/>
      </c>
      <c r="T81" s="98" t="str">
        <f>IF(P81="","","Fdiluição")</f>
        <v/>
      </c>
      <c r="U81" s="98"/>
      <c r="V81" s="126" t="str">
        <f>IF(T82="","","Amostra")</f>
        <v/>
      </c>
      <c r="W81" s="127" t="str">
        <f>IF('Entrada das massas'!S61="","",'Entrada das massas'!S61)</f>
        <v/>
      </c>
      <c r="X81" s="120" t="str">
        <f>IF(W81="","","uc(g)")</f>
        <v/>
      </c>
      <c r="Y81" s="120" t="str">
        <f>IF(X81="","","Massa (g)")</f>
        <v/>
      </c>
      <c r="Z81" s="120" t="str">
        <f>IF(Y81="","","ucomb (g)")</f>
        <v/>
      </c>
      <c r="AA81" s="98" t="str">
        <f>IF(W81="","","Fdiluição")</f>
        <v/>
      </c>
      <c r="AB81" s="104"/>
      <c r="AC81" s="104"/>
      <c r="AE81" s="88"/>
      <c r="AF81" s="160"/>
    </row>
    <row r="82" spans="1:32" x14ac:dyDescent="0.2">
      <c r="A82" s="89"/>
      <c r="B82" s="89"/>
      <c r="C82" s="89"/>
      <c r="D82" s="89"/>
      <c r="E82" s="89"/>
      <c r="F82" s="89"/>
      <c r="H82" s="115" t="str">
        <f>IF(I81="","","Frasco")</f>
        <v/>
      </c>
      <c r="I82" s="116" t="str">
        <f>IF('Entrada das massas'!I62="","",IF(AND('Entrada das massas'!I62&lt;=$B$20,'Entrada das massas'!I62&gt;$B$19),'Entrada das massas'!I62-((($C$20-$C$19)*($B$20-'Entrada das massas'!I62)+($B$19*$C$20)-($B$20*$C$20))/($B$19-$B$20)),IF(AND('Entrada das massas'!I62&lt;=$B$19,'Entrada das massas'!I62&gt;$B$18),'Entrada das massas'!I62-((($C$19-$C$18)*($B$19-'Entrada das massas'!I62)+($B$18*$C$19)-($B$19*$C$19))/($B$18-$B$19)),IF(AND('Entrada das massas'!I62&lt;=$B$18,'Entrada das massas'!I62&gt;$B$17),'Entrada das massas'!I62-((($C$18-$C$17)*($B$18-'Entrada das massas'!I62)+($B$17*$C$18)-($B$18*$C$18))/($B$17-$B$18)),IF(AND('Entrada das massas'!I62&lt;=$B$17,'Entrada das massas'!I62&gt;$B$16),'Entrada das massas'!I62-((($C$17-$C$16)*($B$17-'Entrada das massas'!I62)+($B$16*$C$17)-($B$17*$C$17))/($B$16-$B$17)),IF(AND('Entrada das massas'!I62&lt;=$B$16,'Entrada das massas'!I62&gt;$B$15),'Entrada das massas'!I62-((($C$16-$C$15)*($B$16-'Entrada das massas'!I62)+($B$15*$C$16)-($B$16*$C$16))/($B$15-$B$16)),IF(AND('Entrada das massas'!I62&lt;=$B$15,'Entrada das massas'!I62&gt;$B$14),'Entrada das massas'!I62-((($C$15-$C$14)*($B$15-'Entrada das massas'!I62)+($B$14*$C$15)-($B$15*$C$15))/($B$14-$B$15)),IF(AND('Entrada das massas'!I62&lt;=$B$14,'Entrada das massas'!I62&gt;$B$13),'Entrada das massas'!I62-((($C$14-$C$13)*($B$14-'Entrada das massas'!I62)+($B$13*$C$14)-($B$14*$C$14))/($B$13-$B$14)),IF(AND('Entrada das massas'!I62&lt;=$B$13,'Entrada das massas'!I62&gt;$B$12),'Entrada das massas'!I62-((($C$13-$C$12)*($B$13-'Entrada das massas'!I62)+($B$12*$C$13)-($B$13*$C$13))/($B$12-$B$13)),IF(AND('Entrada das massas'!I62&lt;=$B$12,'Entrada das massas'!I62&gt;$B$11),'Entrada das massas'!I62-((($C$12-$C$11)*($B$12-'Entrada das massas'!I62)+($B$11*$C$12)-($B$12*$C$12))/($B$11-$B$12)),IF(AND('Entrada das massas'!I62&lt;=$B$11,'Entrada das massas'!I62&gt;$B$10),'Entrada das massas'!I62-((($C$11-$C$10)*($B$11-'Entrada das massas'!I62)+($B$10*$C$11)-($B$11*$C$11))/($B$10-$B$11)),IF(AND('Entrada das massas'!I62&lt;=$B$10,'Entrada das massas'!I62&gt;$B$9),'Entrada das massas'!I62-((($C$10-$C$9)*($B$10-'Entrada das massas'!I62)+($B$9*$C$10)-($B$10*$C$10))/($B$9-$B$10)),IF(AND('Entrada das massas'!I62&lt;=$B$9,'Entrada das massas'!I62&gt;$B$8),'Entrada das massas'!I62-((($C$9-$C$8)*($B$9-'Entrada das massas'!I62)+($B$8*$C$9)-($B$9*$C$9))/($B$8-$B$9)),IF(AND('Entrada das massas'!I62&lt;=$B$8,'Entrada das massas'!I62&gt;$B$7),'Entrada das massas'!I62-((($C$8-$C$7)*($B$8-'Entrada das massas'!I62)+($B$7*$C$8)-($B$8*$C$8))/($B$7-$B$8)),IF(AND('Entrada das massas'!I62&lt;=$B$7,'Entrada das massas'!I62&gt;$B$6),'Entrada das massas'!I62-((($C$7-$C$6)*($B$7-'Entrada das massas'!I62)+($B$6*$C$7)-($B$7*$C$7))/($B$6-$B$7)),IF(AND('Entrada das massas'!I62&lt;=$B$6,'Entrada das massas'!I62&gt;$B$5),'Entrada das massas'!I62-((($C$6-$C$5)*($B$6-'Entrada das massas'!I62)+($B$5*$C$6)-($B$6*$C$6))/($B$5-$B$6)),IF('Entrada das massas'!I62&lt;=$B$5,'Entrada das massas'!I62-$C$5)))))))))))))))))</f>
        <v/>
      </c>
      <c r="J82" s="117" t="str">
        <f>IF(I82="","",(IF(AND(I82&lt;=$B$20,I82&gt;$B$19),$D$19+($B$19-I82)/($B$19-$B$20)*($D$20-$D$19),IF(AND(I82&lt;=$B$19,I82&gt;$B$18),$D$18+($B$18-I82)/($B$18-$B$19)*($D$19-$D$18),IF(AND(I82&lt;=$B$18,I82&gt;$B$17),$D$17+($B$17-I82)/($B$17-$B$18)*($D$18-$D$17),IF(AND(I82&lt;=$B$17,I82&gt;$B$16),$D$16+($B$16-I82)/($B$16-$B$17)*($D$17-$D$16),IF(AND(I82&lt;=$B$16,I82&gt;$B$15),$D$15+($B$15-I82)/($B$15-$B$16)*($D$16-$D$15),IF(AND(I82&lt;=$B$15,I82&gt;$B$14),$D$14+($B$14-I82)/($B$14-$B$15)*($D$15-$D$14),IF(AND(I82&lt;=$B$14,I82&gt;$B$13),$D$13+($B$13-I82)/($B$13-$B$14)*($D$14-$D$13),IF(AND(I82&lt;=$B$13,I82&gt;$B$12),$D$12+($B$12-I82)/($B$12-$B$13)*($D$13-$D$12),IF(AND(I82&lt;=$B$12,I82&gt;$B$11),$D$11+($B$11-I82)/($B$11-$B$12)*($D$12-$D$11),IF(AND(I82&lt;=$B$11,I82&gt;$B$10),$D$10+($B$10-I82)/($B$10-$B$11)*($D$11-$D$10),IF(AND(I82&lt;=$B$10,I82&gt;$B$9),$D$9+($B$9-I82)/($B$9-$B$10)*($D$10-$D$9),IF(AND(I82&lt;=$B$9,I82&gt;$B$8),$D$8+($B$8-I82)/($B$8-$B$9)*($D$9-$D$8),IF(AND(I82&lt;=$B$8,I82&gt;$B$7),$D$7+($B$7-I82)/($B$7-$B$8)*($D$8-$D$7),IF(AND(I82&lt;=$B$7,I82&gt;$B$6),$D$6+($B$6-I82)/($B$6-$B$7)*($D$7-$D$6),IF(I82&lt;=$B$6,$D$6)))))))))))))))))</f>
        <v/>
      </c>
      <c r="K82" s="117"/>
      <c r="L82" s="117"/>
      <c r="M82" s="118" t="str">
        <f>IFERROR(K84/K83,"")</f>
        <v/>
      </c>
      <c r="N82" s="93"/>
      <c r="O82" s="115" t="str">
        <f>IF(P81="","","Frasco")</f>
        <v/>
      </c>
      <c r="P82" s="95" t="str">
        <f>IF('Entrada das massas'!N62="","",IF(AND('Entrada das massas'!N62&lt;=$B$20,'Entrada das massas'!N62&gt;$B$19),'Entrada das massas'!N62-((($C$20-$C$19)*($B$20-'Entrada das massas'!N62)+($B$19*$C$20)-($B$20*$C$20))/($B$19-$B$20)),IF(AND('Entrada das massas'!N62&lt;=$B$19,'Entrada das massas'!N62&gt;$B$18),'Entrada das massas'!N62-((($C$19-$C$18)*($B$19-'Entrada das massas'!N62)+($B$18*$C$19)-($B$19*$C$19))/($B$18-$B$19)),IF(AND('Entrada das massas'!N62&lt;=$B$18,'Entrada das massas'!N62&gt;$B$17),'Entrada das massas'!N62-((($C$18-$C$17)*($B$18-'Entrada das massas'!N62)+($B$17*$C$18)-($B$18*$C$18))/($B$17-$B$18)),IF(AND('Entrada das massas'!N62&lt;=$B$17,'Entrada das massas'!N62&gt;$B$16),'Entrada das massas'!N62-((($C$17-$C$16)*($B$17-'Entrada das massas'!N62)+($B$16*$C$17)-($B$17*$C$17))/($B$16-$B$17)),IF(AND('Entrada das massas'!N62&lt;=$B$16,'Entrada das massas'!N62&gt;$B$15),'Entrada das massas'!N62-((($C$16-$C$15)*($B$16-'Entrada das massas'!N62)+($B$15*$C$16)-($B$16*$C$16))/($B$15-$B$16)),IF(AND('Entrada das massas'!N62&lt;=$B$15,'Entrada das massas'!N62&gt;$B$14),'Entrada das massas'!N62-((($C$15-$C$14)*($B$15-'Entrada das massas'!N62)+($B$14*$C$15)-($B$15*$C$15))/($B$14-$B$15)),IF(AND('Entrada das massas'!N62&lt;=$B$14,'Entrada das massas'!N62&gt;$B$13),'Entrada das massas'!N62-((($C$14-$C$13)*($B$14-'Entrada das massas'!N62)+($B$13*$C$14)-($B$14*$C$14))/($B$13-$B$14)),IF(AND('Entrada das massas'!N62&lt;=$B$13,'Entrada das massas'!N62&gt;$B$12),'Entrada das massas'!N62-((($C$13-$C$12)*($B$13-'Entrada das massas'!N62)+($B$12*$C$13)-($B$13*$C$13))/($B$12-$B$13)),IF(AND('Entrada das massas'!N62&lt;=$B$12,'Entrada das massas'!N62&gt;$B$11),'Entrada das massas'!N62-((($C$12-$C$11)*($B$12-'Entrada das massas'!N62)+($B$11*$C$12)-($B$12*$C$12))/($B$11-$B$12)),IF(AND('Entrada das massas'!N62&lt;=$B$11,'Entrada das massas'!N62&gt;$B$10),'Entrada das massas'!N62-((($C$11-$C$10)*($B$11-'Entrada das massas'!N62)+($B$10*$C$11)-($B$11*$C$11))/($B$10-$B$11)),IF(AND('Entrada das massas'!N62&lt;=$B$10,'Entrada das massas'!N62&gt;$B$9),'Entrada das massas'!N62-((($C$10-$C$9)*($B$10-'Entrada das massas'!N62)+($B$9*$C$10)-($B$10*$C$10))/($B$9-$B$10)),IF(AND('Entrada das massas'!N62&lt;=$B$9,'Entrada das massas'!N62&gt;$B$8),'Entrada das massas'!N62-((($C$9-$C$8)*($B$9-'Entrada das massas'!N62)+($B$8*$C$9)-($B$9*$C$9))/($B$8-$B$9)),IF(AND('Entrada das massas'!N62&lt;=$B$8,'Entrada das massas'!N62&gt;$B$7),'Entrada das massas'!N62-((($C$8-$C$7)*($B$8-'Entrada das massas'!N62)+($B$7*$C$8)-($B$8*$C$8))/($B$7-$B$8)),IF(AND('Entrada das massas'!N62&lt;=$B$7,'Entrada das massas'!N62&gt;$B$6),'Entrada das massas'!N62-((($C$7-$C$6)*($B$7-'Entrada das massas'!N62)+($B$6*$C$7)-($B$7*$C$7))/($B$6-$B$7)),IF(AND('Entrada das massas'!N62&lt;=$B$6,'Entrada das massas'!N62&gt;$B$5),'Entrada das massas'!N62-((($C$6-$C$5)*($B$6-'Entrada das massas'!N62)+($B$5*$C$6)-($B$6*$C$6))/($B$5-$B$6)),IF('Entrada das massas'!N62&lt;=$B$5,'Entrada das massas'!N62-$C$5)))))))))))))))))</f>
        <v/>
      </c>
      <c r="Q82" s="117" t="str">
        <f>IF(P82="","",(IF(AND(P82&lt;=$B$20,P82&gt;$B$19),$D$19+($B$19-P82)/($B$19-$B$20)*($D$20-$D$19),IF(AND(P82&lt;=$B$19,P82&gt;$B$18),$D$18+($B$18-P82)/($B$18-$B$19)*($D$19-$D$18),IF(AND(P82&lt;=$B$18,P82&gt;$B$17),$D$17+($B$17-P82)/($B$17-$B$18)*($D$18-$D$17),IF(AND(P82&lt;=$B$17,P82&gt;$B$16),$D$16+($B$16-P82)/($B$16-$B$17)*($D$17-$D$16),IF(AND(P82&lt;=$B$16,P82&gt;$B$15),$D$15+($B$15-P82)/($B$15-$B$16)*($D$16-$D$15),IF(AND(P82&lt;=$B$15,P82&gt;$B$14),$D$14+($B$14-P82)/($B$14-$B$15)*($D$15-$D$14),IF(AND(P82&lt;=$B$14,P82&gt;$B$13),$D$13+($B$13-P82)/($B$13-$B$14)*($D$14-$D$13),IF(AND(P82&lt;=$B$13,P82&gt;$B$12),$D$12+($B$12-P82)/($B$12-$B$13)*($D$13-$D$12),IF(AND(P82&lt;=$B$12,P82&gt;$B$11),$D$11+($B$11-P82)/($B$11-$B$12)*($D$12-$D$11),IF(AND(P82&lt;=$B$11,P82&gt;$B$10),$D$10+($B$10-P82)/($B$10-$B$11)*($D$11-$D$10),IF(AND(P82&lt;=$B$10,P82&gt;$B$9),$D$9+($B$9-P82)/($B$9-$B$10)*($D$10-$D$9),IF(AND(P82&lt;=$B$9,P82&gt;$B$8),$D$8+($B$8-P82)/($B$8-$B$9)*($D$9-$D$8),IF(AND(P82&lt;=$B$8,P82&gt;$B$7),$D$7+($B$7-P82)/($B$7-$B$8)*($D$8-$D$7),IF(AND(P82&lt;=$B$7,P82&gt;$B$6),$D$6+($B$6-P82)/($B$6-$B$7)*($D$7-$D$6),IF(P82&lt;=$B$6,$D$6)))))))))))))))))</f>
        <v/>
      </c>
      <c r="R82" s="117"/>
      <c r="S82" s="117"/>
      <c r="T82" s="118" t="str">
        <f>IFERROR(R84/R83,"")</f>
        <v/>
      </c>
      <c r="U82" s="93"/>
      <c r="V82" s="115" t="str">
        <f>IF(W81="","","Frasco")</f>
        <v/>
      </c>
      <c r="W82" s="95" t="str">
        <f>IF('Entrada das massas'!S62="","",IF(AND('Entrada das massas'!S62&lt;=$B$20,'Entrada das massas'!S62&gt;$B$19),'Entrada das massas'!S62-((($C$20-$C$19)*($B$20-'Entrada das massas'!S62)+($B$19*$C$20)-($B$20*$C$20))/($B$19-$B$20)),IF(AND('Entrada das massas'!S62&lt;=$B$19,'Entrada das massas'!S62&gt;$B$18),'Entrada das massas'!S62-((($C$19-$C$18)*($B$19-'Entrada das massas'!S62)+($B$18*$C$19)-($B$19*$C$19))/($B$18-$B$19)),IF(AND('Entrada das massas'!S62&lt;=$B$18,'Entrada das massas'!S62&gt;$B$17),'Entrada das massas'!S62-((($C$18-$C$17)*($B$18-'Entrada das massas'!S62)+($B$17*$C$18)-($B$18*$C$18))/($B$17-$B$18)),IF(AND('Entrada das massas'!S62&lt;=$B$17,'Entrada das massas'!S62&gt;$B$16),'Entrada das massas'!S62-((($C$17-$C$16)*($B$17-'Entrada das massas'!S62)+($B$16*$C$17)-($B$17*$C$17))/($B$16-$B$17)),IF(AND('Entrada das massas'!S62&lt;=$B$16,'Entrada das massas'!S62&gt;$B$15),'Entrada das massas'!S62-((($C$16-$C$15)*($B$16-'Entrada das massas'!S62)+($B$15*$C$16)-($B$16*$C$16))/($B$15-$B$16)),IF(AND('Entrada das massas'!S62&lt;=$B$15,'Entrada das massas'!S62&gt;$B$14),'Entrada das massas'!S62-((($C$15-$C$14)*($B$15-'Entrada das massas'!S62)+($B$14*$C$15)-($B$15*$C$15))/($B$14-$B$15)),IF(AND('Entrada das massas'!S62&lt;=$B$14,'Entrada das massas'!S62&gt;$B$13),'Entrada das massas'!S62-((($C$14-$C$13)*($B$14-'Entrada das massas'!S62)+($B$13*$C$14)-($B$14*$C$14))/($B$13-$B$14)),IF(AND('Entrada das massas'!S62&lt;=$B$13,'Entrada das massas'!S62&gt;$B$12),'Entrada das massas'!S62-((($C$13-$C$12)*($B$13-'Entrada das massas'!S62)+($B$12*$C$13)-($B$13*$C$13))/($B$12-$B$13)),IF(AND('Entrada das massas'!S62&lt;=$B$12,'Entrada das massas'!S62&gt;$B$11),'Entrada das massas'!S62-((($C$12-$C$11)*($B$12-'Entrada das massas'!S62)+($B$11*$C$12)-($B$12*$C$12))/($B$11-$B$12)),IF(AND('Entrada das massas'!S62&lt;=$B$11,'Entrada das massas'!S62&gt;$B$10),'Entrada das massas'!S62-((($C$11-$C$10)*($B$11-'Entrada das massas'!S62)+($B$10*$C$11)-($B$11*$C$11))/($B$10-$B$11)),IF(AND('Entrada das massas'!S62&lt;=$B$10,'Entrada das massas'!S62&gt;$B$9),'Entrada das massas'!S62-((($C$10-$C$9)*($B$10-'Entrada das massas'!S62)+($B$9*$C$10)-($B$10*$C$10))/($B$9-$B$10)),IF(AND('Entrada das massas'!S62&lt;=$B$9,'Entrada das massas'!S62&gt;$B$8),'Entrada das massas'!S62-((($C$9-$C$8)*($B$9-'Entrada das massas'!S62)+($B$8*$C$9)-($B$9*$C$9))/($B$8-$B$9)),IF(AND('Entrada das massas'!S62&lt;=$B$8,'Entrada das massas'!S62&gt;$B$7),'Entrada das massas'!S62-((($C$8-$C$7)*($B$8-'Entrada das massas'!S62)+($B$7*$C$8)-($B$8*$C$8))/($B$7-$B$8)),IF(AND('Entrada das massas'!S62&lt;=$B$7,'Entrada das massas'!S62&gt;$B$6),'Entrada das massas'!S62-((($C$7-$C$6)*($B$7-'Entrada das massas'!S62)+($B$6*$C$7)-($B$7*$C$7))/($B$6-$B$7)),IF(AND('Entrada das massas'!S62&lt;=$B$6,'Entrada das massas'!S62&gt;$B$5),'Entrada das massas'!S62-((($C$6-$C$5)*($B$6-'Entrada das massas'!S62)+($B$5*$C$6)-($B$6*$C$6))/($B$5-$B$6)),IF('Entrada das massas'!S62&lt;=$B$5,'Entrada das massas'!S62-$C$5)))))))))))))))))</f>
        <v/>
      </c>
      <c r="X82" s="117" t="str">
        <f>IF(W82="","",(IF(AND(W82&lt;=$B$20,W82&gt;$B$19),$D$19+($B$19-W82)/($B$19-$B$20)*($D$20-$D$19),IF(AND(W82&lt;=$B$19,W82&gt;$B$18),$D$18+($B$18-W82)/($B$18-$B$19)*($D$19-$D$18),IF(AND(W82&lt;=$B$18,W82&gt;$B$17),$D$17+($B$17-W82)/($B$17-$B$18)*($D$18-$D$17),IF(AND(W82&lt;=$B$17,W82&gt;$B$16),$D$16+($B$16-W82)/($B$16-$B$17)*($D$17-$D$16),IF(AND(W82&lt;=$B$16,W82&gt;$B$15),$D$15+($B$15-W82)/($B$15-$B$16)*($D$16-$D$15),IF(AND(W82&lt;=$B$15,W82&gt;$B$14),$D$14+($B$14-W82)/($B$14-$B$15)*($D$15-$D$14),IF(AND(W82&lt;=$B$14,W82&gt;$B$13),$D$13+($B$13-W82)/($B$13-$B$14)*($D$14-$D$13),IF(AND(W82&lt;=$B$13,W82&gt;$B$12),$D$12+($B$12-W82)/($B$12-$B$13)*($D$13-$D$12),IF(AND(W82&lt;=$B$12,W82&gt;$B$11),$D$11+($B$11-W82)/($B$11-$B$12)*($D$12-$D$11),IF(AND(W82&lt;=$B$11,W82&gt;$B$10),$D$10+($B$10-W82)/($B$10-$B$11)*($D$11-$D$10),IF(AND(W82&lt;=$B$10,W82&gt;$B$9),$D$9+($B$9-W82)/($B$9-$B$10)*($D$10-$D$9),IF(AND(W82&lt;=$B$9,W82&gt;$B$8),$D$8+($B$8-W82)/($B$8-$B$9)*($D$9-$D$8),IF(AND(W82&lt;=$B$8,W82&gt;$B$7),$D$7+($B$7-W82)/($B$7-$B$8)*($D$8-$D$7),IF(AND(W82&lt;=$B$7,W82&gt;$B$6),$D$6+($B$6-W82)/($B$6-$B$7)*($D$7-$D$6),IF(W82&lt;=$B$6,$D$6)))))))))))))))))</f>
        <v/>
      </c>
      <c r="Y82" s="117"/>
      <c r="Z82" s="117"/>
      <c r="AA82" s="118" t="str">
        <f>IFERROR(Y84/Y83,"")</f>
        <v/>
      </c>
      <c r="AB82" s="104"/>
      <c r="AC82" s="104"/>
      <c r="AE82" s="88"/>
      <c r="AF82" s="160"/>
    </row>
    <row r="83" spans="1:32" x14ac:dyDescent="0.2">
      <c r="A83" s="89"/>
      <c r="B83" s="101"/>
      <c r="C83" s="89"/>
      <c r="D83" s="89"/>
      <c r="E83" s="89"/>
      <c r="F83" s="89"/>
      <c r="H83" s="115" t="str">
        <f>IF(I81="","","Frasco + Amostra")</f>
        <v/>
      </c>
      <c r="I83" s="116" t="str">
        <f>IF('Entrada das massas'!I63="","",IF(AND('Entrada das massas'!I63&lt;=$B$20,'Entrada das massas'!I63&gt;$B$19),'Entrada das massas'!I63-((($C$20-$C$19)*($B$20-'Entrada das massas'!I63)+($B$19*$C$20)-($B$20*$C$20))/($B$19-$B$20)),IF(AND('Entrada das massas'!I63&lt;=$B$19,'Entrada das massas'!I63&gt;$B$18),'Entrada das massas'!I63-((($C$19-$C$18)*($B$19-'Entrada das massas'!I63)+($B$18*$C$19)-($B$19*$C$19))/($B$18-$B$19)),IF(AND('Entrada das massas'!I63&lt;=$B$18,'Entrada das massas'!I63&gt;$B$17),'Entrada das massas'!I63-((($C$18-$C$17)*($B$18-'Entrada das massas'!I63)+($B$17*$C$18)-($B$18*$C$18))/($B$17-$B$18)),IF(AND('Entrada das massas'!I63&lt;=$B$17,'Entrada das massas'!I63&gt;$B$16),'Entrada das massas'!I63-((($C$17-$C$16)*($B$17-'Entrada das massas'!I63)+($B$16*$C$17)-($B$17*$C$17))/($B$16-$B$17)),IF(AND('Entrada das massas'!I63&lt;=$B$16,'Entrada das massas'!I63&gt;$B$15),'Entrada das massas'!I63-((($C$16-$C$15)*($B$16-'Entrada das massas'!I63)+($B$15*$C$16)-($B$16*$C$16))/($B$15-$B$16)),IF(AND('Entrada das massas'!I63&lt;=$B$15,'Entrada das massas'!I63&gt;$B$14),'Entrada das massas'!I63-((($C$15-$C$14)*($B$15-'Entrada das massas'!I63)+($B$14*$C$15)-($B$15*$C$15))/($B$14-$B$15)),IF(AND('Entrada das massas'!I63&lt;=$B$14,'Entrada das massas'!I63&gt;$B$13),'Entrada das massas'!I63-((($C$14-$C$13)*($B$14-'Entrada das massas'!I63)+($B$13*$C$14)-($B$14*$C$14))/($B$13-$B$14)),IF(AND('Entrada das massas'!I63&lt;=$B$13,'Entrada das massas'!I63&gt;$B$12),'Entrada das massas'!I63-((($C$13-$C$12)*($B$13-'Entrada das massas'!I63)+($B$12*$C$13)-($B$13*$C$13))/($B$12-$B$13)),IF(AND('Entrada das massas'!I63&lt;=$B$12,'Entrada das massas'!I63&gt;$B$11),'Entrada das massas'!I63-((($C$12-$C$11)*($B$12-'Entrada das massas'!I63)+($B$11*$C$12)-($B$12*$C$12))/($B$11-$B$12)),IF(AND('Entrada das massas'!I63&lt;=$B$11,'Entrada das massas'!I63&gt;$B$10),'Entrada das massas'!I63-((($C$11-$C$10)*($B$11-'Entrada das massas'!I63)+($B$10*$C$11)-($B$11*$C$11))/($B$10-$B$11)),IF(AND('Entrada das massas'!I63&lt;=$B$10,'Entrada das massas'!I63&gt;$B$9),'Entrada das massas'!I63-((($C$10-$C$9)*($B$10-'Entrada das massas'!I63)+($B$9*$C$10)-($B$10*$C$10))/($B$9-$B$10)),IF(AND('Entrada das massas'!I63&lt;=$B$9,'Entrada das massas'!I63&gt;$B$8),'Entrada das massas'!I63-((($C$9-$C$8)*($B$9-'Entrada das massas'!I63)+($B$8*$C$9)-($B$9*$C$9))/($B$8-$B$9)),IF(AND('Entrada das massas'!I63&lt;=$B$8,'Entrada das massas'!I63&gt;$B$7),'Entrada das massas'!I63-((($C$8-$C$7)*($B$8-'Entrada das massas'!I63)+($B$7*$C$8)-($B$8*$C$8))/($B$7-$B$8)),IF(AND('Entrada das massas'!I63&lt;=$B$7,'Entrada das massas'!I63&gt;$B$6),'Entrada das massas'!I63-((($C$7-$C$6)*($B$7-'Entrada das massas'!I63)+($B$6*$C$7)-($B$7*$C$7))/($B$6-$B$7)),IF(AND('Entrada das massas'!I63&lt;=$B$6,'Entrada das massas'!I63&gt;$B$5),'Entrada das massas'!I63-((($C$6-$C$5)*($B$6-'Entrada das massas'!I63)+($B$5*$C$6)-($B$6*$C$6))/($B$5-$B$6)),IF('Entrada das massas'!I63&lt;=$B$5,'Entrada das massas'!I63-$C$5)))))))))))))))))</f>
        <v/>
      </c>
      <c r="J83" s="117" t="str">
        <f t="shared" ref="J83:J84" si="36">IF(I83="","",(IF(AND(I83&lt;=$B$20,I83&gt;$B$19),$D$19+($B$19-I83)/($B$19-$B$20)*($D$20-$D$19),IF(AND(I83&lt;=$B$19,I83&gt;$B$18),$D$18+($B$18-I83)/($B$18-$B$19)*($D$19-$D$18),IF(AND(I83&lt;=$B$18,I83&gt;$B$17),$D$17+($B$17-I83)/($B$17-$B$18)*($D$18-$D$17),IF(AND(I83&lt;=$B$17,I83&gt;$B$16),$D$16+($B$16-I83)/($B$16-$B$17)*($D$17-$D$16),IF(AND(I83&lt;=$B$16,I83&gt;$B$15),$D$15+($B$15-I83)/($B$15-$B$16)*($D$16-$D$15),IF(AND(I83&lt;=$B$15,I83&gt;$B$14),$D$14+($B$14-I83)/($B$14-$B$15)*($D$15-$D$14),IF(AND(I83&lt;=$B$14,I83&gt;$B$13),$D$13+($B$13-I83)/($B$13-$B$14)*($D$14-$D$13),IF(AND(I83&lt;=$B$13,I83&gt;$B$12),$D$12+($B$12-I83)/($B$12-$B$13)*($D$13-$D$12),IF(AND(I83&lt;=$B$12,I83&gt;$B$11),$D$11+($B$11-I83)/($B$11-$B$12)*($D$12-$D$11),IF(AND(I83&lt;=$B$11,I83&gt;$B$10),$D$10+($B$10-I83)/($B$10-$B$11)*($D$11-$D$10),IF(AND(I83&lt;=$B$10,I83&gt;$B$9),$D$9+($B$9-I83)/($B$9-$B$10)*($D$10-$D$9),IF(AND(I83&lt;=$B$9,I83&gt;$B$8),$D$8+($B$8-I83)/($B$8-$B$9)*($D$9-$D$8),IF(AND(I83&lt;=$B$8,I83&gt;$B$7),$D$7+($B$7-I83)/($B$7-$B$8)*($D$8-$D$7),IF(AND(I83&lt;=$B$7,I83&gt;$B$6),$D$6+($B$6-I83)/($B$6-$B$7)*($D$7-$D$6),IF(I83&lt;=$B$6,$D$6)))))))))))))))))</f>
        <v/>
      </c>
      <c r="K83" s="120" t="str">
        <f>IF(I82="","",I83-I82)</f>
        <v/>
      </c>
      <c r="L83" s="117" t="str">
        <f>IF(J82="","",SQRT(SUMSQ(J82:J83)))</f>
        <v/>
      </c>
      <c r="M83" s="93" t="str">
        <f>IF(I81="","","Amostra")</f>
        <v/>
      </c>
      <c r="N83" s="118"/>
      <c r="O83" s="115" t="str">
        <f>IF(P81="","","Frasco + Amostra")</f>
        <v/>
      </c>
      <c r="P83" s="95" t="str">
        <f>IF('Entrada das massas'!N63="","",IF(AND('Entrada das massas'!N63&lt;=$B$20,'Entrada das massas'!N63&gt;$B$19),'Entrada das massas'!N63-((($C$20-$C$19)*($B$20-'Entrada das massas'!N63)+($B$19*$C$20)-($B$20*$C$20))/($B$19-$B$20)),IF(AND('Entrada das massas'!N63&lt;=$B$19,'Entrada das massas'!N63&gt;$B$18),'Entrada das massas'!N63-((($C$19-$C$18)*($B$19-'Entrada das massas'!N63)+($B$18*$C$19)-($B$19*$C$19))/($B$18-$B$19)),IF(AND('Entrada das massas'!N63&lt;=$B$18,'Entrada das massas'!N63&gt;$B$17),'Entrada das massas'!N63-((($C$18-$C$17)*($B$18-'Entrada das massas'!N63)+($B$17*$C$18)-($B$18*$C$18))/($B$17-$B$18)),IF(AND('Entrada das massas'!N63&lt;=$B$17,'Entrada das massas'!N63&gt;$B$16),'Entrada das massas'!N63-((($C$17-$C$16)*($B$17-'Entrada das massas'!N63)+($B$16*$C$17)-($B$17*$C$17))/($B$16-$B$17)),IF(AND('Entrada das massas'!N63&lt;=$B$16,'Entrada das massas'!N63&gt;$B$15),'Entrada das massas'!N63-((($C$16-$C$15)*($B$16-'Entrada das massas'!N63)+($B$15*$C$16)-($B$16*$C$16))/($B$15-$B$16)),IF(AND('Entrada das massas'!N63&lt;=$B$15,'Entrada das massas'!N63&gt;$B$14),'Entrada das massas'!N63-((($C$15-$C$14)*($B$15-'Entrada das massas'!N63)+($B$14*$C$15)-($B$15*$C$15))/($B$14-$B$15)),IF(AND('Entrada das massas'!N63&lt;=$B$14,'Entrada das massas'!N63&gt;$B$13),'Entrada das massas'!N63-((($C$14-$C$13)*($B$14-'Entrada das massas'!N63)+($B$13*$C$14)-($B$14*$C$14))/($B$13-$B$14)),IF(AND('Entrada das massas'!N63&lt;=$B$13,'Entrada das massas'!N63&gt;$B$12),'Entrada das massas'!N63-((($C$13-$C$12)*($B$13-'Entrada das massas'!N63)+($B$12*$C$13)-($B$13*$C$13))/($B$12-$B$13)),IF(AND('Entrada das massas'!N63&lt;=$B$12,'Entrada das massas'!N63&gt;$B$11),'Entrada das massas'!N63-((($C$12-$C$11)*($B$12-'Entrada das massas'!N63)+($B$11*$C$12)-($B$12*$C$12))/($B$11-$B$12)),IF(AND('Entrada das massas'!N63&lt;=$B$11,'Entrada das massas'!N63&gt;$B$10),'Entrada das massas'!N63-((($C$11-$C$10)*($B$11-'Entrada das massas'!N63)+($B$10*$C$11)-($B$11*$C$11))/($B$10-$B$11)),IF(AND('Entrada das massas'!N63&lt;=$B$10,'Entrada das massas'!N63&gt;$B$9),'Entrada das massas'!N63-((($C$10-$C$9)*($B$10-'Entrada das massas'!N63)+($B$9*$C$10)-($B$10*$C$10))/($B$9-$B$10)),IF(AND('Entrada das massas'!N63&lt;=$B$9,'Entrada das massas'!N63&gt;$B$8),'Entrada das massas'!N63-((($C$9-$C$8)*($B$9-'Entrada das massas'!N63)+($B$8*$C$9)-($B$9*$C$9))/($B$8-$B$9)),IF(AND('Entrada das massas'!N63&lt;=$B$8,'Entrada das massas'!N63&gt;$B$7),'Entrada das massas'!N63-((($C$8-$C$7)*($B$8-'Entrada das massas'!N63)+($B$7*$C$8)-($B$8*$C$8))/($B$7-$B$8)),IF(AND('Entrada das massas'!N63&lt;=$B$7,'Entrada das massas'!N63&gt;$B$6),'Entrada das massas'!N63-((($C$7-$C$6)*($B$7-'Entrada das massas'!N63)+($B$6*$C$7)-($B$7*$C$7))/($B$6-$B$7)),IF(AND('Entrada das massas'!N63&lt;=$B$6,'Entrada das massas'!N63&gt;$B$5),'Entrada das massas'!N63-((($C$6-$C$5)*($B$6-'Entrada das massas'!N63)+($B$5*$C$6)-($B$6*$C$6))/($B$5-$B$6)),IF('Entrada das massas'!N63&lt;=$B$5,'Entrada das massas'!N63-$C$5)))))))))))))))))</f>
        <v/>
      </c>
      <c r="Q83" s="117" t="str">
        <f t="shared" ref="Q83:Q84" si="37">IF(P83="","",(IF(AND(P83&lt;=$B$20,P83&gt;$B$19),$D$19+($B$19-P83)/($B$19-$B$20)*($D$20-$D$19),IF(AND(P83&lt;=$B$19,P83&gt;$B$18),$D$18+($B$18-P83)/($B$18-$B$19)*($D$19-$D$18),IF(AND(P83&lt;=$B$18,P83&gt;$B$17),$D$17+($B$17-P83)/($B$17-$B$18)*($D$18-$D$17),IF(AND(P83&lt;=$B$17,P83&gt;$B$16),$D$16+($B$16-P83)/($B$16-$B$17)*($D$17-$D$16),IF(AND(P83&lt;=$B$16,P83&gt;$B$15),$D$15+($B$15-P83)/($B$15-$B$16)*($D$16-$D$15),IF(AND(P83&lt;=$B$15,P83&gt;$B$14),$D$14+($B$14-P83)/($B$14-$B$15)*($D$15-$D$14),IF(AND(P83&lt;=$B$14,P83&gt;$B$13),$D$13+($B$13-P83)/($B$13-$B$14)*($D$14-$D$13),IF(AND(P83&lt;=$B$13,P83&gt;$B$12),$D$12+($B$12-P83)/($B$12-$B$13)*($D$13-$D$12),IF(AND(P83&lt;=$B$12,P83&gt;$B$11),$D$11+($B$11-P83)/($B$11-$B$12)*($D$12-$D$11),IF(AND(P83&lt;=$B$11,P83&gt;$B$10),$D$10+($B$10-P83)/($B$10-$B$11)*($D$11-$D$10),IF(AND(P83&lt;=$B$10,P83&gt;$B$9),$D$9+($B$9-P83)/($B$9-$B$10)*($D$10-$D$9),IF(AND(P83&lt;=$B$9,P83&gt;$B$8),$D$8+($B$8-P83)/($B$8-$B$9)*($D$9-$D$8),IF(AND(P83&lt;=$B$8,P83&gt;$B$7),$D$7+($B$7-P83)/($B$7-$B$8)*($D$8-$D$7),IF(AND(P83&lt;=$B$7,P83&gt;$B$6),$D$6+($B$6-P83)/($B$6-$B$7)*($D$7-$D$6),IF(P83&lt;=$B$6,$D$6)))))))))))))))))</f>
        <v/>
      </c>
      <c r="R83" s="120" t="str">
        <f>IF(P82="","",P83-P82)</f>
        <v/>
      </c>
      <c r="S83" s="117" t="str">
        <f>IF(Q82="","",SQRT(SUMSQ(Q82:Q83)))</f>
        <v/>
      </c>
      <c r="T83" s="93" t="str">
        <f>IF(P81="","","Amostra")</f>
        <v/>
      </c>
      <c r="U83" s="118"/>
      <c r="V83" s="115" t="str">
        <f>IF(W81="","","Frasco + Amostra")</f>
        <v/>
      </c>
      <c r="W83" s="95" t="str">
        <f>IF('Entrada das massas'!S63="","",IF(AND('Entrada das massas'!S63&lt;=$B$20,'Entrada das massas'!S63&gt;$B$19),'Entrada das massas'!S63-((($C$20-$C$19)*($B$20-'Entrada das massas'!S63)+($B$19*$C$20)-($B$20*$C$20))/($B$19-$B$20)),IF(AND('Entrada das massas'!S63&lt;=$B$19,'Entrada das massas'!S63&gt;$B$18),'Entrada das massas'!S63-((($C$19-$C$18)*($B$19-'Entrada das massas'!S63)+($B$18*$C$19)-($B$19*$C$19))/($B$18-$B$19)),IF(AND('Entrada das massas'!S63&lt;=$B$18,'Entrada das massas'!S63&gt;$B$17),'Entrada das massas'!S63-((($C$18-$C$17)*($B$18-'Entrada das massas'!S63)+($B$17*$C$18)-($B$18*$C$18))/($B$17-$B$18)),IF(AND('Entrada das massas'!S63&lt;=$B$17,'Entrada das massas'!S63&gt;$B$16),'Entrada das massas'!S63-((($C$17-$C$16)*($B$17-'Entrada das massas'!S63)+($B$16*$C$17)-($B$17*$C$17))/($B$16-$B$17)),IF(AND('Entrada das massas'!S63&lt;=$B$16,'Entrada das massas'!S63&gt;$B$15),'Entrada das massas'!S63-((($C$16-$C$15)*($B$16-'Entrada das massas'!S63)+($B$15*$C$16)-($B$16*$C$16))/($B$15-$B$16)),IF(AND('Entrada das massas'!S63&lt;=$B$15,'Entrada das massas'!S63&gt;$B$14),'Entrada das massas'!S63-((($C$15-$C$14)*($B$15-'Entrada das massas'!S63)+($B$14*$C$15)-($B$15*$C$15))/($B$14-$B$15)),IF(AND('Entrada das massas'!S63&lt;=$B$14,'Entrada das massas'!S63&gt;$B$13),'Entrada das massas'!S63-((($C$14-$C$13)*($B$14-'Entrada das massas'!S63)+($B$13*$C$14)-($B$14*$C$14))/($B$13-$B$14)),IF(AND('Entrada das massas'!S63&lt;=$B$13,'Entrada das massas'!S63&gt;$B$12),'Entrada das massas'!S63-((($C$13-$C$12)*($B$13-'Entrada das massas'!S63)+($B$12*$C$13)-($B$13*$C$13))/($B$12-$B$13)),IF(AND('Entrada das massas'!S63&lt;=$B$12,'Entrada das massas'!S63&gt;$B$11),'Entrada das massas'!S63-((($C$12-$C$11)*($B$12-'Entrada das massas'!S63)+($B$11*$C$12)-($B$12*$C$12))/($B$11-$B$12)),IF(AND('Entrada das massas'!S63&lt;=$B$11,'Entrada das massas'!S63&gt;$B$10),'Entrada das massas'!S63-((($C$11-$C$10)*($B$11-'Entrada das massas'!S63)+($B$10*$C$11)-($B$11*$C$11))/($B$10-$B$11)),IF(AND('Entrada das massas'!S63&lt;=$B$10,'Entrada das massas'!S63&gt;$B$9),'Entrada das massas'!S63-((($C$10-$C$9)*($B$10-'Entrada das massas'!S63)+($B$9*$C$10)-($B$10*$C$10))/($B$9-$B$10)),IF(AND('Entrada das massas'!S63&lt;=$B$9,'Entrada das massas'!S63&gt;$B$8),'Entrada das massas'!S63-((($C$9-$C$8)*($B$9-'Entrada das massas'!S63)+($B$8*$C$9)-($B$9*$C$9))/($B$8-$B$9)),IF(AND('Entrada das massas'!S63&lt;=$B$8,'Entrada das massas'!S63&gt;$B$7),'Entrada das massas'!S63-((($C$8-$C$7)*($B$8-'Entrada das massas'!S63)+($B$7*$C$8)-($B$8*$C$8))/($B$7-$B$8)),IF(AND('Entrada das massas'!S63&lt;=$B$7,'Entrada das massas'!S63&gt;$B$6),'Entrada das massas'!S63-((($C$7-$C$6)*($B$7-'Entrada das massas'!S63)+($B$6*$C$7)-($B$7*$C$7))/($B$6-$B$7)),IF(AND('Entrada das massas'!S63&lt;=$B$6,'Entrada das massas'!S63&gt;$B$5),'Entrada das massas'!S63-((($C$6-$C$5)*($B$6-'Entrada das massas'!S63)+($B$5*$C$6)-($B$6*$C$6))/($B$5-$B$6)),IF('Entrada das massas'!S63&lt;=$B$5,'Entrada das massas'!S63-$C$5)))))))))))))))))</f>
        <v/>
      </c>
      <c r="X83" s="117" t="str">
        <f t="shared" ref="X83:X84" si="38">IF(W83="","",(IF(AND(W83&lt;=$B$20,W83&gt;$B$19),$D$19+($B$19-W83)/($B$19-$B$20)*($D$20-$D$19),IF(AND(W83&lt;=$B$19,W83&gt;$B$18),$D$18+($B$18-W83)/($B$18-$B$19)*($D$19-$D$18),IF(AND(W83&lt;=$B$18,W83&gt;$B$17),$D$17+($B$17-W83)/($B$17-$B$18)*($D$18-$D$17),IF(AND(W83&lt;=$B$17,W83&gt;$B$16),$D$16+($B$16-W83)/($B$16-$B$17)*($D$17-$D$16),IF(AND(W83&lt;=$B$16,W83&gt;$B$15),$D$15+($B$15-W83)/($B$15-$B$16)*($D$16-$D$15),IF(AND(W83&lt;=$B$15,W83&gt;$B$14),$D$14+($B$14-W83)/($B$14-$B$15)*($D$15-$D$14),IF(AND(W83&lt;=$B$14,W83&gt;$B$13),$D$13+($B$13-W83)/($B$13-$B$14)*($D$14-$D$13),IF(AND(W83&lt;=$B$13,W83&gt;$B$12),$D$12+($B$12-W83)/($B$12-$B$13)*($D$13-$D$12),IF(AND(W83&lt;=$B$12,W83&gt;$B$11),$D$11+($B$11-W83)/($B$11-$B$12)*($D$12-$D$11),IF(AND(W83&lt;=$B$11,W83&gt;$B$10),$D$10+($B$10-W83)/($B$10-$B$11)*($D$11-$D$10),IF(AND(W83&lt;=$B$10,W83&gt;$B$9),$D$9+($B$9-W83)/($B$9-$B$10)*($D$10-$D$9),IF(AND(W83&lt;=$B$9,W83&gt;$B$8),$D$8+($B$8-W83)/($B$8-$B$9)*($D$9-$D$8),IF(AND(W83&lt;=$B$8,W83&gt;$B$7),$D$7+($B$7-W83)/($B$7-$B$8)*($D$8-$D$7),IF(AND(W83&lt;=$B$7,W83&gt;$B$6),$D$6+($B$6-W83)/($B$6-$B$7)*($D$7-$D$6),IF(W83&lt;=$B$6,$D$6)))))))))))))))))</f>
        <v/>
      </c>
      <c r="Y83" s="120" t="str">
        <f>IF(W82="","",W83-W82)</f>
        <v/>
      </c>
      <c r="Z83" s="117" t="str">
        <f>IF(X82="","",SQRT(SUMSQ(X82:X83)))</f>
        <v/>
      </c>
      <c r="AA83" s="93" t="str">
        <f>IF(W81="","","Amostra")</f>
        <v/>
      </c>
      <c r="AB83" s="104"/>
      <c r="AC83" s="104"/>
      <c r="AE83" s="88"/>
      <c r="AF83" s="160"/>
    </row>
    <row r="84" spans="1:32" x14ac:dyDescent="0.2">
      <c r="H84" s="123" t="str">
        <f>IF(I81="","","Massa final")</f>
        <v/>
      </c>
      <c r="I84" s="116" t="str">
        <f>IF('Entrada das massas'!I64="","",IF(AND('Entrada das massas'!I64&lt;=$B$20,'Entrada das massas'!I64&gt;$B$19),'Entrada das massas'!I64-((($C$20-$C$19)*($B$20-'Entrada das massas'!I64)+($B$19*$C$20)-($B$20*$C$20))/($B$19-$B$20)),IF(AND('Entrada das massas'!I64&lt;=$B$19,'Entrada das massas'!I64&gt;$B$18),'Entrada das massas'!I64-((($C$19-$C$18)*($B$19-'Entrada das massas'!I64)+($B$18*$C$19)-($B$19*$C$19))/($B$18-$B$19)),IF(AND('Entrada das massas'!I64&lt;=$B$18,'Entrada das massas'!I64&gt;$B$17),'Entrada das massas'!I64-((($C$18-$C$17)*($B$18-'Entrada das massas'!I64)+($B$17*$C$18)-($B$18*$C$18))/($B$17-$B$18)),IF(AND('Entrada das massas'!I64&lt;=$B$17,'Entrada das massas'!I64&gt;$B$16),'Entrada das massas'!I64-((($C$17-$C$16)*($B$17-'Entrada das massas'!I64)+($B$16*$C$17)-($B$17*$C$17))/($B$16-$B$17)),IF(AND('Entrada das massas'!I64&lt;=$B$16,'Entrada das massas'!I64&gt;$B$15),'Entrada das massas'!I64-((($C$16-$C$15)*($B$16-'Entrada das massas'!I64)+($B$15*$C$16)-($B$16*$C$16))/($B$15-$B$16)),IF(AND('Entrada das massas'!I64&lt;=$B$15,'Entrada das massas'!I64&gt;$B$14),'Entrada das massas'!I64-((($C$15-$C$14)*($B$15-'Entrada das massas'!I64)+($B$14*$C$15)-($B$15*$C$15))/($B$14-$B$15)),IF(AND('Entrada das massas'!I64&lt;=$B$14,'Entrada das massas'!I64&gt;$B$13),'Entrada das massas'!I64-((($C$14-$C$13)*($B$14-'Entrada das massas'!I64)+($B$13*$C$14)-($B$14*$C$14))/($B$13-$B$14)),IF(AND('Entrada das massas'!I64&lt;=$B$13,'Entrada das massas'!I64&gt;$B$12),'Entrada das massas'!I64-((($C$13-$C$12)*($B$13-'Entrada das massas'!I64)+($B$12*$C$13)-($B$13*$C$13))/($B$12-$B$13)),IF(AND('Entrada das massas'!I64&lt;=$B$12,'Entrada das massas'!I64&gt;$B$11),'Entrada das massas'!I64-((($C$12-$C$11)*($B$12-'Entrada das massas'!I64)+($B$11*$C$12)-($B$12*$C$12))/($B$11-$B$12)),IF(AND('Entrada das massas'!I64&lt;=$B$11,'Entrada das massas'!I64&gt;$B$10),'Entrada das massas'!I64-((($C$11-$C$10)*($B$11-'Entrada das massas'!I64)+($B$10*$C$11)-($B$11*$C$11))/($B$10-$B$11)),IF(AND('Entrada das massas'!I64&lt;=$B$10,'Entrada das massas'!I64&gt;$B$9),'Entrada das massas'!I64-((($C$10-$C$9)*($B$10-'Entrada das massas'!I64)+($B$9*$C$10)-($B$10*$C$10))/($B$9-$B$10)),IF(AND('Entrada das massas'!I64&lt;=$B$9,'Entrada das massas'!I64&gt;$B$8),'Entrada das massas'!I64-((($C$9-$C$8)*($B$9-'Entrada das massas'!I64)+($B$8*$C$9)-($B$9*$C$9))/($B$8-$B$9)),IF(AND('Entrada das massas'!I64&lt;=$B$8,'Entrada das massas'!I64&gt;$B$7),'Entrada das massas'!I64-((($C$8-$C$7)*($B$8-'Entrada das massas'!I64)+($B$7*$C$8)-($B$8*$C$8))/($B$7-$B$8)),IF(AND('Entrada das massas'!I64&lt;=$B$7,'Entrada das massas'!I64&gt;$B$6),'Entrada das massas'!I64-((($C$7-$C$6)*($B$7-'Entrada das massas'!I64)+($B$6*$C$7)-($B$7*$C$7))/($B$6-$B$7)),IF(AND('Entrada das massas'!I64&lt;=$B$6,'Entrada das massas'!I64&gt;$B$5),'Entrada das massas'!I64-((($C$6-$C$5)*($B$6-'Entrada das massas'!I64)+($B$5*$C$6)-($B$6*$C$6))/($B$5-$B$6)),IF('Entrada das massas'!I64&lt;=$B$5,'Entrada das massas'!I64-$C$5)))))))))))))))))</f>
        <v/>
      </c>
      <c r="J84" s="117" t="str">
        <f t="shared" si="36"/>
        <v/>
      </c>
      <c r="K84" s="120" t="str">
        <f>IF(I82="","",I84-I82)</f>
        <v/>
      </c>
      <c r="L84" s="117" t="str">
        <f>IF(J82="","",SQRT(SUMSQ(J82,J84)))</f>
        <v/>
      </c>
      <c r="M84" s="93" t="str">
        <f>IF(I81="","","Solução")</f>
        <v/>
      </c>
      <c r="N84" s="93"/>
      <c r="O84" s="123" t="str">
        <f>IF(P81="","","Massa final")</f>
        <v/>
      </c>
      <c r="P84" s="95" t="str">
        <f>IF('Entrada das massas'!N64="","",IF(AND('Entrada das massas'!N64&lt;=$B$20,'Entrada das massas'!N64&gt;$B$19),'Entrada das massas'!N64-((($C$20-$C$19)*($B$20-'Entrada das massas'!N64)+($B$19*$C$20)-($B$20*$C$20))/($B$19-$B$20)),IF(AND('Entrada das massas'!N64&lt;=$B$19,'Entrada das massas'!N64&gt;$B$18),'Entrada das massas'!N64-((($C$19-$C$18)*($B$19-'Entrada das massas'!N64)+($B$18*$C$19)-($B$19*$C$19))/($B$18-$B$19)),IF(AND('Entrada das massas'!N64&lt;=$B$18,'Entrada das massas'!N64&gt;$B$17),'Entrada das massas'!N64-((($C$18-$C$17)*($B$18-'Entrada das massas'!N64)+($B$17*$C$18)-($B$18*$C$18))/($B$17-$B$18)),IF(AND('Entrada das massas'!N64&lt;=$B$17,'Entrada das massas'!N64&gt;$B$16),'Entrada das massas'!N64-((($C$17-$C$16)*($B$17-'Entrada das massas'!N64)+($B$16*$C$17)-($B$17*$C$17))/($B$16-$B$17)),IF(AND('Entrada das massas'!N64&lt;=$B$16,'Entrada das massas'!N64&gt;$B$15),'Entrada das massas'!N64-((($C$16-$C$15)*($B$16-'Entrada das massas'!N64)+($B$15*$C$16)-($B$16*$C$16))/($B$15-$B$16)),IF(AND('Entrada das massas'!N64&lt;=$B$15,'Entrada das massas'!N64&gt;$B$14),'Entrada das massas'!N64-((($C$15-$C$14)*($B$15-'Entrada das massas'!N64)+($B$14*$C$15)-($B$15*$C$15))/($B$14-$B$15)),IF(AND('Entrada das massas'!N64&lt;=$B$14,'Entrada das massas'!N64&gt;$B$13),'Entrada das massas'!N64-((($C$14-$C$13)*($B$14-'Entrada das massas'!N64)+($B$13*$C$14)-($B$14*$C$14))/($B$13-$B$14)),IF(AND('Entrada das massas'!N64&lt;=$B$13,'Entrada das massas'!N64&gt;$B$12),'Entrada das massas'!N64-((($C$13-$C$12)*($B$13-'Entrada das massas'!N64)+($B$12*$C$13)-($B$13*$C$13))/($B$12-$B$13)),IF(AND('Entrada das massas'!N64&lt;=$B$12,'Entrada das massas'!N64&gt;$B$11),'Entrada das massas'!N64-((($C$12-$C$11)*($B$12-'Entrada das massas'!N64)+($B$11*$C$12)-($B$12*$C$12))/($B$11-$B$12)),IF(AND('Entrada das massas'!N64&lt;=$B$11,'Entrada das massas'!N64&gt;$B$10),'Entrada das massas'!N64-((($C$11-$C$10)*($B$11-'Entrada das massas'!N64)+($B$10*$C$11)-($B$11*$C$11))/($B$10-$B$11)),IF(AND('Entrada das massas'!N64&lt;=$B$10,'Entrada das massas'!N64&gt;$B$9),'Entrada das massas'!N64-((($C$10-$C$9)*($B$10-'Entrada das massas'!N64)+($B$9*$C$10)-($B$10*$C$10))/($B$9-$B$10)),IF(AND('Entrada das massas'!N64&lt;=$B$9,'Entrada das massas'!N64&gt;$B$8),'Entrada das massas'!N64-((($C$9-$C$8)*($B$9-'Entrada das massas'!N64)+($B$8*$C$9)-($B$9*$C$9))/($B$8-$B$9)),IF(AND('Entrada das massas'!N64&lt;=$B$8,'Entrada das massas'!N64&gt;$B$7),'Entrada das massas'!N64-((($C$8-$C$7)*($B$8-'Entrada das massas'!N64)+($B$7*$C$8)-($B$8*$C$8))/($B$7-$B$8)),IF(AND('Entrada das massas'!N64&lt;=$B$7,'Entrada das massas'!N64&gt;$B$6),'Entrada das massas'!N64-((($C$7-$C$6)*($B$7-'Entrada das massas'!N64)+($B$6*$C$7)-($B$7*$C$7))/($B$6-$B$7)),IF(AND('Entrada das massas'!N64&lt;=$B$6,'Entrada das massas'!N64&gt;$B$5),'Entrada das massas'!N64-((($C$6-$C$5)*($B$6-'Entrada das massas'!N64)+($B$5*$C$6)-($B$6*$C$6))/($B$5-$B$6)),IF('Entrada das massas'!N64&lt;=$B$5,'Entrada das massas'!N64-$C$5)))))))))))))))))</f>
        <v/>
      </c>
      <c r="Q84" s="117" t="str">
        <f t="shared" si="37"/>
        <v/>
      </c>
      <c r="R84" s="120" t="str">
        <f>IF(P82="","",P84-P82)</f>
        <v/>
      </c>
      <c r="S84" s="117" t="str">
        <f>IF(Q82="","",SQRT(SUMSQ(Q82,Q84)))</f>
        <v/>
      </c>
      <c r="T84" s="93" t="str">
        <f>IF(P81="","","Solução")</f>
        <v/>
      </c>
      <c r="U84" s="93"/>
      <c r="V84" s="123" t="str">
        <f>IF(W81="","","Massa final")</f>
        <v/>
      </c>
      <c r="W84" s="95" t="str">
        <f>IF('Entrada das massas'!S64="","",IF(AND('Entrada das massas'!S64&lt;=$B$20,'Entrada das massas'!S64&gt;$B$19),'Entrada das massas'!S64-((($C$20-$C$19)*($B$20-'Entrada das massas'!S64)+($B$19*$C$20)-($B$20*$C$20))/($B$19-$B$20)),IF(AND('Entrada das massas'!S64&lt;=$B$19,'Entrada das massas'!S64&gt;$B$18),'Entrada das massas'!S64-((($C$19-$C$18)*($B$19-'Entrada das massas'!S64)+($B$18*$C$19)-($B$19*$C$19))/($B$18-$B$19)),IF(AND('Entrada das massas'!S64&lt;=$B$18,'Entrada das massas'!S64&gt;$B$17),'Entrada das massas'!S64-((($C$18-$C$17)*($B$18-'Entrada das massas'!S64)+($B$17*$C$18)-($B$18*$C$18))/($B$17-$B$18)),IF(AND('Entrada das massas'!S64&lt;=$B$17,'Entrada das massas'!S64&gt;$B$16),'Entrada das massas'!S64-((($C$17-$C$16)*($B$17-'Entrada das massas'!S64)+($B$16*$C$17)-($B$17*$C$17))/($B$16-$B$17)),IF(AND('Entrada das massas'!S64&lt;=$B$16,'Entrada das massas'!S64&gt;$B$15),'Entrada das massas'!S64-((($C$16-$C$15)*($B$16-'Entrada das massas'!S64)+($B$15*$C$16)-($B$16*$C$16))/($B$15-$B$16)),IF(AND('Entrada das massas'!S64&lt;=$B$15,'Entrada das massas'!S64&gt;$B$14),'Entrada das massas'!S64-((($C$15-$C$14)*($B$15-'Entrada das massas'!S64)+($B$14*$C$15)-($B$15*$C$15))/($B$14-$B$15)),IF(AND('Entrada das massas'!S64&lt;=$B$14,'Entrada das massas'!S64&gt;$B$13),'Entrada das massas'!S64-((($C$14-$C$13)*($B$14-'Entrada das massas'!S64)+($B$13*$C$14)-($B$14*$C$14))/($B$13-$B$14)),IF(AND('Entrada das massas'!S64&lt;=$B$13,'Entrada das massas'!S64&gt;$B$12),'Entrada das massas'!S64-((($C$13-$C$12)*($B$13-'Entrada das massas'!S64)+($B$12*$C$13)-($B$13*$C$13))/($B$12-$B$13)),IF(AND('Entrada das massas'!S64&lt;=$B$12,'Entrada das massas'!S64&gt;$B$11),'Entrada das massas'!S64-((($C$12-$C$11)*($B$12-'Entrada das massas'!S64)+($B$11*$C$12)-($B$12*$C$12))/($B$11-$B$12)),IF(AND('Entrada das massas'!S64&lt;=$B$11,'Entrada das massas'!S64&gt;$B$10),'Entrada das massas'!S64-((($C$11-$C$10)*($B$11-'Entrada das massas'!S64)+($B$10*$C$11)-($B$11*$C$11))/($B$10-$B$11)),IF(AND('Entrada das massas'!S64&lt;=$B$10,'Entrada das massas'!S64&gt;$B$9),'Entrada das massas'!S64-((($C$10-$C$9)*($B$10-'Entrada das massas'!S64)+($B$9*$C$10)-($B$10*$C$10))/($B$9-$B$10)),IF(AND('Entrada das massas'!S64&lt;=$B$9,'Entrada das massas'!S64&gt;$B$8),'Entrada das massas'!S64-((($C$9-$C$8)*($B$9-'Entrada das massas'!S64)+($B$8*$C$9)-($B$9*$C$9))/($B$8-$B$9)),IF(AND('Entrada das massas'!S64&lt;=$B$8,'Entrada das massas'!S64&gt;$B$7),'Entrada das massas'!S64-((($C$8-$C$7)*($B$8-'Entrada das massas'!S64)+($B$7*$C$8)-($B$8*$C$8))/($B$7-$B$8)),IF(AND('Entrada das massas'!S64&lt;=$B$7,'Entrada das massas'!S64&gt;$B$6),'Entrada das massas'!S64-((($C$7-$C$6)*($B$7-'Entrada das massas'!S64)+($B$6*$C$7)-($B$7*$C$7))/($B$6-$B$7)),IF(AND('Entrada das massas'!S64&lt;=$B$6,'Entrada das massas'!S64&gt;$B$5),'Entrada das massas'!S64-((($C$6-$C$5)*($B$6-'Entrada das massas'!S64)+($B$5*$C$6)-($B$6*$C$6))/($B$5-$B$6)),IF('Entrada das massas'!S64&lt;=$B$5,'Entrada das massas'!S64-$C$5)))))))))))))))))</f>
        <v/>
      </c>
      <c r="X84" s="117" t="str">
        <f t="shared" si="38"/>
        <v/>
      </c>
      <c r="Y84" s="120" t="str">
        <f>IF(W82="","",W84-W82)</f>
        <v/>
      </c>
      <c r="Z84" s="117" t="str">
        <f>IF(X82="","",SQRT(SUMSQ(X82,X84)))</f>
        <v/>
      </c>
      <c r="AA84" s="93" t="str">
        <f>IF(W81="","","Solução")</f>
        <v/>
      </c>
      <c r="AB84" s="104"/>
      <c r="AC84" s="104"/>
      <c r="AE84" s="88"/>
      <c r="AF84" s="160"/>
    </row>
    <row r="85" spans="1:32" x14ac:dyDescent="0.2">
      <c r="H85" s="98"/>
      <c r="I85" s="93"/>
      <c r="J85" s="144"/>
      <c r="K85" s="139"/>
      <c r="L85" s="139"/>
      <c r="M85" s="98"/>
      <c r="N85" s="98"/>
      <c r="O85" s="98"/>
      <c r="P85" s="93"/>
      <c r="Q85" s="120"/>
      <c r="R85" s="120"/>
      <c r="S85" s="120"/>
      <c r="T85" s="98"/>
      <c r="U85" s="98"/>
      <c r="V85" s="98"/>
      <c r="W85" s="93"/>
      <c r="X85" s="120"/>
      <c r="Y85" s="120"/>
      <c r="Z85" s="120"/>
      <c r="AA85" s="98"/>
      <c r="AB85" s="104"/>
      <c r="AC85" s="104"/>
      <c r="AE85" s="88"/>
      <c r="AF85" s="160"/>
    </row>
    <row r="86" spans="1:32" x14ac:dyDescent="0.2">
      <c r="H86" s="126" t="str">
        <f>IF(I81="","","Amostra")</f>
        <v/>
      </c>
      <c r="I86" s="127" t="str">
        <f>IF('Entrada das massas'!I66="","",'Entrada das massas'!I66)</f>
        <v/>
      </c>
      <c r="J86" s="120" t="str">
        <f>IF(I86="","","uc(g)")</f>
        <v/>
      </c>
      <c r="K86" s="120" t="str">
        <f>IF(J86="","","Massa (g)")</f>
        <v/>
      </c>
      <c r="L86" s="120" t="str">
        <f>IF(K86="","","ucomb (g)")</f>
        <v/>
      </c>
      <c r="M86" s="98" t="str">
        <f>IF(I86="","","Fdiluição")</f>
        <v/>
      </c>
      <c r="N86" s="98"/>
      <c r="O86" s="126" t="str">
        <f>IF(M87="","","Amostra")</f>
        <v/>
      </c>
      <c r="P86" s="127" t="str">
        <f>IF('Entrada das massas'!N66="","",'Entrada das massas'!N66)</f>
        <v/>
      </c>
      <c r="Q86" s="120" t="str">
        <f>IF(P86="","","uc(g)")</f>
        <v/>
      </c>
      <c r="R86" s="120" t="str">
        <f>IF(Q86="","","Massa (g)")</f>
        <v/>
      </c>
      <c r="S86" s="120" t="str">
        <f>IF(R86="","","ucomb (g)")</f>
        <v/>
      </c>
      <c r="T86" s="98" t="str">
        <f>IF(P86="","","Fdiluição")</f>
        <v/>
      </c>
      <c r="U86" s="98"/>
      <c r="V86" s="126" t="str">
        <f>IF(T87="","","Amostra")</f>
        <v/>
      </c>
      <c r="W86" s="127" t="str">
        <f>IF('Entrada das massas'!S66="","",'Entrada das massas'!S66)</f>
        <v/>
      </c>
      <c r="X86" s="120" t="str">
        <f>IF(W86="","","uc(g)")</f>
        <v/>
      </c>
      <c r="Y86" s="120" t="str">
        <f>IF(X86="","","Massa (g)")</f>
        <v/>
      </c>
      <c r="Z86" s="120" t="str">
        <f>IF(Y86="","","ucomb (g)")</f>
        <v/>
      </c>
      <c r="AA86" s="98" t="str">
        <f>IF(W86="","","Fdiluição")</f>
        <v/>
      </c>
      <c r="AB86" s="104"/>
      <c r="AC86" s="104"/>
      <c r="AE86" s="88"/>
      <c r="AF86" s="160"/>
    </row>
    <row r="87" spans="1:32" x14ac:dyDescent="0.2">
      <c r="H87" s="115" t="str">
        <f>IF(I86="","","Frasco")</f>
        <v/>
      </c>
      <c r="I87" s="116" t="str">
        <f>IF('Entrada das massas'!I67="","",IF(AND('Entrada das massas'!I67&lt;=$B$20,'Entrada das massas'!I67&gt;$B$19),'Entrada das massas'!I67-((($C$20-$C$19)*($B$20-'Entrada das massas'!I67)+($B$19*$C$20)-($B$20*$C$20))/($B$19-$B$20)),IF(AND('Entrada das massas'!I67&lt;=$B$19,'Entrada das massas'!I67&gt;$B$18),'Entrada das massas'!I67-((($C$19-$C$18)*($B$19-'Entrada das massas'!I67)+($B$18*$C$19)-($B$19*$C$19))/($B$18-$B$19)),IF(AND('Entrada das massas'!I67&lt;=$B$18,'Entrada das massas'!I67&gt;$B$17),'Entrada das massas'!I67-((($C$18-$C$17)*($B$18-'Entrada das massas'!I67)+($B$17*$C$18)-($B$18*$C$18))/($B$17-$B$18)),IF(AND('Entrada das massas'!I67&lt;=$B$17,'Entrada das massas'!I67&gt;$B$16),'Entrada das massas'!I67-((($C$17-$C$16)*($B$17-'Entrada das massas'!I67)+($B$16*$C$17)-($B$17*$C$17))/($B$16-$B$17)),IF(AND('Entrada das massas'!I67&lt;=$B$16,'Entrada das massas'!I67&gt;$B$15),'Entrada das massas'!I67-((($C$16-$C$15)*($B$16-'Entrada das massas'!I67)+($B$15*$C$16)-($B$16*$C$16))/($B$15-$B$16)),IF(AND('Entrada das massas'!I67&lt;=$B$15,'Entrada das massas'!I67&gt;$B$14),'Entrada das massas'!I67-((($C$15-$C$14)*($B$15-'Entrada das massas'!I67)+($B$14*$C$15)-($B$15*$C$15))/($B$14-$B$15)),IF(AND('Entrada das massas'!I67&lt;=$B$14,'Entrada das massas'!I67&gt;$B$13),'Entrada das massas'!I67-((($C$14-$C$13)*($B$14-'Entrada das massas'!I67)+($B$13*$C$14)-($B$14*$C$14))/($B$13-$B$14)),IF(AND('Entrada das massas'!I67&lt;=$B$13,'Entrada das massas'!I67&gt;$B$12),'Entrada das massas'!I67-((($C$13-$C$12)*($B$13-'Entrada das massas'!I67)+($B$12*$C$13)-($B$13*$C$13))/($B$12-$B$13)),IF(AND('Entrada das massas'!I67&lt;=$B$12,'Entrada das massas'!I67&gt;$B$11),'Entrada das massas'!I67-((($C$12-$C$11)*($B$12-'Entrada das massas'!I67)+($B$11*$C$12)-($B$12*$C$12))/($B$11-$B$12)),IF(AND('Entrada das massas'!I67&lt;=$B$11,'Entrada das massas'!I67&gt;$B$10),'Entrada das massas'!I67-((($C$11-$C$10)*($B$11-'Entrada das massas'!I67)+($B$10*$C$11)-($B$11*$C$11))/($B$10-$B$11)),IF(AND('Entrada das massas'!I67&lt;=$B$10,'Entrada das massas'!I67&gt;$B$9),'Entrada das massas'!I67-((($C$10-$C$9)*($B$10-'Entrada das massas'!I67)+($B$9*$C$10)-($B$10*$C$10))/($B$9-$B$10)),IF(AND('Entrada das massas'!I67&lt;=$B$9,'Entrada das massas'!I67&gt;$B$8),'Entrada das massas'!I67-((($C$9-$C$8)*($B$9-'Entrada das massas'!I67)+($B$8*$C$9)-($B$9*$C$9))/($B$8-$B$9)),IF(AND('Entrada das massas'!I67&lt;=$B$8,'Entrada das massas'!I67&gt;$B$7),'Entrada das massas'!I67-((($C$8-$C$7)*($B$8-'Entrada das massas'!I67)+($B$7*$C$8)-($B$8*$C$8))/($B$7-$B$8)),IF(AND('Entrada das massas'!I67&lt;=$B$7,'Entrada das massas'!I67&gt;$B$6),'Entrada das massas'!I67-((($C$7-$C$6)*($B$7-'Entrada das massas'!I67)+($B$6*$C$7)-($B$7*$C$7))/($B$6-$B$7)),IF(AND('Entrada das massas'!I67&lt;=$B$6,'Entrada das massas'!I67&gt;$B$5),'Entrada das massas'!I67-((($C$6-$C$5)*($B$6-'Entrada das massas'!I67)+($B$5*$C$6)-($B$6*$C$6))/($B$5-$B$6)),IF('Entrada das massas'!I67&lt;=$B$5,'Entrada das massas'!I67-$C$5)))))))))))))))))</f>
        <v/>
      </c>
      <c r="J87" s="117" t="str">
        <f>IF(I87="","",(IF(AND(I87&lt;=$B$20,I87&gt;$B$19),$D$19+($B$19-I87)/($B$19-$B$20)*($D$20-$D$19),IF(AND(I87&lt;=$B$19,I87&gt;$B$18),$D$18+($B$18-I87)/($B$18-$B$19)*($D$19-$D$18),IF(AND(I87&lt;=$B$18,I87&gt;$B$17),$D$17+($B$17-I87)/($B$17-$B$18)*($D$18-$D$17),IF(AND(I87&lt;=$B$17,I87&gt;$B$16),$D$16+($B$16-I87)/($B$16-$B$17)*($D$17-$D$16),IF(AND(I87&lt;=$B$16,I87&gt;$B$15),$D$15+($B$15-I87)/($B$15-$B$16)*($D$16-$D$15),IF(AND(I87&lt;=$B$15,I87&gt;$B$14),$D$14+($B$14-I87)/($B$14-$B$15)*($D$15-$D$14),IF(AND(I87&lt;=$B$14,I87&gt;$B$13),$D$13+($B$13-I87)/($B$13-$B$14)*($D$14-$D$13),IF(AND(I87&lt;=$B$13,I87&gt;$B$12),$D$12+($B$12-I87)/($B$12-$B$13)*($D$13-$D$12),IF(AND(I87&lt;=$B$12,I87&gt;$B$11),$D$11+($B$11-I87)/($B$11-$B$12)*($D$12-$D$11),IF(AND(I87&lt;=$B$11,I87&gt;$B$10),$D$10+($B$10-I87)/($B$10-$B$11)*($D$11-$D$10),IF(AND(I87&lt;=$B$10,I87&gt;$B$9),$D$9+($B$9-I87)/($B$9-$B$10)*($D$10-$D$9),IF(AND(I87&lt;=$B$9,I87&gt;$B$8),$D$8+($B$8-I87)/($B$8-$B$9)*($D$9-$D$8),IF(AND(I87&lt;=$B$8,I87&gt;$B$7),$D$7+($B$7-I87)/($B$7-$B$8)*($D$8-$D$7),IF(AND(I87&lt;=$B$7,I87&gt;$B$6),$D$6+($B$6-I87)/($B$6-$B$7)*($D$7-$D$6),IF(I87&lt;=$B$6,$D$6)))))))))))))))))</f>
        <v/>
      </c>
      <c r="K87" s="117"/>
      <c r="L87" s="117"/>
      <c r="M87" s="118" t="str">
        <f>IFERROR(K89/K88,"")</f>
        <v/>
      </c>
      <c r="N87" s="93"/>
      <c r="O87" s="115" t="str">
        <f>IF(P86="","","Frasco")</f>
        <v/>
      </c>
      <c r="P87" s="95" t="str">
        <f>IF('Entrada das massas'!N67="","",IF(AND('Entrada das massas'!N67&lt;=$B$20,'Entrada das massas'!N67&gt;$B$19),'Entrada das massas'!N67-((($C$20-$C$19)*($B$20-'Entrada das massas'!N67)+($B$19*$C$20)-($B$20*$C$20))/($B$19-$B$20)),IF(AND('Entrada das massas'!N67&lt;=$B$19,'Entrada das massas'!N67&gt;$B$18),'Entrada das massas'!N67-((($C$19-$C$18)*($B$19-'Entrada das massas'!N67)+($B$18*$C$19)-($B$19*$C$19))/($B$18-$B$19)),IF(AND('Entrada das massas'!N67&lt;=$B$18,'Entrada das massas'!N67&gt;$B$17),'Entrada das massas'!N67-((($C$18-$C$17)*($B$18-'Entrada das massas'!N67)+($B$17*$C$18)-($B$18*$C$18))/($B$17-$B$18)),IF(AND('Entrada das massas'!N67&lt;=$B$17,'Entrada das massas'!N67&gt;$B$16),'Entrada das massas'!N67-((($C$17-$C$16)*($B$17-'Entrada das massas'!N67)+($B$16*$C$17)-($B$17*$C$17))/($B$16-$B$17)),IF(AND('Entrada das massas'!N67&lt;=$B$16,'Entrada das massas'!N67&gt;$B$15),'Entrada das massas'!N67-((($C$16-$C$15)*($B$16-'Entrada das massas'!N67)+($B$15*$C$16)-($B$16*$C$16))/($B$15-$B$16)),IF(AND('Entrada das massas'!N67&lt;=$B$15,'Entrada das massas'!N67&gt;$B$14),'Entrada das massas'!N67-((($C$15-$C$14)*($B$15-'Entrada das massas'!N67)+($B$14*$C$15)-($B$15*$C$15))/($B$14-$B$15)),IF(AND('Entrada das massas'!N67&lt;=$B$14,'Entrada das massas'!N67&gt;$B$13),'Entrada das massas'!N67-((($C$14-$C$13)*($B$14-'Entrada das massas'!N67)+($B$13*$C$14)-($B$14*$C$14))/($B$13-$B$14)),IF(AND('Entrada das massas'!N67&lt;=$B$13,'Entrada das massas'!N67&gt;$B$12),'Entrada das massas'!N67-((($C$13-$C$12)*($B$13-'Entrada das massas'!N67)+($B$12*$C$13)-($B$13*$C$13))/($B$12-$B$13)),IF(AND('Entrada das massas'!N67&lt;=$B$12,'Entrada das massas'!N67&gt;$B$11),'Entrada das massas'!N67-((($C$12-$C$11)*($B$12-'Entrada das massas'!N67)+($B$11*$C$12)-($B$12*$C$12))/($B$11-$B$12)),IF(AND('Entrada das massas'!N67&lt;=$B$11,'Entrada das massas'!N67&gt;$B$10),'Entrada das massas'!N67-((($C$11-$C$10)*($B$11-'Entrada das massas'!N67)+($B$10*$C$11)-($B$11*$C$11))/($B$10-$B$11)),IF(AND('Entrada das massas'!N67&lt;=$B$10,'Entrada das massas'!N67&gt;$B$9),'Entrada das massas'!N67-((($C$10-$C$9)*($B$10-'Entrada das massas'!N67)+($B$9*$C$10)-($B$10*$C$10))/($B$9-$B$10)),IF(AND('Entrada das massas'!N67&lt;=$B$9,'Entrada das massas'!N67&gt;$B$8),'Entrada das massas'!N67-((($C$9-$C$8)*($B$9-'Entrada das massas'!N67)+($B$8*$C$9)-($B$9*$C$9))/($B$8-$B$9)),IF(AND('Entrada das massas'!N67&lt;=$B$8,'Entrada das massas'!N67&gt;$B$7),'Entrada das massas'!N67-((($C$8-$C$7)*($B$8-'Entrada das massas'!N67)+($B$7*$C$8)-($B$8*$C$8))/($B$7-$B$8)),IF(AND('Entrada das massas'!N67&lt;=$B$7,'Entrada das massas'!N67&gt;$B$6),'Entrada das massas'!N67-((($C$7-$C$6)*($B$7-'Entrada das massas'!N67)+($B$6*$C$7)-($B$7*$C$7))/($B$6-$B$7)),IF(AND('Entrada das massas'!N67&lt;=$B$6,'Entrada das massas'!N67&gt;$B$5),'Entrada das massas'!N67-((($C$6-$C$5)*($B$6-'Entrada das massas'!N67)+($B$5*$C$6)-($B$6*$C$6))/($B$5-$B$6)),IF('Entrada das massas'!N67&lt;=$B$5,'Entrada das massas'!N67-$C$5)))))))))))))))))</f>
        <v/>
      </c>
      <c r="Q87" s="117" t="str">
        <f>IF(P87="","",(IF(AND(P87&lt;=$B$20,P87&gt;$B$19),$D$19+($B$19-P87)/($B$19-$B$20)*($D$20-$D$19),IF(AND(P87&lt;=$B$19,P87&gt;$B$18),$D$18+($B$18-P87)/($B$18-$B$19)*($D$19-$D$18),IF(AND(P87&lt;=$B$18,P87&gt;$B$17),$D$17+($B$17-P87)/($B$17-$B$18)*($D$18-$D$17),IF(AND(P87&lt;=$B$17,P87&gt;$B$16),$D$16+($B$16-P87)/($B$16-$B$17)*($D$17-$D$16),IF(AND(P87&lt;=$B$16,P87&gt;$B$15),$D$15+($B$15-P87)/($B$15-$B$16)*($D$16-$D$15),IF(AND(P87&lt;=$B$15,P87&gt;$B$14),$D$14+($B$14-P87)/($B$14-$B$15)*($D$15-$D$14),IF(AND(P87&lt;=$B$14,P87&gt;$B$13),$D$13+($B$13-P87)/($B$13-$B$14)*($D$14-$D$13),IF(AND(P87&lt;=$B$13,P87&gt;$B$12),$D$12+($B$12-P87)/($B$12-$B$13)*($D$13-$D$12),IF(AND(P87&lt;=$B$12,P87&gt;$B$11),$D$11+($B$11-P87)/($B$11-$B$12)*($D$12-$D$11),IF(AND(P87&lt;=$B$11,P87&gt;$B$10),$D$10+($B$10-P87)/($B$10-$B$11)*($D$11-$D$10),IF(AND(P87&lt;=$B$10,P87&gt;$B$9),$D$9+($B$9-P87)/($B$9-$B$10)*($D$10-$D$9),IF(AND(P87&lt;=$B$9,P87&gt;$B$8),$D$8+($B$8-P87)/($B$8-$B$9)*($D$9-$D$8),IF(AND(P87&lt;=$B$8,P87&gt;$B$7),$D$7+($B$7-P87)/($B$7-$B$8)*($D$8-$D$7),IF(AND(P87&lt;=$B$7,P87&gt;$B$6),$D$6+($B$6-P87)/($B$6-$B$7)*($D$7-$D$6),IF(P87&lt;=$B$6,$D$6)))))))))))))))))</f>
        <v/>
      </c>
      <c r="R87" s="117"/>
      <c r="S87" s="117"/>
      <c r="T87" s="118" t="str">
        <f>IFERROR(R89/R88,"")</f>
        <v/>
      </c>
      <c r="U87" s="93"/>
      <c r="V87" s="115" t="str">
        <f>IF(W86="","","Frasco")</f>
        <v/>
      </c>
      <c r="W87" s="95" t="str">
        <f>IF('Entrada das massas'!S67="","",IF(AND('Entrada das massas'!S67&lt;=$B$20,'Entrada das massas'!S67&gt;$B$19),'Entrada das massas'!S67-((($C$20-$C$19)*($B$20-'Entrada das massas'!S67)+($B$19*$C$20)-($B$20*$C$20))/($B$19-$B$20)),IF(AND('Entrada das massas'!S67&lt;=$B$19,'Entrada das massas'!S67&gt;$B$18),'Entrada das massas'!S67-((($C$19-$C$18)*($B$19-'Entrada das massas'!S67)+($B$18*$C$19)-($B$19*$C$19))/($B$18-$B$19)),IF(AND('Entrada das massas'!S67&lt;=$B$18,'Entrada das massas'!S67&gt;$B$17),'Entrada das massas'!S67-((($C$18-$C$17)*($B$18-'Entrada das massas'!S67)+($B$17*$C$18)-($B$18*$C$18))/($B$17-$B$18)),IF(AND('Entrada das massas'!S67&lt;=$B$17,'Entrada das massas'!S67&gt;$B$16),'Entrada das massas'!S67-((($C$17-$C$16)*($B$17-'Entrada das massas'!S67)+($B$16*$C$17)-($B$17*$C$17))/($B$16-$B$17)),IF(AND('Entrada das massas'!S67&lt;=$B$16,'Entrada das massas'!S67&gt;$B$15),'Entrada das massas'!S67-((($C$16-$C$15)*($B$16-'Entrada das massas'!S67)+($B$15*$C$16)-($B$16*$C$16))/($B$15-$B$16)),IF(AND('Entrada das massas'!S67&lt;=$B$15,'Entrada das massas'!S67&gt;$B$14),'Entrada das massas'!S67-((($C$15-$C$14)*($B$15-'Entrada das massas'!S67)+($B$14*$C$15)-($B$15*$C$15))/($B$14-$B$15)),IF(AND('Entrada das massas'!S67&lt;=$B$14,'Entrada das massas'!S67&gt;$B$13),'Entrada das massas'!S67-((($C$14-$C$13)*($B$14-'Entrada das massas'!S67)+($B$13*$C$14)-($B$14*$C$14))/($B$13-$B$14)),IF(AND('Entrada das massas'!S67&lt;=$B$13,'Entrada das massas'!S67&gt;$B$12),'Entrada das massas'!S67-((($C$13-$C$12)*($B$13-'Entrada das massas'!S67)+($B$12*$C$13)-($B$13*$C$13))/($B$12-$B$13)),IF(AND('Entrada das massas'!S67&lt;=$B$12,'Entrada das massas'!S67&gt;$B$11),'Entrada das massas'!S67-((($C$12-$C$11)*($B$12-'Entrada das massas'!S67)+($B$11*$C$12)-($B$12*$C$12))/($B$11-$B$12)),IF(AND('Entrada das massas'!S67&lt;=$B$11,'Entrada das massas'!S67&gt;$B$10),'Entrada das massas'!S67-((($C$11-$C$10)*($B$11-'Entrada das massas'!S67)+($B$10*$C$11)-($B$11*$C$11))/($B$10-$B$11)),IF(AND('Entrada das massas'!S67&lt;=$B$10,'Entrada das massas'!S67&gt;$B$9),'Entrada das massas'!S67-((($C$10-$C$9)*($B$10-'Entrada das massas'!S67)+($B$9*$C$10)-($B$10*$C$10))/($B$9-$B$10)),IF(AND('Entrada das massas'!S67&lt;=$B$9,'Entrada das massas'!S67&gt;$B$8),'Entrada das massas'!S67-((($C$9-$C$8)*($B$9-'Entrada das massas'!S67)+($B$8*$C$9)-($B$9*$C$9))/($B$8-$B$9)),IF(AND('Entrada das massas'!S67&lt;=$B$8,'Entrada das massas'!S67&gt;$B$7),'Entrada das massas'!S67-((($C$8-$C$7)*($B$8-'Entrada das massas'!S67)+($B$7*$C$8)-($B$8*$C$8))/($B$7-$B$8)),IF(AND('Entrada das massas'!S67&lt;=$B$7,'Entrada das massas'!S67&gt;$B$6),'Entrada das massas'!S67-((($C$7-$C$6)*($B$7-'Entrada das massas'!S67)+($B$6*$C$7)-($B$7*$C$7))/($B$6-$B$7)),IF(AND('Entrada das massas'!S67&lt;=$B$6,'Entrada das massas'!S67&gt;$B$5),'Entrada das massas'!S67-((($C$6-$C$5)*($B$6-'Entrada das massas'!S67)+($B$5*$C$6)-($B$6*$C$6))/($B$5-$B$6)),IF('Entrada das massas'!S67&lt;=$B$5,'Entrada das massas'!S67-$C$5)))))))))))))))))</f>
        <v/>
      </c>
      <c r="X87" s="117" t="str">
        <f>IF(W87="","",(IF(AND(W87&lt;=$B$20,W87&gt;$B$19),$D$19+($B$19-W87)/($B$19-$B$20)*($D$20-$D$19),IF(AND(W87&lt;=$B$19,W87&gt;$B$18),$D$18+($B$18-W87)/($B$18-$B$19)*($D$19-$D$18),IF(AND(W87&lt;=$B$18,W87&gt;$B$17),$D$17+($B$17-W87)/($B$17-$B$18)*($D$18-$D$17),IF(AND(W87&lt;=$B$17,W87&gt;$B$16),$D$16+($B$16-W87)/($B$16-$B$17)*($D$17-$D$16),IF(AND(W87&lt;=$B$16,W87&gt;$B$15),$D$15+($B$15-W87)/($B$15-$B$16)*($D$16-$D$15),IF(AND(W87&lt;=$B$15,W87&gt;$B$14),$D$14+($B$14-W87)/($B$14-$B$15)*($D$15-$D$14),IF(AND(W87&lt;=$B$14,W87&gt;$B$13),$D$13+($B$13-W87)/($B$13-$B$14)*($D$14-$D$13),IF(AND(W87&lt;=$B$13,W87&gt;$B$12),$D$12+($B$12-W87)/($B$12-$B$13)*($D$13-$D$12),IF(AND(W87&lt;=$B$12,W87&gt;$B$11),$D$11+($B$11-W87)/($B$11-$B$12)*($D$12-$D$11),IF(AND(W87&lt;=$B$11,W87&gt;$B$10),$D$10+($B$10-W87)/($B$10-$B$11)*($D$11-$D$10),IF(AND(W87&lt;=$B$10,W87&gt;$B$9),$D$9+($B$9-W87)/($B$9-$B$10)*($D$10-$D$9),IF(AND(W87&lt;=$B$9,W87&gt;$B$8),$D$8+($B$8-W87)/($B$8-$B$9)*($D$9-$D$8),IF(AND(W87&lt;=$B$8,W87&gt;$B$7),$D$7+($B$7-W87)/($B$7-$B$8)*($D$8-$D$7),IF(AND(W87&lt;=$B$7,W87&gt;$B$6),$D$6+($B$6-W87)/($B$6-$B$7)*($D$7-$D$6),IF(W87&lt;=$B$6,$D$6)))))))))))))))))</f>
        <v/>
      </c>
      <c r="Y87" s="117"/>
      <c r="Z87" s="117"/>
      <c r="AA87" s="118" t="str">
        <f>IFERROR(Y89/Y88,"")</f>
        <v/>
      </c>
      <c r="AB87" s="104"/>
      <c r="AC87" s="104"/>
      <c r="AE87" s="88"/>
      <c r="AF87" s="160"/>
    </row>
    <row r="88" spans="1:32" x14ac:dyDescent="0.2">
      <c r="H88" s="115" t="str">
        <f>IF(I86="","","Frasco + Amostra")</f>
        <v/>
      </c>
      <c r="I88" s="116" t="str">
        <f>IF('Entrada das massas'!I68="","",IF(AND('Entrada das massas'!I68&lt;=$B$20,'Entrada das massas'!I68&gt;$B$19),'Entrada das massas'!I68-((($C$20-$C$19)*($B$20-'Entrada das massas'!I68)+($B$19*$C$20)-($B$20*$C$20))/($B$19-$B$20)),IF(AND('Entrada das massas'!I68&lt;=$B$19,'Entrada das massas'!I68&gt;$B$18),'Entrada das massas'!I68-((($C$19-$C$18)*($B$19-'Entrada das massas'!I68)+($B$18*$C$19)-($B$19*$C$19))/($B$18-$B$19)),IF(AND('Entrada das massas'!I68&lt;=$B$18,'Entrada das massas'!I68&gt;$B$17),'Entrada das massas'!I68-((($C$18-$C$17)*($B$18-'Entrada das massas'!I68)+($B$17*$C$18)-($B$18*$C$18))/($B$17-$B$18)),IF(AND('Entrada das massas'!I68&lt;=$B$17,'Entrada das massas'!I68&gt;$B$16),'Entrada das massas'!I68-((($C$17-$C$16)*($B$17-'Entrada das massas'!I68)+($B$16*$C$17)-($B$17*$C$17))/($B$16-$B$17)),IF(AND('Entrada das massas'!I68&lt;=$B$16,'Entrada das massas'!I68&gt;$B$15),'Entrada das massas'!I68-((($C$16-$C$15)*($B$16-'Entrada das massas'!I68)+($B$15*$C$16)-($B$16*$C$16))/($B$15-$B$16)),IF(AND('Entrada das massas'!I68&lt;=$B$15,'Entrada das massas'!I68&gt;$B$14),'Entrada das massas'!I68-((($C$15-$C$14)*($B$15-'Entrada das massas'!I68)+($B$14*$C$15)-($B$15*$C$15))/($B$14-$B$15)),IF(AND('Entrada das massas'!I68&lt;=$B$14,'Entrada das massas'!I68&gt;$B$13),'Entrada das massas'!I68-((($C$14-$C$13)*($B$14-'Entrada das massas'!I68)+($B$13*$C$14)-($B$14*$C$14))/($B$13-$B$14)),IF(AND('Entrada das massas'!I68&lt;=$B$13,'Entrada das massas'!I68&gt;$B$12),'Entrada das massas'!I68-((($C$13-$C$12)*($B$13-'Entrada das massas'!I68)+($B$12*$C$13)-($B$13*$C$13))/($B$12-$B$13)),IF(AND('Entrada das massas'!I68&lt;=$B$12,'Entrada das massas'!I68&gt;$B$11),'Entrada das massas'!I68-((($C$12-$C$11)*($B$12-'Entrada das massas'!I68)+($B$11*$C$12)-($B$12*$C$12))/($B$11-$B$12)),IF(AND('Entrada das massas'!I68&lt;=$B$11,'Entrada das massas'!I68&gt;$B$10),'Entrada das massas'!I68-((($C$11-$C$10)*($B$11-'Entrada das massas'!I68)+($B$10*$C$11)-($B$11*$C$11))/($B$10-$B$11)),IF(AND('Entrada das massas'!I68&lt;=$B$10,'Entrada das massas'!I68&gt;$B$9),'Entrada das massas'!I68-((($C$10-$C$9)*($B$10-'Entrada das massas'!I68)+($B$9*$C$10)-($B$10*$C$10))/($B$9-$B$10)),IF(AND('Entrada das massas'!I68&lt;=$B$9,'Entrada das massas'!I68&gt;$B$8),'Entrada das massas'!I68-((($C$9-$C$8)*($B$9-'Entrada das massas'!I68)+($B$8*$C$9)-($B$9*$C$9))/($B$8-$B$9)),IF(AND('Entrada das massas'!I68&lt;=$B$8,'Entrada das massas'!I68&gt;$B$7),'Entrada das massas'!I68-((($C$8-$C$7)*($B$8-'Entrada das massas'!I68)+($B$7*$C$8)-($B$8*$C$8))/($B$7-$B$8)),IF(AND('Entrada das massas'!I68&lt;=$B$7,'Entrada das massas'!I68&gt;$B$6),'Entrada das massas'!I68-((($C$7-$C$6)*($B$7-'Entrada das massas'!I68)+($B$6*$C$7)-($B$7*$C$7))/($B$6-$B$7)),IF(AND('Entrada das massas'!I68&lt;=$B$6,'Entrada das massas'!I68&gt;$B$5),'Entrada das massas'!I68-((($C$6-$C$5)*($B$6-'Entrada das massas'!I68)+($B$5*$C$6)-($B$6*$C$6))/($B$5-$B$6)),IF('Entrada das massas'!I68&lt;=$B$5,'Entrada das massas'!I68-$C$5)))))))))))))))))</f>
        <v/>
      </c>
      <c r="J88" s="117" t="str">
        <f t="shared" ref="J88:J89" si="39">IF(I88="","",(IF(AND(I88&lt;=$B$20,I88&gt;$B$19),$D$19+($B$19-I88)/($B$19-$B$20)*($D$20-$D$19),IF(AND(I88&lt;=$B$19,I88&gt;$B$18),$D$18+($B$18-I88)/($B$18-$B$19)*($D$19-$D$18),IF(AND(I88&lt;=$B$18,I88&gt;$B$17),$D$17+($B$17-I88)/($B$17-$B$18)*($D$18-$D$17),IF(AND(I88&lt;=$B$17,I88&gt;$B$16),$D$16+($B$16-I88)/($B$16-$B$17)*($D$17-$D$16),IF(AND(I88&lt;=$B$16,I88&gt;$B$15),$D$15+($B$15-I88)/($B$15-$B$16)*($D$16-$D$15),IF(AND(I88&lt;=$B$15,I88&gt;$B$14),$D$14+($B$14-I88)/($B$14-$B$15)*($D$15-$D$14),IF(AND(I88&lt;=$B$14,I88&gt;$B$13),$D$13+($B$13-I88)/($B$13-$B$14)*($D$14-$D$13),IF(AND(I88&lt;=$B$13,I88&gt;$B$12),$D$12+($B$12-I88)/($B$12-$B$13)*($D$13-$D$12),IF(AND(I88&lt;=$B$12,I88&gt;$B$11),$D$11+($B$11-I88)/($B$11-$B$12)*($D$12-$D$11),IF(AND(I88&lt;=$B$11,I88&gt;$B$10),$D$10+($B$10-I88)/($B$10-$B$11)*($D$11-$D$10),IF(AND(I88&lt;=$B$10,I88&gt;$B$9),$D$9+($B$9-I88)/($B$9-$B$10)*($D$10-$D$9),IF(AND(I88&lt;=$B$9,I88&gt;$B$8),$D$8+($B$8-I88)/($B$8-$B$9)*($D$9-$D$8),IF(AND(I88&lt;=$B$8,I88&gt;$B$7),$D$7+($B$7-I88)/($B$7-$B$8)*($D$8-$D$7),IF(AND(I88&lt;=$B$7,I88&gt;$B$6),$D$6+($B$6-I88)/($B$6-$B$7)*($D$7-$D$6),IF(I88&lt;=$B$6,$D$6)))))))))))))))))</f>
        <v/>
      </c>
      <c r="K88" s="120" t="str">
        <f>IF(I87="","",I88-I87)</f>
        <v/>
      </c>
      <c r="L88" s="117" t="str">
        <f>IF(J87="","",SQRT(SUMSQ(J87:J88)))</f>
        <v/>
      </c>
      <c r="M88" s="93" t="str">
        <f>IF(I86="","","Amostra")</f>
        <v/>
      </c>
      <c r="N88" s="118"/>
      <c r="O88" s="115" t="str">
        <f>IF(P86="","","Frasco + Amostra")</f>
        <v/>
      </c>
      <c r="P88" s="95" t="str">
        <f>IF('Entrada das massas'!N68="","",IF(AND('Entrada das massas'!N68&lt;=$B$20,'Entrada das massas'!N68&gt;$B$19),'Entrada das massas'!N68-((($C$20-$C$19)*($B$20-'Entrada das massas'!N68)+($B$19*$C$20)-($B$20*$C$20))/($B$19-$B$20)),IF(AND('Entrada das massas'!N68&lt;=$B$19,'Entrada das massas'!N68&gt;$B$18),'Entrada das massas'!N68-((($C$19-$C$18)*($B$19-'Entrada das massas'!N68)+($B$18*$C$19)-($B$19*$C$19))/($B$18-$B$19)),IF(AND('Entrada das massas'!N68&lt;=$B$18,'Entrada das massas'!N68&gt;$B$17),'Entrada das massas'!N68-((($C$18-$C$17)*($B$18-'Entrada das massas'!N68)+($B$17*$C$18)-($B$18*$C$18))/($B$17-$B$18)),IF(AND('Entrada das massas'!N68&lt;=$B$17,'Entrada das massas'!N68&gt;$B$16),'Entrada das massas'!N68-((($C$17-$C$16)*($B$17-'Entrada das massas'!N68)+($B$16*$C$17)-($B$17*$C$17))/($B$16-$B$17)),IF(AND('Entrada das massas'!N68&lt;=$B$16,'Entrada das massas'!N68&gt;$B$15),'Entrada das massas'!N68-((($C$16-$C$15)*($B$16-'Entrada das massas'!N68)+($B$15*$C$16)-($B$16*$C$16))/($B$15-$B$16)),IF(AND('Entrada das massas'!N68&lt;=$B$15,'Entrada das massas'!N68&gt;$B$14),'Entrada das massas'!N68-((($C$15-$C$14)*($B$15-'Entrada das massas'!N68)+($B$14*$C$15)-($B$15*$C$15))/($B$14-$B$15)),IF(AND('Entrada das massas'!N68&lt;=$B$14,'Entrada das massas'!N68&gt;$B$13),'Entrada das massas'!N68-((($C$14-$C$13)*($B$14-'Entrada das massas'!N68)+($B$13*$C$14)-($B$14*$C$14))/($B$13-$B$14)),IF(AND('Entrada das massas'!N68&lt;=$B$13,'Entrada das massas'!N68&gt;$B$12),'Entrada das massas'!N68-((($C$13-$C$12)*($B$13-'Entrada das massas'!N68)+($B$12*$C$13)-($B$13*$C$13))/($B$12-$B$13)),IF(AND('Entrada das massas'!N68&lt;=$B$12,'Entrada das massas'!N68&gt;$B$11),'Entrada das massas'!N68-((($C$12-$C$11)*($B$12-'Entrada das massas'!N68)+($B$11*$C$12)-($B$12*$C$12))/($B$11-$B$12)),IF(AND('Entrada das massas'!N68&lt;=$B$11,'Entrada das massas'!N68&gt;$B$10),'Entrada das massas'!N68-((($C$11-$C$10)*($B$11-'Entrada das massas'!N68)+($B$10*$C$11)-($B$11*$C$11))/($B$10-$B$11)),IF(AND('Entrada das massas'!N68&lt;=$B$10,'Entrada das massas'!N68&gt;$B$9),'Entrada das massas'!N68-((($C$10-$C$9)*($B$10-'Entrada das massas'!N68)+($B$9*$C$10)-($B$10*$C$10))/($B$9-$B$10)),IF(AND('Entrada das massas'!N68&lt;=$B$9,'Entrada das massas'!N68&gt;$B$8),'Entrada das massas'!N68-((($C$9-$C$8)*($B$9-'Entrada das massas'!N68)+($B$8*$C$9)-($B$9*$C$9))/($B$8-$B$9)),IF(AND('Entrada das massas'!N68&lt;=$B$8,'Entrada das massas'!N68&gt;$B$7),'Entrada das massas'!N68-((($C$8-$C$7)*($B$8-'Entrada das massas'!N68)+($B$7*$C$8)-($B$8*$C$8))/($B$7-$B$8)),IF(AND('Entrada das massas'!N68&lt;=$B$7,'Entrada das massas'!N68&gt;$B$6),'Entrada das massas'!N68-((($C$7-$C$6)*($B$7-'Entrada das massas'!N68)+($B$6*$C$7)-($B$7*$C$7))/($B$6-$B$7)),IF(AND('Entrada das massas'!N68&lt;=$B$6,'Entrada das massas'!N68&gt;$B$5),'Entrada das massas'!N68-((($C$6-$C$5)*($B$6-'Entrada das massas'!N68)+($B$5*$C$6)-($B$6*$C$6))/($B$5-$B$6)),IF('Entrada das massas'!N68&lt;=$B$5,'Entrada das massas'!N68-$C$5)))))))))))))))))</f>
        <v/>
      </c>
      <c r="Q88" s="117" t="str">
        <f t="shared" ref="Q88:Q89" si="40">IF(P88="","",(IF(AND(P88&lt;=$B$20,P88&gt;$B$19),$D$19+($B$19-P88)/($B$19-$B$20)*($D$20-$D$19),IF(AND(P88&lt;=$B$19,P88&gt;$B$18),$D$18+($B$18-P88)/($B$18-$B$19)*($D$19-$D$18),IF(AND(P88&lt;=$B$18,P88&gt;$B$17),$D$17+($B$17-P88)/($B$17-$B$18)*($D$18-$D$17),IF(AND(P88&lt;=$B$17,P88&gt;$B$16),$D$16+($B$16-P88)/($B$16-$B$17)*($D$17-$D$16),IF(AND(P88&lt;=$B$16,P88&gt;$B$15),$D$15+($B$15-P88)/($B$15-$B$16)*($D$16-$D$15),IF(AND(P88&lt;=$B$15,P88&gt;$B$14),$D$14+($B$14-P88)/($B$14-$B$15)*($D$15-$D$14),IF(AND(P88&lt;=$B$14,P88&gt;$B$13),$D$13+($B$13-P88)/($B$13-$B$14)*($D$14-$D$13),IF(AND(P88&lt;=$B$13,P88&gt;$B$12),$D$12+($B$12-P88)/($B$12-$B$13)*($D$13-$D$12),IF(AND(P88&lt;=$B$12,P88&gt;$B$11),$D$11+($B$11-P88)/($B$11-$B$12)*($D$12-$D$11),IF(AND(P88&lt;=$B$11,P88&gt;$B$10),$D$10+($B$10-P88)/($B$10-$B$11)*($D$11-$D$10),IF(AND(P88&lt;=$B$10,P88&gt;$B$9),$D$9+($B$9-P88)/($B$9-$B$10)*($D$10-$D$9),IF(AND(P88&lt;=$B$9,P88&gt;$B$8),$D$8+($B$8-P88)/($B$8-$B$9)*($D$9-$D$8),IF(AND(P88&lt;=$B$8,P88&gt;$B$7),$D$7+($B$7-P88)/($B$7-$B$8)*($D$8-$D$7),IF(AND(P88&lt;=$B$7,P88&gt;$B$6),$D$6+($B$6-P88)/($B$6-$B$7)*($D$7-$D$6),IF(P88&lt;=$B$6,$D$6)))))))))))))))))</f>
        <v/>
      </c>
      <c r="R88" s="120" t="str">
        <f>IF(P87="","",P88-P87)</f>
        <v/>
      </c>
      <c r="S88" s="117" t="str">
        <f>IF(Q87="","",SQRT(SUMSQ(Q87:Q88)))</f>
        <v/>
      </c>
      <c r="T88" s="93" t="str">
        <f>IF(P86="","","Amostra")</f>
        <v/>
      </c>
      <c r="U88" s="118"/>
      <c r="V88" s="115" t="str">
        <f>IF(W86="","","Frasco + Amostra")</f>
        <v/>
      </c>
      <c r="W88" s="95" t="str">
        <f>IF('Entrada das massas'!S68="","",IF(AND('Entrada das massas'!S68&lt;=$B$20,'Entrada das massas'!S68&gt;$B$19),'Entrada das massas'!S68-((($C$20-$C$19)*($B$20-'Entrada das massas'!S68)+($B$19*$C$20)-($B$20*$C$20))/($B$19-$B$20)),IF(AND('Entrada das massas'!S68&lt;=$B$19,'Entrada das massas'!S68&gt;$B$18),'Entrada das massas'!S68-((($C$19-$C$18)*($B$19-'Entrada das massas'!S68)+($B$18*$C$19)-($B$19*$C$19))/($B$18-$B$19)),IF(AND('Entrada das massas'!S68&lt;=$B$18,'Entrada das massas'!S68&gt;$B$17),'Entrada das massas'!S68-((($C$18-$C$17)*($B$18-'Entrada das massas'!S68)+($B$17*$C$18)-($B$18*$C$18))/($B$17-$B$18)),IF(AND('Entrada das massas'!S68&lt;=$B$17,'Entrada das massas'!S68&gt;$B$16),'Entrada das massas'!S68-((($C$17-$C$16)*($B$17-'Entrada das massas'!S68)+($B$16*$C$17)-($B$17*$C$17))/($B$16-$B$17)),IF(AND('Entrada das massas'!S68&lt;=$B$16,'Entrada das massas'!S68&gt;$B$15),'Entrada das massas'!S68-((($C$16-$C$15)*($B$16-'Entrada das massas'!S68)+($B$15*$C$16)-($B$16*$C$16))/($B$15-$B$16)),IF(AND('Entrada das massas'!S68&lt;=$B$15,'Entrada das massas'!S68&gt;$B$14),'Entrada das massas'!S68-((($C$15-$C$14)*($B$15-'Entrada das massas'!S68)+($B$14*$C$15)-($B$15*$C$15))/($B$14-$B$15)),IF(AND('Entrada das massas'!S68&lt;=$B$14,'Entrada das massas'!S68&gt;$B$13),'Entrada das massas'!S68-((($C$14-$C$13)*($B$14-'Entrada das massas'!S68)+($B$13*$C$14)-($B$14*$C$14))/($B$13-$B$14)),IF(AND('Entrada das massas'!S68&lt;=$B$13,'Entrada das massas'!S68&gt;$B$12),'Entrada das massas'!S68-((($C$13-$C$12)*($B$13-'Entrada das massas'!S68)+($B$12*$C$13)-($B$13*$C$13))/($B$12-$B$13)),IF(AND('Entrada das massas'!S68&lt;=$B$12,'Entrada das massas'!S68&gt;$B$11),'Entrada das massas'!S68-((($C$12-$C$11)*($B$12-'Entrada das massas'!S68)+($B$11*$C$12)-($B$12*$C$12))/($B$11-$B$12)),IF(AND('Entrada das massas'!S68&lt;=$B$11,'Entrada das massas'!S68&gt;$B$10),'Entrada das massas'!S68-((($C$11-$C$10)*($B$11-'Entrada das massas'!S68)+($B$10*$C$11)-($B$11*$C$11))/($B$10-$B$11)),IF(AND('Entrada das massas'!S68&lt;=$B$10,'Entrada das massas'!S68&gt;$B$9),'Entrada das massas'!S68-((($C$10-$C$9)*($B$10-'Entrada das massas'!S68)+($B$9*$C$10)-($B$10*$C$10))/($B$9-$B$10)),IF(AND('Entrada das massas'!S68&lt;=$B$9,'Entrada das massas'!S68&gt;$B$8),'Entrada das massas'!S68-((($C$9-$C$8)*($B$9-'Entrada das massas'!S68)+($B$8*$C$9)-($B$9*$C$9))/($B$8-$B$9)),IF(AND('Entrada das massas'!S68&lt;=$B$8,'Entrada das massas'!S68&gt;$B$7),'Entrada das massas'!S68-((($C$8-$C$7)*($B$8-'Entrada das massas'!S68)+($B$7*$C$8)-($B$8*$C$8))/($B$7-$B$8)),IF(AND('Entrada das massas'!S68&lt;=$B$7,'Entrada das massas'!S68&gt;$B$6),'Entrada das massas'!S68-((($C$7-$C$6)*($B$7-'Entrada das massas'!S68)+($B$6*$C$7)-($B$7*$C$7))/($B$6-$B$7)),IF(AND('Entrada das massas'!S68&lt;=$B$6,'Entrada das massas'!S68&gt;$B$5),'Entrada das massas'!S68-((($C$6-$C$5)*($B$6-'Entrada das massas'!S68)+($B$5*$C$6)-($B$6*$C$6))/($B$5-$B$6)),IF('Entrada das massas'!S68&lt;=$B$5,'Entrada das massas'!S68-$C$5)))))))))))))))))</f>
        <v/>
      </c>
      <c r="X88" s="117" t="str">
        <f t="shared" ref="X88:X89" si="41">IF(W88="","",(IF(AND(W88&lt;=$B$20,W88&gt;$B$19),$D$19+($B$19-W88)/($B$19-$B$20)*($D$20-$D$19),IF(AND(W88&lt;=$B$19,W88&gt;$B$18),$D$18+($B$18-W88)/($B$18-$B$19)*($D$19-$D$18),IF(AND(W88&lt;=$B$18,W88&gt;$B$17),$D$17+($B$17-W88)/($B$17-$B$18)*($D$18-$D$17),IF(AND(W88&lt;=$B$17,W88&gt;$B$16),$D$16+($B$16-W88)/($B$16-$B$17)*($D$17-$D$16),IF(AND(W88&lt;=$B$16,W88&gt;$B$15),$D$15+($B$15-W88)/($B$15-$B$16)*($D$16-$D$15),IF(AND(W88&lt;=$B$15,W88&gt;$B$14),$D$14+($B$14-W88)/($B$14-$B$15)*($D$15-$D$14),IF(AND(W88&lt;=$B$14,W88&gt;$B$13),$D$13+($B$13-W88)/($B$13-$B$14)*($D$14-$D$13),IF(AND(W88&lt;=$B$13,W88&gt;$B$12),$D$12+($B$12-W88)/($B$12-$B$13)*($D$13-$D$12),IF(AND(W88&lt;=$B$12,W88&gt;$B$11),$D$11+($B$11-W88)/($B$11-$B$12)*($D$12-$D$11),IF(AND(W88&lt;=$B$11,W88&gt;$B$10),$D$10+($B$10-W88)/($B$10-$B$11)*($D$11-$D$10),IF(AND(W88&lt;=$B$10,W88&gt;$B$9),$D$9+($B$9-W88)/($B$9-$B$10)*($D$10-$D$9),IF(AND(W88&lt;=$B$9,W88&gt;$B$8),$D$8+($B$8-W88)/($B$8-$B$9)*($D$9-$D$8),IF(AND(W88&lt;=$B$8,W88&gt;$B$7),$D$7+($B$7-W88)/($B$7-$B$8)*($D$8-$D$7),IF(AND(W88&lt;=$B$7,W88&gt;$B$6),$D$6+($B$6-W88)/($B$6-$B$7)*($D$7-$D$6),IF(W88&lt;=$B$6,$D$6)))))))))))))))))</f>
        <v/>
      </c>
      <c r="Y88" s="120" t="str">
        <f>IF(W87="","",W88-W87)</f>
        <v/>
      </c>
      <c r="Z88" s="117" t="str">
        <f>IF(X87="","",SQRT(SUMSQ(X87:X88)))</f>
        <v/>
      </c>
      <c r="AA88" s="93" t="str">
        <f>IF(W86="","","Amostra")</f>
        <v/>
      </c>
      <c r="AB88" s="104"/>
      <c r="AC88" s="104"/>
      <c r="AE88" s="88"/>
      <c r="AF88" s="160"/>
    </row>
    <row r="89" spans="1:32" x14ac:dyDescent="0.2">
      <c r="H89" s="123" t="str">
        <f>IF(I86="","","Massa final")</f>
        <v/>
      </c>
      <c r="I89" s="116" t="str">
        <f>IF('Entrada das massas'!I69="","",IF(AND('Entrada das massas'!I69&lt;=$B$20,'Entrada das massas'!I69&gt;$B$19),'Entrada das massas'!I69-((($C$20-$C$19)*($B$20-'Entrada das massas'!I69)+($B$19*$C$20)-($B$20*$C$20))/($B$19-$B$20)),IF(AND('Entrada das massas'!I69&lt;=$B$19,'Entrada das massas'!I69&gt;$B$18),'Entrada das massas'!I69-((($C$19-$C$18)*($B$19-'Entrada das massas'!I69)+($B$18*$C$19)-($B$19*$C$19))/($B$18-$B$19)),IF(AND('Entrada das massas'!I69&lt;=$B$18,'Entrada das massas'!I69&gt;$B$17),'Entrada das massas'!I69-((($C$18-$C$17)*($B$18-'Entrada das massas'!I69)+($B$17*$C$18)-($B$18*$C$18))/($B$17-$B$18)),IF(AND('Entrada das massas'!I69&lt;=$B$17,'Entrada das massas'!I69&gt;$B$16),'Entrada das massas'!I69-((($C$17-$C$16)*($B$17-'Entrada das massas'!I69)+($B$16*$C$17)-($B$17*$C$17))/($B$16-$B$17)),IF(AND('Entrada das massas'!I69&lt;=$B$16,'Entrada das massas'!I69&gt;$B$15),'Entrada das massas'!I69-((($C$16-$C$15)*($B$16-'Entrada das massas'!I69)+($B$15*$C$16)-($B$16*$C$16))/($B$15-$B$16)),IF(AND('Entrada das massas'!I69&lt;=$B$15,'Entrada das massas'!I69&gt;$B$14),'Entrada das massas'!I69-((($C$15-$C$14)*($B$15-'Entrada das massas'!I69)+($B$14*$C$15)-($B$15*$C$15))/($B$14-$B$15)),IF(AND('Entrada das massas'!I69&lt;=$B$14,'Entrada das massas'!I69&gt;$B$13),'Entrada das massas'!I69-((($C$14-$C$13)*($B$14-'Entrada das massas'!I69)+($B$13*$C$14)-($B$14*$C$14))/($B$13-$B$14)),IF(AND('Entrada das massas'!I69&lt;=$B$13,'Entrada das massas'!I69&gt;$B$12),'Entrada das massas'!I69-((($C$13-$C$12)*($B$13-'Entrada das massas'!I69)+($B$12*$C$13)-($B$13*$C$13))/($B$12-$B$13)),IF(AND('Entrada das massas'!I69&lt;=$B$12,'Entrada das massas'!I69&gt;$B$11),'Entrada das massas'!I69-((($C$12-$C$11)*($B$12-'Entrada das massas'!I69)+($B$11*$C$12)-($B$12*$C$12))/($B$11-$B$12)),IF(AND('Entrada das massas'!I69&lt;=$B$11,'Entrada das massas'!I69&gt;$B$10),'Entrada das massas'!I69-((($C$11-$C$10)*($B$11-'Entrada das massas'!I69)+($B$10*$C$11)-($B$11*$C$11))/($B$10-$B$11)),IF(AND('Entrada das massas'!I69&lt;=$B$10,'Entrada das massas'!I69&gt;$B$9),'Entrada das massas'!I69-((($C$10-$C$9)*($B$10-'Entrada das massas'!I69)+($B$9*$C$10)-($B$10*$C$10))/($B$9-$B$10)),IF(AND('Entrada das massas'!I69&lt;=$B$9,'Entrada das massas'!I69&gt;$B$8),'Entrada das massas'!I69-((($C$9-$C$8)*($B$9-'Entrada das massas'!I69)+($B$8*$C$9)-($B$9*$C$9))/($B$8-$B$9)),IF(AND('Entrada das massas'!I69&lt;=$B$8,'Entrada das massas'!I69&gt;$B$7),'Entrada das massas'!I69-((($C$8-$C$7)*($B$8-'Entrada das massas'!I69)+($B$7*$C$8)-($B$8*$C$8))/($B$7-$B$8)),IF(AND('Entrada das massas'!I69&lt;=$B$7,'Entrada das massas'!I69&gt;$B$6),'Entrada das massas'!I69-((($C$7-$C$6)*($B$7-'Entrada das massas'!I69)+($B$6*$C$7)-($B$7*$C$7))/($B$6-$B$7)),IF(AND('Entrada das massas'!I69&lt;=$B$6,'Entrada das massas'!I69&gt;$B$5),'Entrada das massas'!I69-((($C$6-$C$5)*($B$6-'Entrada das massas'!I69)+($B$5*$C$6)-($B$6*$C$6))/($B$5-$B$6)),IF('Entrada das massas'!I69&lt;=$B$5,'Entrada das massas'!I69-$C$5)))))))))))))))))</f>
        <v/>
      </c>
      <c r="J89" s="117" t="str">
        <f t="shared" si="39"/>
        <v/>
      </c>
      <c r="K89" s="120" t="str">
        <f>IF(I87="","",I89-I87)</f>
        <v/>
      </c>
      <c r="L89" s="117" t="str">
        <f>IF(J87="","",SQRT(SUMSQ(J87,J89)))</f>
        <v/>
      </c>
      <c r="M89" s="93" t="str">
        <f>IF(I86="","","Solução")</f>
        <v/>
      </c>
      <c r="N89" s="93"/>
      <c r="O89" s="123" t="str">
        <f>IF(P86="","","Massa final")</f>
        <v/>
      </c>
      <c r="P89" s="95" t="str">
        <f>IF('Entrada das massas'!N69="","",IF(AND('Entrada das massas'!N69&lt;=$B$20,'Entrada das massas'!N69&gt;$B$19),'Entrada das massas'!N69-((($C$20-$C$19)*($B$20-'Entrada das massas'!N69)+($B$19*$C$20)-($B$20*$C$20))/($B$19-$B$20)),IF(AND('Entrada das massas'!N69&lt;=$B$19,'Entrada das massas'!N69&gt;$B$18),'Entrada das massas'!N69-((($C$19-$C$18)*($B$19-'Entrada das massas'!N69)+($B$18*$C$19)-($B$19*$C$19))/($B$18-$B$19)),IF(AND('Entrada das massas'!N69&lt;=$B$18,'Entrada das massas'!N69&gt;$B$17),'Entrada das massas'!N69-((($C$18-$C$17)*($B$18-'Entrada das massas'!N69)+($B$17*$C$18)-($B$18*$C$18))/($B$17-$B$18)),IF(AND('Entrada das massas'!N69&lt;=$B$17,'Entrada das massas'!N69&gt;$B$16),'Entrada das massas'!N69-((($C$17-$C$16)*($B$17-'Entrada das massas'!N69)+($B$16*$C$17)-($B$17*$C$17))/($B$16-$B$17)),IF(AND('Entrada das massas'!N69&lt;=$B$16,'Entrada das massas'!N69&gt;$B$15),'Entrada das massas'!N69-((($C$16-$C$15)*($B$16-'Entrada das massas'!N69)+($B$15*$C$16)-($B$16*$C$16))/($B$15-$B$16)),IF(AND('Entrada das massas'!N69&lt;=$B$15,'Entrada das massas'!N69&gt;$B$14),'Entrada das massas'!N69-((($C$15-$C$14)*($B$15-'Entrada das massas'!N69)+($B$14*$C$15)-($B$15*$C$15))/($B$14-$B$15)),IF(AND('Entrada das massas'!N69&lt;=$B$14,'Entrada das massas'!N69&gt;$B$13),'Entrada das massas'!N69-((($C$14-$C$13)*($B$14-'Entrada das massas'!N69)+($B$13*$C$14)-($B$14*$C$14))/($B$13-$B$14)),IF(AND('Entrada das massas'!N69&lt;=$B$13,'Entrada das massas'!N69&gt;$B$12),'Entrada das massas'!N69-((($C$13-$C$12)*($B$13-'Entrada das massas'!N69)+($B$12*$C$13)-($B$13*$C$13))/($B$12-$B$13)),IF(AND('Entrada das massas'!N69&lt;=$B$12,'Entrada das massas'!N69&gt;$B$11),'Entrada das massas'!N69-((($C$12-$C$11)*($B$12-'Entrada das massas'!N69)+($B$11*$C$12)-($B$12*$C$12))/($B$11-$B$12)),IF(AND('Entrada das massas'!N69&lt;=$B$11,'Entrada das massas'!N69&gt;$B$10),'Entrada das massas'!N69-((($C$11-$C$10)*($B$11-'Entrada das massas'!N69)+($B$10*$C$11)-($B$11*$C$11))/($B$10-$B$11)),IF(AND('Entrada das massas'!N69&lt;=$B$10,'Entrada das massas'!N69&gt;$B$9),'Entrada das massas'!N69-((($C$10-$C$9)*($B$10-'Entrada das massas'!N69)+($B$9*$C$10)-($B$10*$C$10))/($B$9-$B$10)),IF(AND('Entrada das massas'!N69&lt;=$B$9,'Entrada das massas'!N69&gt;$B$8),'Entrada das massas'!N69-((($C$9-$C$8)*($B$9-'Entrada das massas'!N69)+($B$8*$C$9)-($B$9*$C$9))/($B$8-$B$9)),IF(AND('Entrada das massas'!N69&lt;=$B$8,'Entrada das massas'!N69&gt;$B$7),'Entrada das massas'!N69-((($C$8-$C$7)*($B$8-'Entrada das massas'!N69)+($B$7*$C$8)-($B$8*$C$8))/($B$7-$B$8)),IF(AND('Entrada das massas'!N69&lt;=$B$7,'Entrada das massas'!N69&gt;$B$6),'Entrada das massas'!N69-((($C$7-$C$6)*($B$7-'Entrada das massas'!N69)+($B$6*$C$7)-($B$7*$C$7))/($B$6-$B$7)),IF(AND('Entrada das massas'!N69&lt;=$B$6,'Entrada das massas'!N69&gt;$B$5),'Entrada das massas'!N69-((($C$6-$C$5)*($B$6-'Entrada das massas'!N69)+($B$5*$C$6)-($B$6*$C$6))/($B$5-$B$6)),IF('Entrada das massas'!N69&lt;=$B$5,'Entrada das massas'!N69-$C$5)))))))))))))))))</f>
        <v/>
      </c>
      <c r="Q89" s="117" t="str">
        <f t="shared" si="40"/>
        <v/>
      </c>
      <c r="R89" s="120" t="str">
        <f>IF(P87="","",P89-P87)</f>
        <v/>
      </c>
      <c r="S89" s="117" t="str">
        <f>IF(Q87="","",SQRT(SUMSQ(Q87,Q89)))</f>
        <v/>
      </c>
      <c r="T89" s="93" t="str">
        <f>IF(P86="","","Solução")</f>
        <v/>
      </c>
      <c r="U89" s="93"/>
      <c r="V89" s="123" t="str">
        <f>IF(W86="","","Massa final")</f>
        <v/>
      </c>
      <c r="W89" s="95" t="str">
        <f>IF('Entrada das massas'!S69="","",IF(AND('Entrada das massas'!S69&lt;=$B$20,'Entrada das massas'!S69&gt;$B$19),'Entrada das massas'!S69-((($C$20-$C$19)*($B$20-'Entrada das massas'!S69)+($B$19*$C$20)-($B$20*$C$20))/($B$19-$B$20)),IF(AND('Entrada das massas'!S69&lt;=$B$19,'Entrada das massas'!S69&gt;$B$18),'Entrada das massas'!S69-((($C$19-$C$18)*($B$19-'Entrada das massas'!S69)+($B$18*$C$19)-($B$19*$C$19))/($B$18-$B$19)),IF(AND('Entrada das massas'!S69&lt;=$B$18,'Entrada das massas'!S69&gt;$B$17),'Entrada das massas'!S69-((($C$18-$C$17)*($B$18-'Entrada das massas'!S69)+($B$17*$C$18)-($B$18*$C$18))/($B$17-$B$18)),IF(AND('Entrada das massas'!S69&lt;=$B$17,'Entrada das massas'!S69&gt;$B$16),'Entrada das massas'!S69-((($C$17-$C$16)*($B$17-'Entrada das massas'!S69)+($B$16*$C$17)-($B$17*$C$17))/($B$16-$B$17)),IF(AND('Entrada das massas'!S69&lt;=$B$16,'Entrada das massas'!S69&gt;$B$15),'Entrada das massas'!S69-((($C$16-$C$15)*($B$16-'Entrada das massas'!S69)+($B$15*$C$16)-($B$16*$C$16))/($B$15-$B$16)),IF(AND('Entrada das massas'!S69&lt;=$B$15,'Entrada das massas'!S69&gt;$B$14),'Entrada das massas'!S69-((($C$15-$C$14)*($B$15-'Entrada das massas'!S69)+($B$14*$C$15)-($B$15*$C$15))/($B$14-$B$15)),IF(AND('Entrada das massas'!S69&lt;=$B$14,'Entrada das massas'!S69&gt;$B$13),'Entrada das massas'!S69-((($C$14-$C$13)*($B$14-'Entrada das massas'!S69)+($B$13*$C$14)-($B$14*$C$14))/($B$13-$B$14)),IF(AND('Entrada das massas'!S69&lt;=$B$13,'Entrada das massas'!S69&gt;$B$12),'Entrada das massas'!S69-((($C$13-$C$12)*($B$13-'Entrada das massas'!S69)+($B$12*$C$13)-($B$13*$C$13))/($B$12-$B$13)),IF(AND('Entrada das massas'!S69&lt;=$B$12,'Entrada das massas'!S69&gt;$B$11),'Entrada das massas'!S69-((($C$12-$C$11)*($B$12-'Entrada das massas'!S69)+($B$11*$C$12)-($B$12*$C$12))/($B$11-$B$12)),IF(AND('Entrada das massas'!S69&lt;=$B$11,'Entrada das massas'!S69&gt;$B$10),'Entrada das massas'!S69-((($C$11-$C$10)*($B$11-'Entrada das massas'!S69)+($B$10*$C$11)-($B$11*$C$11))/($B$10-$B$11)),IF(AND('Entrada das massas'!S69&lt;=$B$10,'Entrada das massas'!S69&gt;$B$9),'Entrada das massas'!S69-((($C$10-$C$9)*($B$10-'Entrada das massas'!S69)+($B$9*$C$10)-($B$10*$C$10))/($B$9-$B$10)),IF(AND('Entrada das massas'!S69&lt;=$B$9,'Entrada das massas'!S69&gt;$B$8),'Entrada das massas'!S69-((($C$9-$C$8)*($B$9-'Entrada das massas'!S69)+($B$8*$C$9)-($B$9*$C$9))/($B$8-$B$9)),IF(AND('Entrada das massas'!S69&lt;=$B$8,'Entrada das massas'!S69&gt;$B$7),'Entrada das massas'!S69-((($C$8-$C$7)*($B$8-'Entrada das massas'!S69)+($B$7*$C$8)-($B$8*$C$8))/($B$7-$B$8)),IF(AND('Entrada das massas'!S69&lt;=$B$7,'Entrada das massas'!S69&gt;$B$6),'Entrada das massas'!S69-((($C$7-$C$6)*($B$7-'Entrada das massas'!S69)+($B$6*$C$7)-($B$7*$C$7))/($B$6-$B$7)),IF(AND('Entrada das massas'!S69&lt;=$B$6,'Entrada das massas'!S69&gt;$B$5),'Entrada das massas'!S69-((($C$6-$C$5)*($B$6-'Entrada das massas'!S69)+($B$5*$C$6)-($B$6*$C$6))/($B$5-$B$6)),IF('Entrada das massas'!S69&lt;=$B$5,'Entrada das massas'!S69-$C$5)))))))))))))))))</f>
        <v/>
      </c>
      <c r="X89" s="117" t="str">
        <f t="shared" si="41"/>
        <v/>
      </c>
      <c r="Y89" s="120" t="str">
        <f>IF(W87="","",W89-W87)</f>
        <v/>
      </c>
      <c r="Z89" s="117" t="str">
        <f>IF(X87="","",SQRT(SUMSQ(X87,X89)))</f>
        <v/>
      </c>
      <c r="AA89" s="93" t="str">
        <f>IF(W86="","","Solução")</f>
        <v/>
      </c>
      <c r="AB89" s="104"/>
      <c r="AC89" s="104"/>
      <c r="AE89" s="88"/>
      <c r="AF89" s="160"/>
    </row>
    <row r="90" spans="1:32" x14ac:dyDescent="0.2">
      <c r="H90" s="98"/>
      <c r="I90" s="93"/>
      <c r="J90" s="139"/>
      <c r="K90" s="139"/>
      <c r="L90" s="139"/>
      <c r="M90" s="98"/>
      <c r="N90" s="98"/>
      <c r="O90" s="98"/>
      <c r="P90" s="93"/>
      <c r="Q90" s="120"/>
      <c r="R90" s="120"/>
      <c r="S90" s="120"/>
      <c r="T90" s="98"/>
      <c r="U90" s="98"/>
      <c r="V90" s="98"/>
      <c r="W90" s="93"/>
      <c r="X90" s="120"/>
      <c r="Y90" s="120"/>
      <c r="Z90" s="120"/>
      <c r="AA90" s="98"/>
      <c r="AB90" s="104"/>
      <c r="AC90" s="104"/>
      <c r="AE90" s="88"/>
      <c r="AF90" s="160"/>
    </row>
    <row r="91" spans="1:32" x14ac:dyDescent="0.2">
      <c r="H91" s="126" t="str">
        <f>IF(I86="","","Amostra")</f>
        <v/>
      </c>
      <c r="I91" s="127" t="str">
        <f>IF('Entrada das massas'!I71="","",'Entrada das massas'!I71)</f>
        <v/>
      </c>
      <c r="J91" s="120" t="str">
        <f>IF(I91="","","uc(g)")</f>
        <v/>
      </c>
      <c r="K91" s="120" t="str">
        <f>IF(J91="","","Massa (g)")</f>
        <v/>
      </c>
      <c r="L91" s="120" t="str">
        <f>IF(K91="","","ucomb (g)")</f>
        <v/>
      </c>
      <c r="M91" s="98" t="str">
        <f>IF(I91="","","Fdiluição")</f>
        <v/>
      </c>
      <c r="N91" s="98"/>
      <c r="O91" s="126" t="str">
        <f>IF(M92="","","Amostra")</f>
        <v/>
      </c>
      <c r="P91" s="127" t="str">
        <f>IF('Entrada das massas'!N71="","",'Entrada das massas'!N71)</f>
        <v/>
      </c>
      <c r="Q91" s="120" t="str">
        <f>IF(P91="","","uc(g)")</f>
        <v/>
      </c>
      <c r="R91" s="120" t="str">
        <f>IF(Q91="","","Massa (g)")</f>
        <v/>
      </c>
      <c r="S91" s="120" t="str">
        <f>IF(R91="","","ucomb (g)")</f>
        <v/>
      </c>
      <c r="T91" s="98" t="str">
        <f>IF(P91="","","Fdiluição")</f>
        <v/>
      </c>
      <c r="U91" s="98"/>
      <c r="V91" s="126" t="str">
        <f>IF(T92="","","Amostra")</f>
        <v/>
      </c>
      <c r="W91" s="127" t="str">
        <f>IF('Entrada das massas'!S71="","",'Entrada das massas'!S71)</f>
        <v/>
      </c>
      <c r="X91" s="120" t="str">
        <f>IF(W91="","","uc(g)")</f>
        <v/>
      </c>
      <c r="Y91" s="120" t="str">
        <f>IF(X91="","","Massa (g)")</f>
        <v/>
      </c>
      <c r="Z91" s="120" t="str">
        <f>IF(Y91="","","ucomb (g)")</f>
        <v/>
      </c>
      <c r="AA91" s="98" t="str">
        <f>IF(W91="","","Fdiluição")</f>
        <v/>
      </c>
      <c r="AB91" s="104"/>
      <c r="AC91" s="104"/>
      <c r="AE91" s="88"/>
      <c r="AF91" s="160"/>
    </row>
    <row r="92" spans="1:32" x14ac:dyDescent="0.2">
      <c r="H92" s="115" t="str">
        <f>IF(I91="","","Frasco")</f>
        <v/>
      </c>
      <c r="I92" s="116" t="str">
        <f>IF('Entrada das massas'!I72="","",IF(AND('Entrada das massas'!I72&lt;=$B$20,'Entrada das massas'!I72&gt;$B$19),'Entrada das massas'!I72-((($C$20-$C$19)*($B$20-'Entrada das massas'!I72)+($B$19*$C$20)-($B$20*$C$20))/($B$19-$B$20)),IF(AND('Entrada das massas'!I72&lt;=$B$19,'Entrada das massas'!I72&gt;$B$18),'Entrada das massas'!I72-((($C$19-$C$18)*($B$19-'Entrada das massas'!I72)+($B$18*$C$19)-($B$19*$C$19))/($B$18-$B$19)),IF(AND('Entrada das massas'!I72&lt;=$B$18,'Entrada das massas'!I72&gt;$B$17),'Entrada das massas'!I72-((($C$18-$C$17)*($B$18-'Entrada das massas'!I72)+($B$17*$C$18)-($B$18*$C$18))/($B$17-$B$18)),IF(AND('Entrada das massas'!I72&lt;=$B$17,'Entrada das massas'!I72&gt;$B$16),'Entrada das massas'!I72-((($C$17-$C$16)*($B$17-'Entrada das massas'!I72)+($B$16*$C$17)-($B$17*$C$17))/($B$16-$B$17)),IF(AND('Entrada das massas'!I72&lt;=$B$16,'Entrada das massas'!I72&gt;$B$15),'Entrada das massas'!I72-((($C$16-$C$15)*($B$16-'Entrada das massas'!I72)+($B$15*$C$16)-($B$16*$C$16))/($B$15-$B$16)),IF(AND('Entrada das massas'!I72&lt;=$B$15,'Entrada das massas'!I72&gt;$B$14),'Entrada das massas'!I72-((($C$15-$C$14)*($B$15-'Entrada das massas'!I72)+($B$14*$C$15)-($B$15*$C$15))/($B$14-$B$15)),IF(AND('Entrada das massas'!I72&lt;=$B$14,'Entrada das massas'!I72&gt;$B$13),'Entrada das massas'!I72-((($C$14-$C$13)*($B$14-'Entrada das massas'!I72)+($B$13*$C$14)-($B$14*$C$14))/($B$13-$B$14)),IF(AND('Entrada das massas'!I72&lt;=$B$13,'Entrada das massas'!I72&gt;$B$12),'Entrada das massas'!I72-((($C$13-$C$12)*($B$13-'Entrada das massas'!I72)+($B$12*$C$13)-($B$13*$C$13))/($B$12-$B$13)),IF(AND('Entrada das massas'!I72&lt;=$B$12,'Entrada das massas'!I72&gt;$B$11),'Entrada das massas'!I72-((($C$12-$C$11)*($B$12-'Entrada das massas'!I72)+($B$11*$C$12)-($B$12*$C$12))/($B$11-$B$12)),IF(AND('Entrada das massas'!I72&lt;=$B$11,'Entrada das massas'!I72&gt;$B$10),'Entrada das massas'!I72-((($C$11-$C$10)*($B$11-'Entrada das massas'!I72)+($B$10*$C$11)-($B$11*$C$11))/($B$10-$B$11)),IF(AND('Entrada das massas'!I72&lt;=$B$10,'Entrada das massas'!I72&gt;$B$9),'Entrada das massas'!I72-((($C$10-$C$9)*($B$10-'Entrada das massas'!I72)+($B$9*$C$10)-($B$10*$C$10))/($B$9-$B$10)),IF(AND('Entrada das massas'!I72&lt;=$B$9,'Entrada das massas'!I72&gt;$B$8),'Entrada das massas'!I72-((($C$9-$C$8)*($B$9-'Entrada das massas'!I72)+($B$8*$C$9)-($B$9*$C$9))/($B$8-$B$9)),IF(AND('Entrada das massas'!I72&lt;=$B$8,'Entrada das massas'!I72&gt;$B$7),'Entrada das massas'!I72-((($C$8-$C$7)*($B$8-'Entrada das massas'!I72)+($B$7*$C$8)-($B$8*$C$8))/($B$7-$B$8)),IF(AND('Entrada das massas'!I72&lt;=$B$7,'Entrada das massas'!I72&gt;$B$6),'Entrada das massas'!I72-((($C$7-$C$6)*($B$7-'Entrada das massas'!I72)+($B$6*$C$7)-($B$7*$C$7))/($B$6-$B$7)),IF(AND('Entrada das massas'!I72&lt;=$B$6,'Entrada das massas'!I72&gt;$B$5),'Entrada das massas'!I72-((($C$6-$C$5)*($B$6-'Entrada das massas'!I72)+($B$5*$C$6)-($B$6*$C$6))/($B$5-$B$6)),IF('Entrada das massas'!I72&lt;=$B$5,'Entrada das massas'!I72-$C$5)))))))))))))))))</f>
        <v/>
      </c>
      <c r="J92" s="117" t="str">
        <f>IF(I92="","",(IF(AND(I92&lt;=$B$20,I92&gt;$B$19),$D$19+($B$19-I92)/($B$19-$B$20)*($D$20-$D$19),IF(AND(I92&lt;=$B$19,I92&gt;$B$18),$D$18+($B$18-I92)/($B$18-$B$19)*($D$19-$D$18),IF(AND(I92&lt;=$B$18,I92&gt;$B$17),$D$17+($B$17-I92)/($B$17-$B$18)*($D$18-$D$17),IF(AND(I92&lt;=$B$17,I92&gt;$B$16),$D$16+($B$16-I92)/($B$16-$B$17)*($D$17-$D$16),IF(AND(I92&lt;=$B$16,I92&gt;$B$15),$D$15+($B$15-I92)/($B$15-$B$16)*($D$16-$D$15),IF(AND(I92&lt;=$B$15,I92&gt;$B$14),$D$14+($B$14-I92)/($B$14-$B$15)*($D$15-$D$14),IF(AND(I92&lt;=$B$14,I92&gt;$B$13),$D$13+($B$13-I92)/($B$13-$B$14)*($D$14-$D$13),IF(AND(I92&lt;=$B$13,I92&gt;$B$12),$D$12+($B$12-I92)/($B$12-$B$13)*($D$13-$D$12),IF(AND(I92&lt;=$B$12,I92&gt;$B$11),$D$11+($B$11-I92)/($B$11-$B$12)*($D$12-$D$11),IF(AND(I92&lt;=$B$11,I92&gt;$B$10),$D$10+($B$10-I92)/($B$10-$B$11)*($D$11-$D$10),IF(AND(I92&lt;=$B$10,I92&gt;$B$9),$D$9+($B$9-I92)/($B$9-$B$10)*($D$10-$D$9),IF(AND(I92&lt;=$B$9,I92&gt;$B$8),$D$8+($B$8-I92)/($B$8-$B$9)*($D$9-$D$8),IF(AND(I92&lt;=$B$8,I92&gt;$B$7),$D$7+($B$7-I92)/($B$7-$B$8)*($D$8-$D$7),IF(AND(I92&lt;=$B$7,I92&gt;$B$6),$D$6+($B$6-I92)/($B$6-$B$7)*($D$7-$D$6),IF(I92&lt;=$B$6,$D$6)))))))))))))))))</f>
        <v/>
      </c>
      <c r="K92" s="117"/>
      <c r="L92" s="117"/>
      <c r="M92" s="118" t="str">
        <f>IFERROR(K94/K93,"")</f>
        <v/>
      </c>
      <c r="N92" s="93"/>
      <c r="O92" s="115" t="str">
        <f>IF(P91="","","Frasco")</f>
        <v/>
      </c>
      <c r="P92" s="95" t="str">
        <f>IF('Entrada das massas'!N72="","",IF(AND('Entrada das massas'!N72&lt;=$B$20,'Entrada das massas'!N72&gt;$B$19),'Entrada das massas'!N72-((($C$20-$C$19)*($B$20-'Entrada das massas'!N72)+($B$19*$C$20)-($B$20*$C$20))/($B$19-$B$20)),IF(AND('Entrada das massas'!N72&lt;=$B$19,'Entrada das massas'!N72&gt;$B$18),'Entrada das massas'!N72-((($C$19-$C$18)*($B$19-'Entrada das massas'!N72)+($B$18*$C$19)-($B$19*$C$19))/($B$18-$B$19)),IF(AND('Entrada das massas'!N72&lt;=$B$18,'Entrada das massas'!N72&gt;$B$17),'Entrada das massas'!N72-((($C$18-$C$17)*($B$18-'Entrada das massas'!N72)+($B$17*$C$18)-($B$18*$C$18))/($B$17-$B$18)),IF(AND('Entrada das massas'!N72&lt;=$B$17,'Entrada das massas'!N72&gt;$B$16),'Entrada das massas'!N72-((($C$17-$C$16)*($B$17-'Entrada das massas'!N72)+($B$16*$C$17)-($B$17*$C$17))/($B$16-$B$17)),IF(AND('Entrada das massas'!N72&lt;=$B$16,'Entrada das massas'!N72&gt;$B$15),'Entrada das massas'!N72-((($C$16-$C$15)*($B$16-'Entrada das massas'!N72)+($B$15*$C$16)-($B$16*$C$16))/($B$15-$B$16)),IF(AND('Entrada das massas'!N72&lt;=$B$15,'Entrada das massas'!N72&gt;$B$14),'Entrada das massas'!N72-((($C$15-$C$14)*($B$15-'Entrada das massas'!N72)+($B$14*$C$15)-($B$15*$C$15))/($B$14-$B$15)),IF(AND('Entrada das massas'!N72&lt;=$B$14,'Entrada das massas'!N72&gt;$B$13),'Entrada das massas'!N72-((($C$14-$C$13)*($B$14-'Entrada das massas'!N72)+($B$13*$C$14)-($B$14*$C$14))/($B$13-$B$14)),IF(AND('Entrada das massas'!N72&lt;=$B$13,'Entrada das massas'!N72&gt;$B$12),'Entrada das massas'!N72-((($C$13-$C$12)*($B$13-'Entrada das massas'!N72)+($B$12*$C$13)-($B$13*$C$13))/($B$12-$B$13)),IF(AND('Entrada das massas'!N72&lt;=$B$12,'Entrada das massas'!N72&gt;$B$11),'Entrada das massas'!N72-((($C$12-$C$11)*($B$12-'Entrada das massas'!N72)+($B$11*$C$12)-($B$12*$C$12))/($B$11-$B$12)),IF(AND('Entrada das massas'!N72&lt;=$B$11,'Entrada das massas'!N72&gt;$B$10),'Entrada das massas'!N72-((($C$11-$C$10)*($B$11-'Entrada das massas'!N72)+($B$10*$C$11)-($B$11*$C$11))/($B$10-$B$11)),IF(AND('Entrada das massas'!N72&lt;=$B$10,'Entrada das massas'!N72&gt;$B$9),'Entrada das massas'!N72-((($C$10-$C$9)*($B$10-'Entrada das massas'!N72)+($B$9*$C$10)-($B$10*$C$10))/($B$9-$B$10)),IF(AND('Entrada das massas'!N72&lt;=$B$9,'Entrada das massas'!N72&gt;$B$8),'Entrada das massas'!N72-((($C$9-$C$8)*($B$9-'Entrada das massas'!N72)+($B$8*$C$9)-($B$9*$C$9))/($B$8-$B$9)),IF(AND('Entrada das massas'!N72&lt;=$B$8,'Entrada das massas'!N72&gt;$B$7),'Entrada das massas'!N72-((($C$8-$C$7)*($B$8-'Entrada das massas'!N72)+($B$7*$C$8)-($B$8*$C$8))/($B$7-$B$8)),IF(AND('Entrada das massas'!N72&lt;=$B$7,'Entrada das massas'!N72&gt;$B$6),'Entrada das massas'!N72-((($C$7-$C$6)*($B$7-'Entrada das massas'!N72)+($B$6*$C$7)-($B$7*$C$7))/($B$6-$B$7)),IF(AND('Entrada das massas'!N72&lt;=$B$6,'Entrada das massas'!N72&gt;$B$5),'Entrada das massas'!N72-((($C$6-$C$5)*($B$6-'Entrada das massas'!N72)+($B$5*$C$6)-($B$6*$C$6))/($B$5-$B$6)),IF('Entrada das massas'!N72&lt;=$B$5,'Entrada das massas'!N72-$C$5)))))))))))))))))</f>
        <v/>
      </c>
      <c r="Q92" s="117" t="str">
        <f>IF(P92="","",(IF(AND(P92&lt;=$B$20,P92&gt;$B$19),$D$19+($B$19-P92)/($B$19-$B$20)*($D$20-$D$19),IF(AND(P92&lt;=$B$19,P92&gt;$B$18),$D$18+($B$18-P92)/($B$18-$B$19)*($D$19-$D$18),IF(AND(P92&lt;=$B$18,P92&gt;$B$17),$D$17+($B$17-P92)/($B$17-$B$18)*($D$18-$D$17),IF(AND(P92&lt;=$B$17,P92&gt;$B$16),$D$16+($B$16-P92)/($B$16-$B$17)*($D$17-$D$16),IF(AND(P92&lt;=$B$16,P92&gt;$B$15),$D$15+($B$15-P92)/($B$15-$B$16)*($D$16-$D$15),IF(AND(P92&lt;=$B$15,P92&gt;$B$14),$D$14+($B$14-P92)/($B$14-$B$15)*($D$15-$D$14),IF(AND(P92&lt;=$B$14,P92&gt;$B$13),$D$13+($B$13-P92)/($B$13-$B$14)*($D$14-$D$13),IF(AND(P92&lt;=$B$13,P92&gt;$B$12),$D$12+($B$12-P92)/($B$12-$B$13)*($D$13-$D$12),IF(AND(P92&lt;=$B$12,P92&gt;$B$11),$D$11+($B$11-P92)/($B$11-$B$12)*($D$12-$D$11),IF(AND(P92&lt;=$B$11,P92&gt;$B$10),$D$10+($B$10-P92)/($B$10-$B$11)*($D$11-$D$10),IF(AND(P92&lt;=$B$10,P92&gt;$B$9),$D$9+($B$9-P92)/($B$9-$B$10)*($D$10-$D$9),IF(AND(P92&lt;=$B$9,P92&gt;$B$8),$D$8+($B$8-P92)/($B$8-$B$9)*($D$9-$D$8),IF(AND(P92&lt;=$B$8,P92&gt;$B$7),$D$7+($B$7-P92)/($B$7-$B$8)*($D$8-$D$7),IF(AND(P92&lt;=$B$7,P92&gt;$B$6),$D$6+($B$6-P92)/($B$6-$B$7)*($D$7-$D$6),IF(P92&lt;=$B$6,$D$6)))))))))))))))))</f>
        <v/>
      </c>
      <c r="R92" s="117"/>
      <c r="S92" s="117"/>
      <c r="T92" s="118" t="str">
        <f>IFERROR(R94/R93,"")</f>
        <v/>
      </c>
      <c r="U92" s="93"/>
      <c r="V92" s="115" t="str">
        <f>IF(W91="","","Frasco")</f>
        <v/>
      </c>
      <c r="W92" s="95" t="str">
        <f>IF('Entrada das massas'!S72="","",IF(AND('Entrada das massas'!S72&lt;=$B$20,'Entrada das massas'!S72&gt;$B$19),'Entrada das massas'!S72-((($C$20-$C$19)*($B$20-'Entrada das massas'!S72)+($B$19*$C$20)-($B$20*$C$20))/($B$19-$B$20)),IF(AND('Entrada das massas'!S72&lt;=$B$19,'Entrada das massas'!S72&gt;$B$18),'Entrada das massas'!S72-((($C$19-$C$18)*($B$19-'Entrada das massas'!S72)+($B$18*$C$19)-($B$19*$C$19))/($B$18-$B$19)),IF(AND('Entrada das massas'!S72&lt;=$B$18,'Entrada das massas'!S72&gt;$B$17),'Entrada das massas'!S72-((($C$18-$C$17)*($B$18-'Entrada das massas'!S72)+($B$17*$C$18)-($B$18*$C$18))/($B$17-$B$18)),IF(AND('Entrada das massas'!S72&lt;=$B$17,'Entrada das massas'!S72&gt;$B$16),'Entrada das massas'!S72-((($C$17-$C$16)*($B$17-'Entrada das massas'!S72)+($B$16*$C$17)-($B$17*$C$17))/($B$16-$B$17)),IF(AND('Entrada das massas'!S72&lt;=$B$16,'Entrada das massas'!S72&gt;$B$15),'Entrada das massas'!S72-((($C$16-$C$15)*($B$16-'Entrada das massas'!S72)+($B$15*$C$16)-($B$16*$C$16))/($B$15-$B$16)),IF(AND('Entrada das massas'!S72&lt;=$B$15,'Entrada das massas'!S72&gt;$B$14),'Entrada das massas'!S72-((($C$15-$C$14)*($B$15-'Entrada das massas'!S72)+($B$14*$C$15)-($B$15*$C$15))/($B$14-$B$15)),IF(AND('Entrada das massas'!S72&lt;=$B$14,'Entrada das massas'!S72&gt;$B$13),'Entrada das massas'!S72-((($C$14-$C$13)*($B$14-'Entrada das massas'!S72)+($B$13*$C$14)-($B$14*$C$14))/($B$13-$B$14)),IF(AND('Entrada das massas'!S72&lt;=$B$13,'Entrada das massas'!S72&gt;$B$12),'Entrada das massas'!S72-((($C$13-$C$12)*($B$13-'Entrada das massas'!S72)+($B$12*$C$13)-($B$13*$C$13))/($B$12-$B$13)),IF(AND('Entrada das massas'!S72&lt;=$B$12,'Entrada das massas'!S72&gt;$B$11),'Entrada das massas'!S72-((($C$12-$C$11)*($B$12-'Entrada das massas'!S72)+($B$11*$C$12)-($B$12*$C$12))/($B$11-$B$12)),IF(AND('Entrada das massas'!S72&lt;=$B$11,'Entrada das massas'!S72&gt;$B$10),'Entrada das massas'!S72-((($C$11-$C$10)*($B$11-'Entrada das massas'!S72)+($B$10*$C$11)-($B$11*$C$11))/($B$10-$B$11)),IF(AND('Entrada das massas'!S72&lt;=$B$10,'Entrada das massas'!S72&gt;$B$9),'Entrada das massas'!S72-((($C$10-$C$9)*($B$10-'Entrada das massas'!S72)+($B$9*$C$10)-($B$10*$C$10))/($B$9-$B$10)),IF(AND('Entrada das massas'!S72&lt;=$B$9,'Entrada das massas'!S72&gt;$B$8),'Entrada das massas'!S72-((($C$9-$C$8)*($B$9-'Entrada das massas'!S72)+($B$8*$C$9)-($B$9*$C$9))/($B$8-$B$9)),IF(AND('Entrada das massas'!S72&lt;=$B$8,'Entrada das massas'!S72&gt;$B$7),'Entrada das massas'!S72-((($C$8-$C$7)*($B$8-'Entrada das massas'!S72)+($B$7*$C$8)-($B$8*$C$8))/($B$7-$B$8)),IF(AND('Entrada das massas'!S72&lt;=$B$7,'Entrada das massas'!S72&gt;$B$6),'Entrada das massas'!S72-((($C$7-$C$6)*($B$7-'Entrada das massas'!S72)+($B$6*$C$7)-($B$7*$C$7))/($B$6-$B$7)),IF(AND('Entrada das massas'!S72&lt;=$B$6,'Entrada das massas'!S72&gt;$B$5),'Entrada das massas'!S72-((($C$6-$C$5)*($B$6-'Entrada das massas'!S72)+($B$5*$C$6)-($B$6*$C$6))/($B$5-$B$6)),IF('Entrada das massas'!S72&lt;=$B$5,'Entrada das massas'!S72-$C$5)))))))))))))))))</f>
        <v/>
      </c>
      <c r="X92" s="117" t="str">
        <f>IF(W92="","",(IF(AND(W92&lt;=$B$20,W92&gt;$B$19),$D$19+($B$19-W92)/($B$19-$B$20)*($D$20-$D$19),IF(AND(W92&lt;=$B$19,W92&gt;$B$18),$D$18+($B$18-W92)/($B$18-$B$19)*($D$19-$D$18),IF(AND(W92&lt;=$B$18,W92&gt;$B$17),$D$17+($B$17-W92)/($B$17-$B$18)*($D$18-$D$17),IF(AND(W92&lt;=$B$17,W92&gt;$B$16),$D$16+($B$16-W92)/($B$16-$B$17)*($D$17-$D$16),IF(AND(W92&lt;=$B$16,W92&gt;$B$15),$D$15+($B$15-W92)/($B$15-$B$16)*($D$16-$D$15),IF(AND(W92&lt;=$B$15,W92&gt;$B$14),$D$14+($B$14-W92)/($B$14-$B$15)*($D$15-$D$14),IF(AND(W92&lt;=$B$14,W92&gt;$B$13),$D$13+($B$13-W92)/($B$13-$B$14)*($D$14-$D$13),IF(AND(W92&lt;=$B$13,W92&gt;$B$12),$D$12+($B$12-W92)/($B$12-$B$13)*($D$13-$D$12),IF(AND(W92&lt;=$B$12,W92&gt;$B$11),$D$11+($B$11-W92)/($B$11-$B$12)*($D$12-$D$11),IF(AND(W92&lt;=$B$11,W92&gt;$B$10),$D$10+($B$10-W92)/($B$10-$B$11)*($D$11-$D$10),IF(AND(W92&lt;=$B$10,W92&gt;$B$9),$D$9+($B$9-W92)/($B$9-$B$10)*($D$10-$D$9),IF(AND(W92&lt;=$B$9,W92&gt;$B$8),$D$8+($B$8-W92)/($B$8-$B$9)*($D$9-$D$8),IF(AND(W92&lt;=$B$8,W92&gt;$B$7),$D$7+($B$7-W92)/($B$7-$B$8)*($D$8-$D$7),IF(AND(W92&lt;=$B$7,W92&gt;$B$6),$D$6+($B$6-W92)/($B$6-$B$7)*($D$7-$D$6),IF(W92&lt;=$B$6,$D$6)))))))))))))))))</f>
        <v/>
      </c>
      <c r="Y92" s="117"/>
      <c r="Z92" s="117"/>
      <c r="AA92" s="118" t="str">
        <f>IFERROR(Y94/Y93,"")</f>
        <v/>
      </c>
      <c r="AB92" s="104"/>
      <c r="AC92" s="104"/>
      <c r="AE92" s="88"/>
      <c r="AF92" s="160"/>
    </row>
    <row r="93" spans="1:32" x14ac:dyDescent="0.2">
      <c r="H93" s="115" t="str">
        <f>IF(I91="","","Frasco + Amostra")</f>
        <v/>
      </c>
      <c r="I93" s="116" t="str">
        <f>IF('Entrada das massas'!I73="","",IF(AND('Entrada das massas'!I73&lt;=$B$20,'Entrada das massas'!I73&gt;$B$19),'Entrada das massas'!I73-((($C$20-$C$19)*($B$20-'Entrada das massas'!I73)+($B$19*$C$20)-($B$20*$C$20))/($B$19-$B$20)),IF(AND('Entrada das massas'!I73&lt;=$B$19,'Entrada das massas'!I73&gt;$B$18),'Entrada das massas'!I73-((($C$19-$C$18)*($B$19-'Entrada das massas'!I73)+($B$18*$C$19)-($B$19*$C$19))/($B$18-$B$19)),IF(AND('Entrada das massas'!I73&lt;=$B$18,'Entrada das massas'!I73&gt;$B$17),'Entrada das massas'!I73-((($C$18-$C$17)*($B$18-'Entrada das massas'!I73)+($B$17*$C$18)-($B$18*$C$18))/($B$17-$B$18)),IF(AND('Entrada das massas'!I73&lt;=$B$17,'Entrada das massas'!I73&gt;$B$16),'Entrada das massas'!I73-((($C$17-$C$16)*($B$17-'Entrada das massas'!I73)+($B$16*$C$17)-($B$17*$C$17))/($B$16-$B$17)),IF(AND('Entrada das massas'!I73&lt;=$B$16,'Entrada das massas'!I73&gt;$B$15),'Entrada das massas'!I73-((($C$16-$C$15)*($B$16-'Entrada das massas'!I73)+($B$15*$C$16)-($B$16*$C$16))/($B$15-$B$16)),IF(AND('Entrada das massas'!I73&lt;=$B$15,'Entrada das massas'!I73&gt;$B$14),'Entrada das massas'!I73-((($C$15-$C$14)*($B$15-'Entrada das massas'!I73)+($B$14*$C$15)-($B$15*$C$15))/($B$14-$B$15)),IF(AND('Entrada das massas'!I73&lt;=$B$14,'Entrada das massas'!I73&gt;$B$13),'Entrada das massas'!I73-((($C$14-$C$13)*($B$14-'Entrada das massas'!I73)+($B$13*$C$14)-($B$14*$C$14))/($B$13-$B$14)),IF(AND('Entrada das massas'!I73&lt;=$B$13,'Entrada das massas'!I73&gt;$B$12),'Entrada das massas'!I73-((($C$13-$C$12)*($B$13-'Entrada das massas'!I73)+($B$12*$C$13)-($B$13*$C$13))/($B$12-$B$13)),IF(AND('Entrada das massas'!I73&lt;=$B$12,'Entrada das massas'!I73&gt;$B$11),'Entrada das massas'!I73-((($C$12-$C$11)*($B$12-'Entrada das massas'!I73)+($B$11*$C$12)-($B$12*$C$12))/($B$11-$B$12)),IF(AND('Entrada das massas'!I73&lt;=$B$11,'Entrada das massas'!I73&gt;$B$10),'Entrada das massas'!I73-((($C$11-$C$10)*($B$11-'Entrada das massas'!I73)+($B$10*$C$11)-($B$11*$C$11))/($B$10-$B$11)),IF(AND('Entrada das massas'!I73&lt;=$B$10,'Entrada das massas'!I73&gt;$B$9),'Entrada das massas'!I73-((($C$10-$C$9)*($B$10-'Entrada das massas'!I73)+($B$9*$C$10)-($B$10*$C$10))/($B$9-$B$10)),IF(AND('Entrada das massas'!I73&lt;=$B$9,'Entrada das massas'!I73&gt;$B$8),'Entrada das massas'!I73-((($C$9-$C$8)*($B$9-'Entrada das massas'!I73)+($B$8*$C$9)-($B$9*$C$9))/($B$8-$B$9)),IF(AND('Entrada das massas'!I73&lt;=$B$8,'Entrada das massas'!I73&gt;$B$7),'Entrada das massas'!I73-((($C$8-$C$7)*($B$8-'Entrada das massas'!I73)+($B$7*$C$8)-($B$8*$C$8))/($B$7-$B$8)),IF(AND('Entrada das massas'!I73&lt;=$B$7,'Entrada das massas'!I73&gt;$B$6),'Entrada das massas'!I73-((($C$7-$C$6)*($B$7-'Entrada das massas'!I73)+($B$6*$C$7)-($B$7*$C$7))/($B$6-$B$7)),IF(AND('Entrada das massas'!I73&lt;=$B$6,'Entrada das massas'!I73&gt;$B$5),'Entrada das massas'!I73-((($C$6-$C$5)*($B$6-'Entrada das massas'!I73)+($B$5*$C$6)-($B$6*$C$6))/($B$5-$B$6)),IF('Entrada das massas'!I73&lt;=$B$5,'Entrada das massas'!I73-$C$5)))))))))))))))))</f>
        <v/>
      </c>
      <c r="J93" s="117" t="str">
        <f t="shared" ref="J93:J94" si="42">IF(I93="","",(IF(AND(I93&lt;=$B$20,I93&gt;$B$19),$D$19+($B$19-I93)/($B$19-$B$20)*($D$20-$D$19),IF(AND(I93&lt;=$B$19,I93&gt;$B$18),$D$18+($B$18-I93)/($B$18-$B$19)*($D$19-$D$18),IF(AND(I93&lt;=$B$18,I93&gt;$B$17),$D$17+($B$17-I93)/($B$17-$B$18)*($D$18-$D$17),IF(AND(I93&lt;=$B$17,I93&gt;$B$16),$D$16+($B$16-I93)/($B$16-$B$17)*($D$17-$D$16),IF(AND(I93&lt;=$B$16,I93&gt;$B$15),$D$15+($B$15-I93)/($B$15-$B$16)*($D$16-$D$15),IF(AND(I93&lt;=$B$15,I93&gt;$B$14),$D$14+($B$14-I93)/($B$14-$B$15)*($D$15-$D$14),IF(AND(I93&lt;=$B$14,I93&gt;$B$13),$D$13+($B$13-I93)/($B$13-$B$14)*($D$14-$D$13),IF(AND(I93&lt;=$B$13,I93&gt;$B$12),$D$12+($B$12-I93)/($B$12-$B$13)*($D$13-$D$12),IF(AND(I93&lt;=$B$12,I93&gt;$B$11),$D$11+($B$11-I93)/($B$11-$B$12)*($D$12-$D$11),IF(AND(I93&lt;=$B$11,I93&gt;$B$10),$D$10+($B$10-I93)/($B$10-$B$11)*($D$11-$D$10),IF(AND(I93&lt;=$B$10,I93&gt;$B$9),$D$9+($B$9-I93)/($B$9-$B$10)*($D$10-$D$9),IF(AND(I93&lt;=$B$9,I93&gt;$B$8),$D$8+($B$8-I93)/($B$8-$B$9)*($D$9-$D$8),IF(AND(I93&lt;=$B$8,I93&gt;$B$7),$D$7+($B$7-I93)/($B$7-$B$8)*($D$8-$D$7),IF(AND(I93&lt;=$B$7,I93&gt;$B$6),$D$6+($B$6-I93)/($B$6-$B$7)*($D$7-$D$6),IF(I93&lt;=$B$6,$D$6)))))))))))))))))</f>
        <v/>
      </c>
      <c r="K93" s="120" t="str">
        <f>IF(I92="","",I93-I92)</f>
        <v/>
      </c>
      <c r="L93" s="117" t="str">
        <f>IF(J92="","",SQRT(SUMSQ(J92:J93)))</f>
        <v/>
      </c>
      <c r="M93" s="93" t="str">
        <f>IF(I91="","","Amostra")</f>
        <v/>
      </c>
      <c r="N93" s="118"/>
      <c r="O93" s="115" t="str">
        <f>IF(P91="","","Frasco + Amostra")</f>
        <v/>
      </c>
      <c r="P93" s="95" t="str">
        <f>IF('Entrada das massas'!N73="","",IF(AND('Entrada das massas'!N73&lt;=$B$20,'Entrada das massas'!N73&gt;$B$19),'Entrada das massas'!N73-((($C$20-$C$19)*($B$20-'Entrada das massas'!N73)+($B$19*$C$20)-($B$20*$C$20))/($B$19-$B$20)),IF(AND('Entrada das massas'!N73&lt;=$B$19,'Entrada das massas'!N73&gt;$B$18),'Entrada das massas'!N73-((($C$19-$C$18)*($B$19-'Entrada das massas'!N73)+($B$18*$C$19)-($B$19*$C$19))/($B$18-$B$19)),IF(AND('Entrada das massas'!N73&lt;=$B$18,'Entrada das massas'!N73&gt;$B$17),'Entrada das massas'!N73-((($C$18-$C$17)*($B$18-'Entrada das massas'!N73)+($B$17*$C$18)-($B$18*$C$18))/($B$17-$B$18)),IF(AND('Entrada das massas'!N73&lt;=$B$17,'Entrada das massas'!N73&gt;$B$16),'Entrada das massas'!N73-((($C$17-$C$16)*($B$17-'Entrada das massas'!N73)+($B$16*$C$17)-($B$17*$C$17))/($B$16-$B$17)),IF(AND('Entrada das massas'!N73&lt;=$B$16,'Entrada das massas'!N73&gt;$B$15),'Entrada das massas'!N73-((($C$16-$C$15)*($B$16-'Entrada das massas'!N73)+($B$15*$C$16)-($B$16*$C$16))/($B$15-$B$16)),IF(AND('Entrada das massas'!N73&lt;=$B$15,'Entrada das massas'!N73&gt;$B$14),'Entrada das massas'!N73-((($C$15-$C$14)*($B$15-'Entrada das massas'!N73)+($B$14*$C$15)-($B$15*$C$15))/($B$14-$B$15)),IF(AND('Entrada das massas'!N73&lt;=$B$14,'Entrada das massas'!N73&gt;$B$13),'Entrada das massas'!N73-((($C$14-$C$13)*($B$14-'Entrada das massas'!N73)+($B$13*$C$14)-($B$14*$C$14))/($B$13-$B$14)),IF(AND('Entrada das massas'!N73&lt;=$B$13,'Entrada das massas'!N73&gt;$B$12),'Entrada das massas'!N73-((($C$13-$C$12)*($B$13-'Entrada das massas'!N73)+($B$12*$C$13)-($B$13*$C$13))/($B$12-$B$13)),IF(AND('Entrada das massas'!N73&lt;=$B$12,'Entrada das massas'!N73&gt;$B$11),'Entrada das massas'!N73-((($C$12-$C$11)*($B$12-'Entrada das massas'!N73)+($B$11*$C$12)-($B$12*$C$12))/($B$11-$B$12)),IF(AND('Entrada das massas'!N73&lt;=$B$11,'Entrada das massas'!N73&gt;$B$10),'Entrada das massas'!N73-((($C$11-$C$10)*($B$11-'Entrada das massas'!N73)+($B$10*$C$11)-($B$11*$C$11))/($B$10-$B$11)),IF(AND('Entrada das massas'!N73&lt;=$B$10,'Entrada das massas'!N73&gt;$B$9),'Entrada das massas'!N73-((($C$10-$C$9)*($B$10-'Entrada das massas'!N73)+($B$9*$C$10)-($B$10*$C$10))/($B$9-$B$10)),IF(AND('Entrada das massas'!N73&lt;=$B$9,'Entrada das massas'!N73&gt;$B$8),'Entrada das massas'!N73-((($C$9-$C$8)*($B$9-'Entrada das massas'!N73)+($B$8*$C$9)-($B$9*$C$9))/($B$8-$B$9)),IF(AND('Entrada das massas'!N73&lt;=$B$8,'Entrada das massas'!N73&gt;$B$7),'Entrada das massas'!N73-((($C$8-$C$7)*($B$8-'Entrada das massas'!N73)+($B$7*$C$8)-($B$8*$C$8))/($B$7-$B$8)),IF(AND('Entrada das massas'!N73&lt;=$B$7,'Entrada das massas'!N73&gt;$B$6),'Entrada das massas'!N73-((($C$7-$C$6)*($B$7-'Entrada das massas'!N73)+($B$6*$C$7)-($B$7*$C$7))/($B$6-$B$7)),IF(AND('Entrada das massas'!N73&lt;=$B$6,'Entrada das massas'!N73&gt;$B$5),'Entrada das massas'!N73-((($C$6-$C$5)*($B$6-'Entrada das massas'!N73)+($B$5*$C$6)-($B$6*$C$6))/($B$5-$B$6)),IF('Entrada das massas'!N73&lt;=$B$5,'Entrada das massas'!N73-$C$5)))))))))))))))))</f>
        <v/>
      </c>
      <c r="Q93" s="117" t="str">
        <f t="shared" ref="Q93:Q94" si="43">IF(P93="","",(IF(AND(P93&lt;=$B$20,P93&gt;$B$19),$D$19+($B$19-P93)/($B$19-$B$20)*($D$20-$D$19),IF(AND(P93&lt;=$B$19,P93&gt;$B$18),$D$18+($B$18-P93)/($B$18-$B$19)*($D$19-$D$18),IF(AND(P93&lt;=$B$18,P93&gt;$B$17),$D$17+($B$17-P93)/($B$17-$B$18)*($D$18-$D$17),IF(AND(P93&lt;=$B$17,P93&gt;$B$16),$D$16+($B$16-P93)/($B$16-$B$17)*($D$17-$D$16),IF(AND(P93&lt;=$B$16,P93&gt;$B$15),$D$15+($B$15-P93)/($B$15-$B$16)*($D$16-$D$15),IF(AND(P93&lt;=$B$15,P93&gt;$B$14),$D$14+($B$14-P93)/($B$14-$B$15)*($D$15-$D$14),IF(AND(P93&lt;=$B$14,P93&gt;$B$13),$D$13+($B$13-P93)/($B$13-$B$14)*($D$14-$D$13),IF(AND(P93&lt;=$B$13,P93&gt;$B$12),$D$12+($B$12-P93)/($B$12-$B$13)*($D$13-$D$12),IF(AND(P93&lt;=$B$12,P93&gt;$B$11),$D$11+($B$11-P93)/($B$11-$B$12)*($D$12-$D$11),IF(AND(P93&lt;=$B$11,P93&gt;$B$10),$D$10+($B$10-P93)/($B$10-$B$11)*($D$11-$D$10),IF(AND(P93&lt;=$B$10,P93&gt;$B$9),$D$9+($B$9-P93)/($B$9-$B$10)*($D$10-$D$9),IF(AND(P93&lt;=$B$9,P93&gt;$B$8),$D$8+($B$8-P93)/($B$8-$B$9)*($D$9-$D$8),IF(AND(P93&lt;=$B$8,P93&gt;$B$7),$D$7+($B$7-P93)/($B$7-$B$8)*($D$8-$D$7),IF(AND(P93&lt;=$B$7,P93&gt;$B$6),$D$6+($B$6-P93)/($B$6-$B$7)*($D$7-$D$6),IF(P93&lt;=$B$6,$D$6)))))))))))))))))</f>
        <v/>
      </c>
      <c r="R93" s="120" t="str">
        <f>IF(P92="","",P93-P92)</f>
        <v/>
      </c>
      <c r="S93" s="117" t="str">
        <f>IF(Q92="","",SQRT(SUMSQ(Q92:Q93)))</f>
        <v/>
      </c>
      <c r="T93" s="93" t="str">
        <f>IF(P91="","","Amostra")</f>
        <v/>
      </c>
      <c r="U93" s="118"/>
      <c r="V93" s="115" t="str">
        <f>IF(W91="","","Frasco + Amostra")</f>
        <v/>
      </c>
      <c r="W93" s="95" t="str">
        <f>IF('Entrada das massas'!S73="","",IF(AND('Entrada das massas'!S73&lt;=$B$20,'Entrada das massas'!S73&gt;$B$19),'Entrada das massas'!S73-((($C$20-$C$19)*($B$20-'Entrada das massas'!S73)+($B$19*$C$20)-($B$20*$C$20))/($B$19-$B$20)),IF(AND('Entrada das massas'!S73&lt;=$B$19,'Entrada das massas'!S73&gt;$B$18),'Entrada das massas'!S73-((($C$19-$C$18)*($B$19-'Entrada das massas'!S73)+($B$18*$C$19)-($B$19*$C$19))/($B$18-$B$19)),IF(AND('Entrada das massas'!S73&lt;=$B$18,'Entrada das massas'!S73&gt;$B$17),'Entrada das massas'!S73-((($C$18-$C$17)*($B$18-'Entrada das massas'!S73)+($B$17*$C$18)-($B$18*$C$18))/($B$17-$B$18)),IF(AND('Entrada das massas'!S73&lt;=$B$17,'Entrada das massas'!S73&gt;$B$16),'Entrada das massas'!S73-((($C$17-$C$16)*($B$17-'Entrada das massas'!S73)+($B$16*$C$17)-($B$17*$C$17))/($B$16-$B$17)),IF(AND('Entrada das massas'!S73&lt;=$B$16,'Entrada das massas'!S73&gt;$B$15),'Entrada das massas'!S73-((($C$16-$C$15)*($B$16-'Entrada das massas'!S73)+($B$15*$C$16)-($B$16*$C$16))/($B$15-$B$16)),IF(AND('Entrada das massas'!S73&lt;=$B$15,'Entrada das massas'!S73&gt;$B$14),'Entrada das massas'!S73-((($C$15-$C$14)*($B$15-'Entrada das massas'!S73)+($B$14*$C$15)-($B$15*$C$15))/($B$14-$B$15)),IF(AND('Entrada das massas'!S73&lt;=$B$14,'Entrada das massas'!S73&gt;$B$13),'Entrada das massas'!S73-((($C$14-$C$13)*($B$14-'Entrada das massas'!S73)+($B$13*$C$14)-($B$14*$C$14))/($B$13-$B$14)),IF(AND('Entrada das massas'!S73&lt;=$B$13,'Entrada das massas'!S73&gt;$B$12),'Entrada das massas'!S73-((($C$13-$C$12)*($B$13-'Entrada das massas'!S73)+($B$12*$C$13)-($B$13*$C$13))/($B$12-$B$13)),IF(AND('Entrada das massas'!S73&lt;=$B$12,'Entrada das massas'!S73&gt;$B$11),'Entrada das massas'!S73-((($C$12-$C$11)*($B$12-'Entrada das massas'!S73)+($B$11*$C$12)-($B$12*$C$12))/($B$11-$B$12)),IF(AND('Entrada das massas'!S73&lt;=$B$11,'Entrada das massas'!S73&gt;$B$10),'Entrada das massas'!S73-((($C$11-$C$10)*($B$11-'Entrada das massas'!S73)+($B$10*$C$11)-($B$11*$C$11))/($B$10-$B$11)),IF(AND('Entrada das massas'!S73&lt;=$B$10,'Entrada das massas'!S73&gt;$B$9),'Entrada das massas'!S73-((($C$10-$C$9)*($B$10-'Entrada das massas'!S73)+($B$9*$C$10)-($B$10*$C$10))/($B$9-$B$10)),IF(AND('Entrada das massas'!S73&lt;=$B$9,'Entrada das massas'!S73&gt;$B$8),'Entrada das massas'!S73-((($C$9-$C$8)*($B$9-'Entrada das massas'!S73)+($B$8*$C$9)-($B$9*$C$9))/($B$8-$B$9)),IF(AND('Entrada das massas'!S73&lt;=$B$8,'Entrada das massas'!S73&gt;$B$7),'Entrada das massas'!S73-((($C$8-$C$7)*($B$8-'Entrada das massas'!S73)+($B$7*$C$8)-($B$8*$C$8))/($B$7-$B$8)),IF(AND('Entrada das massas'!S73&lt;=$B$7,'Entrada das massas'!S73&gt;$B$6),'Entrada das massas'!S73-((($C$7-$C$6)*($B$7-'Entrada das massas'!S73)+($B$6*$C$7)-($B$7*$C$7))/($B$6-$B$7)),IF(AND('Entrada das massas'!S73&lt;=$B$6,'Entrada das massas'!S73&gt;$B$5),'Entrada das massas'!S73-((($C$6-$C$5)*($B$6-'Entrada das massas'!S73)+($B$5*$C$6)-($B$6*$C$6))/($B$5-$B$6)),IF('Entrada das massas'!S73&lt;=$B$5,'Entrada das massas'!S73-$C$5)))))))))))))))))</f>
        <v/>
      </c>
      <c r="X93" s="117" t="str">
        <f t="shared" ref="X93:X94" si="44">IF(W93="","",(IF(AND(W93&lt;=$B$20,W93&gt;$B$19),$D$19+($B$19-W93)/($B$19-$B$20)*($D$20-$D$19),IF(AND(W93&lt;=$B$19,W93&gt;$B$18),$D$18+($B$18-W93)/($B$18-$B$19)*($D$19-$D$18),IF(AND(W93&lt;=$B$18,W93&gt;$B$17),$D$17+($B$17-W93)/($B$17-$B$18)*($D$18-$D$17),IF(AND(W93&lt;=$B$17,W93&gt;$B$16),$D$16+($B$16-W93)/($B$16-$B$17)*($D$17-$D$16),IF(AND(W93&lt;=$B$16,W93&gt;$B$15),$D$15+($B$15-W93)/($B$15-$B$16)*($D$16-$D$15),IF(AND(W93&lt;=$B$15,W93&gt;$B$14),$D$14+($B$14-W93)/($B$14-$B$15)*($D$15-$D$14),IF(AND(W93&lt;=$B$14,W93&gt;$B$13),$D$13+($B$13-W93)/($B$13-$B$14)*($D$14-$D$13),IF(AND(W93&lt;=$B$13,W93&gt;$B$12),$D$12+($B$12-W93)/($B$12-$B$13)*($D$13-$D$12),IF(AND(W93&lt;=$B$12,W93&gt;$B$11),$D$11+($B$11-W93)/($B$11-$B$12)*($D$12-$D$11),IF(AND(W93&lt;=$B$11,W93&gt;$B$10),$D$10+($B$10-W93)/($B$10-$B$11)*($D$11-$D$10),IF(AND(W93&lt;=$B$10,W93&gt;$B$9),$D$9+($B$9-W93)/($B$9-$B$10)*($D$10-$D$9),IF(AND(W93&lt;=$B$9,W93&gt;$B$8),$D$8+($B$8-W93)/($B$8-$B$9)*($D$9-$D$8),IF(AND(W93&lt;=$B$8,W93&gt;$B$7),$D$7+($B$7-W93)/($B$7-$B$8)*($D$8-$D$7),IF(AND(W93&lt;=$B$7,W93&gt;$B$6),$D$6+($B$6-W93)/($B$6-$B$7)*($D$7-$D$6),IF(W93&lt;=$B$6,$D$6)))))))))))))))))</f>
        <v/>
      </c>
      <c r="Y93" s="120" t="str">
        <f>IF(W92="","",W93-W92)</f>
        <v/>
      </c>
      <c r="Z93" s="117" t="str">
        <f>IF(X92="","",SQRT(SUMSQ(X92:X93)))</f>
        <v/>
      </c>
      <c r="AA93" s="93" t="str">
        <f>IF(W91="","","Amostra")</f>
        <v/>
      </c>
      <c r="AB93" s="104"/>
      <c r="AC93" s="104"/>
      <c r="AE93" s="88"/>
      <c r="AF93" s="160"/>
    </row>
    <row r="94" spans="1:32" x14ac:dyDescent="0.2">
      <c r="H94" s="123" t="str">
        <f>IF(I91="","","Massa final")</f>
        <v/>
      </c>
      <c r="I94" s="116" t="str">
        <f>IF('Entrada das massas'!I74="","",IF(AND('Entrada das massas'!I74&lt;=$B$20,'Entrada das massas'!I74&gt;$B$19),'Entrada das massas'!I74-((($C$20-$C$19)*($B$20-'Entrada das massas'!I74)+($B$19*$C$20)-($B$20*$C$20))/($B$19-$B$20)),IF(AND('Entrada das massas'!I74&lt;=$B$19,'Entrada das massas'!I74&gt;$B$18),'Entrada das massas'!I74-((($C$19-$C$18)*($B$19-'Entrada das massas'!I74)+($B$18*$C$19)-($B$19*$C$19))/($B$18-$B$19)),IF(AND('Entrada das massas'!I74&lt;=$B$18,'Entrada das massas'!I74&gt;$B$17),'Entrada das massas'!I74-((($C$18-$C$17)*($B$18-'Entrada das massas'!I74)+($B$17*$C$18)-($B$18*$C$18))/($B$17-$B$18)),IF(AND('Entrada das massas'!I74&lt;=$B$17,'Entrada das massas'!I74&gt;$B$16),'Entrada das massas'!I74-((($C$17-$C$16)*($B$17-'Entrada das massas'!I74)+($B$16*$C$17)-($B$17*$C$17))/($B$16-$B$17)),IF(AND('Entrada das massas'!I74&lt;=$B$16,'Entrada das massas'!I74&gt;$B$15),'Entrada das massas'!I74-((($C$16-$C$15)*($B$16-'Entrada das massas'!I74)+($B$15*$C$16)-($B$16*$C$16))/($B$15-$B$16)),IF(AND('Entrada das massas'!I74&lt;=$B$15,'Entrada das massas'!I74&gt;$B$14),'Entrada das massas'!I74-((($C$15-$C$14)*($B$15-'Entrada das massas'!I74)+($B$14*$C$15)-($B$15*$C$15))/($B$14-$B$15)),IF(AND('Entrada das massas'!I74&lt;=$B$14,'Entrada das massas'!I74&gt;$B$13),'Entrada das massas'!I74-((($C$14-$C$13)*($B$14-'Entrada das massas'!I74)+($B$13*$C$14)-($B$14*$C$14))/($B$13-$B$14)),IF(AND('Entrada das massas'!I74&lt;=$B$13,'Entrada das massas'!I74&gt;$B$12),'Entrada das massas'!I74-((($C$13-$C$12)*($B$13-'Entrada das massas'!I74)+($B$12*$C$13)-($B$13*$C$13))/($B$12-$B$13)),IF(AND('Entrada das massas'!I74&lt;=$B$12,'Entrada das massas'!I74&gt;$B$11),'Entrada das massas'!I74-((($C$12-$C$11)*($B$12-'Entrada das massas'!I74)+($B$11*$C$12)-($B$12*$C$12))/($B$11-$B$12)),IF(AND('Entrada das massas'!I74&lt;=$B$11,'Entrada das massas'!I74&gt;$B$10),'Entrada das massas'!I74-((($C$11-$C$10)*($B$11-'Entrada das massas'!I74)+($B$10*$C$11)-($B$11*$C$11))/($B$10-$B$11)),IF(AND('Entrada das massas'!I74&lt;=$B$10,'Entrada das massas'!I74&gt;$B$9),'Entrada das massas'!I74-((($C$10-$C$9)*($B$10-'Entrada das massas'!I74)+($B$9*$C$10)-($B$10*$C$10))/($B$9-$B$10)),IF(AND('Entrada das massas'!I74&lt;=$B$9,'Entrada das massas'!I74&gt;$B$8),'Entrada das massas'!I74-((($C$9-$C$8)*($B$9-'Entrada das massas'!I74)+($B$8*$C$9)-($B$9*$C$9))/($B$8-$B$9)),IF(AND('Entrada das massas'!I74&lt;=$B$8,'Entrada das massas'!I74&gt;$B$7),'Entrada das massas'!I74-((($C$8-$C$7)*($B$8-'Entrada das massas'!I74)+($B$7*$C$8)-($B$8*$C$8))/($B$7-$B$8)),IF(AND('Entrada das massas'!I74&lt;=$B$7,'Entrada das massas'!I74&gt;$B$6),'Entrada das massas'!I74-((($C$7-$C$6)*($B$7-'Entrada das massas'!I74)+($B$6*$C$7)-($B$7*$C$7))/($B$6-$B$7)),IF(AND('Entrada das massas'!I74&lt;=$B$6,'Entrada das massas'!I74&gt;$B$5),'Entrada das massas'!I74-((($C$6-$C$5)*($B$6-'Entrada das massas'!I74)+($B$5*$C$6)-($B$6*$C$6))/($B$5-$B$6)),IF('Entrada das massas'!I74&lt;=$B$5,'Entrada das massas'!I74-$C$5)))))))))))))))))</f>
        <v/>
      </c>
      <c r="J94" s="117" t="str">
        <f t="shared" si="42"/>
        <v/>
      </c>
      <c r="K94" s="120" t="str">
        <f>IF(I92="","",I94-I92)</f>
        <v/>
      </c>
      <c r="L94" s="117" t="str">
        <f>IF(J92="","",SQRT(SUMSQ(J92,J94)))</f>
        <v/>
      </c>
      <c r="M94" s="93" t="str">
        <f>IF(I91="","","Solução")</f>
        <v/>
      </c>
      <c r="N94" s="93"/>
      <c r="O94" s="123" t="str">
        <f>IF(P91="","","Massa final")</f>
        <v/>
      </c>
      <c r="P94" s="95" t="str">
        <f>IF('Entrada das massas'!N74="","",IF(AND('Entrada das massas'!N74&lt;=$B$20,'Entrada das massas'!N74&gt;$B$19),'Entrada das massas'!N74-((($C$20-$C$19)*($B$20-'Entrada das massas'!N74)+($B$19*$C$20)-($B$20*$C$20))/($B$19-$B$20)),IF(AND('Entrada das massas'!N74&lt;=$B$19,'Entrada das massas'!N74&gt;$B$18),'Entrada das massas'!N74-((($C$19-$C$18)*($B$19-'Entrada das massas'!N74)+($B$18*$C$19)-($B$19*$C$19))/($B$18-$B$19)),IF(AND('Entrada das massas'!N74&lt;=$B$18,'Entrada das massas'!N74&gt;$B$17),'Entrada das massas'!N74-((($C$18-$C$17)*($B$18-'Entrada das massas'!N74)+($B$17*$C$18)-($B$18*$C$18))/($B$17-$B$18)),IF(AND('Entrada das massas'!N74&lt;=$B$17,'Entrada das massas'!N74&gt;$B$16),'Entrada das massas'!N74-((($C$17-$C$16)*($B$17-'Entrada das massas'!N74)+($B$16*$C$17)-($B$17*$C$17))/($B$16-$B$17)),IF(AND('Entrada das massas'!N74&lt;=$B$16,'Entrada das massas'!N74&gt;$B$15),'Entrada das massas'!N74-((($C$16-$C$15)*($B$16-'Entrada das massas'!N74)+($B$15*$C$16)-($B$16*$C$16))/($B$15-$B$16)),IF(AND('Entrada das massas'!N74&lt;=$B$15,'Entrada das massas'!N74&gt;$B$14),'Entrada das massas'!N74-((($C$15-$C$14)*($B$15-'Entrada das massas'!N74)+($B$14*$C$15)-($B$15*$C$15))/($B$14-$B$15)),IF(AND('Entrada das massas'!N74&lt;=$B$14,'Entrada das massas'!N74&gt;$B$13),'Entrada das massas'!N74-((($C$14-$C$13)*($B$14-'Entrada das massas'!N74)+($B$13*$C$14)-($B$14*$C$14))/($B$13-$B$14)),IF(AND('Entrada das massas'!N74&lt;=$B$13,'Entrada das massas'!N74&gt;$B$12),'Entrada das massas'!N74-((($C$13-$C$12)*($B$13-'Entrada das massas'!N74)+($B$12*$C$13)-($B$13*$C$13))/($B$12-$B$13)),IF(AND('Entrada das massas'!N74&lt;=$B$12,'Entrada das massas'!N74&gt;$B$11),'Entrada das massas'!N74-((($C$12-$C$11)*($B$12-'Entrada das massas'!N74)+($B$11*$C$12)-($B$12*$C$12))/($B$11-$B$12)),IF(AND('Entrada das massas'!N74&lt;=$B$11,'Entrada das massas'!N74&gt;$B$10),'Entrada das massas'!N74-((($C$11-$C$10)*($B$11-'Entrada das massas'!N74)+($B$10*$C$11)-($B$11*$C$11))/($B$10-$B$11)),IF(AND('Entrada das massas'!N74&lt;=$B$10,'Entrada das massas'!N74&gt;$B$9),'Entrada das massas'!N74-((($C$10-$C$9)*($B$10-'Entrada das massas'!N74)+($B$9*$C$10)-($B$10*$C$10))/($B$9-$B$10)),IF(AND('Entrada das massas'!N74&lt;=$B$9,'Entrada das massas'!N74&gt;$B$8),'Entrada das massas'!N74-((($C$9-$C$8)*($B$9-'Entrada das massas'!N74)+($B$8*$C$9)-($B$9*$C$9))/($B$8-$B$9)),IF(AND('Entrada das massas'!N74&lt;=$B$8,'Entrada das massas'!N74&gt;$B$7),'Entrada das massas'!N74-((($C$8-$C$7)*($B$8-'Entrada das massas'!N74)+($B$7*$C$8)-($B$8*$C$8))/($B$7-$B$8)),IF(AND('Entrada das massas'!N74&lt;=$B$7,'Entrada das massas'!N74&gt;$B$6),'Entrada das massas'!N74-((($C$7-$C$6)*($B$7-'Entrada das massas'!N74)+($B$6*$C$7)-($B$7*$C$7))/($B$6-$B$7)),IF(AND('Entrada das massas'!N74&lt;=$B$6,'Entrada das massas'!N74&gt;$B$5),'Entrada das massas'!N74-((($C$6-$C$5)*($B$6-'Entrada das massas'!N74)+($B$5*$C$6)-($B$6*$C$6))/($B$5-$B$6)),IF('Entrada das massas'!N74&lt;=$B$5,'Entrada das massas'!N74-$C$5)))))))))))))))))</f>
        <v/>
      </c>
      <c r="Q94" s="117" t="str">
        <f t="shared" si="43"/>
        <v/>
      </c>
      <c r="R94" s="120" t="str">
        <f>IF(P92="","",P94-P92)</f>
        <v/>
      </c>
      <c r="S94" s="117" t="str">
        <f>IF(Q92="","",SQRT(SUMSQ(Q92,Q94)))</f>
        <v/>
      </c>
      <c r="T94" s="93" t="str">
        <f>IF(P91="","","Solução")</f>
        <v/>
      </c>
      <c r="U94" s="93"/>
      <c r="V94" s="123" t="str">
        <f>IF(W91="","","Massa final")</f>
        <v/>
      </c>
      <c r="W94" s="95" t="str">
        <f>IF('Entrada das massas'!S74="","",IF(AND('Entrada das massas'!S74&lt;=$B$20,'Entrada das massas'!S74&gt;$B$19),'Entrada das massas'!S74-((($C$20-$C$19)*($B$20-'Entrada das massas'!S74)+($B$19*$C$20)-($B$20*$C$20))/($B$19-$B$20)),IF(AND('Entrada das massas'!S74&lt;=$B$19,'Entrada das massas'!S74&gt;$B$18),'Entrada das massas'!S74-((($C$19-$C$18)*($B$19-'Entrada das massas'!S74)+($B$18*$C$19)-($B$19*$C$19))/($B$18-$B$19)),IF(AND('Entrada das massas'!S74&lt;=$B$18,'Entrada das massas'!S74&gt;$B$17),'Entrada das massas'!S74-((($C$18-$C$17)*($B$18-'Entrada das massas'!S74)+($B$17*$C$18)-($B$18*$C$18))/($B$17-$B$18)),IF(AND('Entrada das massas'!S74&lt;=$B$17,'Entrada das massas'!S74&gt;$B$16),'Entrada das massas'!S74-((($C$17-$C$16)*($B$17-'Entrada das massas'!S74)+($B$16*$C$17)-($B$17*$C$17))/($B$16-$B$17)),IF(AND('Entrada das massas'!S74&lt;=$B$16,'Entrada das massas'!S74&gt;$B$15),'Entrada das massas'!S74-((($C$16-$C$15)*($B$16-'Entrada das massas'!S74)+($B$15*$C$16)-($B$16*$C$16))/($B$15-$B$16)),IF(AND('Entrada das massas'!S74&lt;=$B$15,'Entrada das massas'!S74&gt;$B$14),'Entrada das massas'!S74-((($C$15-$C$14)*($B$15-'Entrada das massas'!S74)+($B$14*$C$15)-($B$15*$C$15))/($B$14-$B$15)),IF(AND('Entrada das massas'!S74&lt;=$B$14,'Entrada das massas'!S74&gt;$B$13),'Entrada das massas'!S74-((($C$14-$C$13)*($B$14-'Entrada das massas'!S74)+($B$13*$C$14)-($B$14*$C$14))/($B$13-$B$14)),IF(AND('Entrada das massas'!S74&lt;=$B$13,'Entrada das massas'!S74&gt;$B$12),'Entrada das massas'!S74-((($C$13-$C$12)*($B$13-'Entrada das massas'!S74)+($B$12*$C$13)-($B$13*$C$13))/($B$12-$B$13)),IF(AND('Entrada das massas'!S74&lt;=$B$12,'Entrada das massas'!S74&gt;$B$11),'Entrada das massas'!S74-((($C$12-$C$11)*($B$12-'Entrada das massas'!S74)+($B$11*$C$12)-($B$12*$C$12))/($B$11-$B$12)),IF(AND('Entrada das massas'!S74&lt;=$B$11,'Entrada das massas'!S74&gt;$B$10),'Entrada das massas'!S74-((($C$11-$C$10)*($B$11-'Entrada das massas'!S74)+($B$10*$C$11)-($B$11*$C$11))/($B$10-$B$11)),IF(AND('Entrada das massas'!S74&lt;=$B$10,'Entrada das massas'!S74&gt;$B$9),'Entrada das massas'!S74-((($C$10-$C$9)*($B$10-'Entrada das massas'!S74)+($B$9*$C$10)-($B$10*$C$10))/($B$9-$B$10)),IF(AND('Entrada das massas'!S74&lt;=$B$9,'Entrada das massas'!S74&gt;$B$8),'Entrada das massas'!S74-((($C$9-$C$8)*($B$9-'Entrada das massas'!S74)+($B$8*$C$9)-($B$9*$C$9))/($B$8-$B$9)),IF(AND('Entrada das massas'!S74&lt;=$B$8,'Entrada das massas'!S74&gt;$B$7),'Entrada das massas'!S74-((($C$8-$C$7)*($B$8-'Entrada das massas'!S74)+($B$7*$C$8)-($B$8*$C$8))/($B$7-$B$8)),IF(AND('Entrada das massas'!S74&lt;=$B$7,'Entrada das massas'!S74&gt;$B$6),'Entrada das massas'!S74-((($C$7-$C$6)*($B$7-'Entrada das massas'!S74)+($B$6*$C$7)-($B$7*$C$7))/($B$6-$B$7)),IF(AND('Entrada das massas'!S74&lt;=$B$6,'Entrada das massas'!S74&gt;$B$5),'Entrada das massas'!S74-((($C$6-$C$5)*($B$6-'Entrada das massas'!S74)+($B$5*$C$6)-($B$6*$C$6))/($B$5-$B$6)),IF('Entrada das massas'!S74&lt;=$B$5,'Entrada das massas'!S74-$C$5)))))))))))))))))</f>
        <v/>
      </c>
      <c r="X94" s="117" t="str">
        <f t="shared" si="44"/>
        <v/>
      </c>
      <c r="Y94" s="120" t="str">
        <f>IF(W92="","",W94-W92)</f>
        <v/>
      </c>
      <c r="Z94" s="117" t="str">
        <f>IF(X92="","",SQRT(SUMSQ(X92,X94)))</f>
        <v/>
      </c>
      <c r="AA94" s="93" t="str">
        <f>IF(W91="","","Solução")</f>
        <v/>
      </c>
      <c r="AB94" s="104"/>
      <c r="AC94" s="104"/>
      <c r="AE94" s="88"/>
      <c r="AF94" s="160"/>
    </row>
    <row r="95" spans="1:32" x14ac:dyDescent="0.2">
      <c r="H95" s="98"/>
      <c r="I95" s="93"/>
      <c r="J95" s="139"/>
      <c r="K95" s="139"/>
      <c r="L95" s="139"/>
      <c r="M95" s="98"/>
      <c r="N95" s="98"/>
      <c r="O95" s="98"/>
      <c r="P95" s="93"/>
      <c r="Q95" s="120"/>
      <c r="R95" s="120"/>
      <c r="S95" s="120"/>
      <c r="T95" s="98"/>
      <c r="U95" s="98"/>
      <c r="V95" s="98"/>
      <c r="W95" s="93"/>
      <c r="X95" s="120"/>
      <c r="Y95" s="120"/>
      <c r="Z95" s="120"/>
      <c r="AA95" s="98"/>
      <c r="AB95" s="104"/>
      <c r="AC95" s="104"/>
      <c r="AE95" s="88"/>
      <c r="AF95" s="160"/>
    </row>
    <row r="96" spans="1:32" x14ac:dyDescent="0.2">
      <c r="H96" s="126" t="str">
        <f>IF(I91="","","Amostra")</f>
        <v/>
      </c>
      <c r="I96" s="127" t="str">
        <f>IF('Entrada das massas'!I76="","",'Entrada das massas'!I76)</f>
        <v/>
      </c>
      <c r="J96" s="120" t="str">
        <f>IF(I96="","","uc(g)")</f>
        <v/>
      </c>
      <c r="K96" s="120" t="str">
        <f>IF(J96="","","Massa (g)")</f>
        <v/>
      </c>
      <c r="L96" s="120" t="str">
        <f>IF(K96="","","ucomb (g)")</f>
        <v/>
      </c>
      <c r="M96" s="98" t="str">
        <f>IF(I96="","","Fdiluição")</f>
        <v/>
      </c>
      <c r="N96" s="98"/>
      <c r="O96" s="126" t="str">
        <f>IF(M97="","","Amostra")</f>
        <v/>
      </c>
      <c r="P96" s="127" t="str">
        <f>IF('Entrada das massas'!N76="","",'Entrada das massas'!N76)</f>
        <v/>
      </c>
      <c r="Q96" s="120" t="str">
        <f>IF(P96="","","uc(g)")</f>
        <v/>
      </c>
      <c r="R96" s="120" t="str">
        <f>IF(Q96="","","Massa (g)")</f>
        <v/>
      </c>
      <c r="S96" s="120" t="str">
        <f>IF(R96="","","ucomb (g)")</f>
        <v/>
      </c>
      <c r="T96" s="98" t="str">
        <f>IF(P96="","","Fdiluição")</f>
        <v/>
      </c>
      <c r="U96" s="98"/>
      <c r="V96" s="126" t="str">
        <f>IF(T97="","","Amostra")</f>
        <v/>
      </c>
      <c r="W96" s="127" t="str">
        <f>IF('Entrada das massas'!S76="","",'Entrada das massas'!S76)</f>
        <v/>
      </c>
      <c r="X96" s="120" t="str">
        <f>IF(W96="","","uc(g)")</f>
        <v/>
      </c>
      <c r="Y96" s="120" t="str">
        <f>IF(X96="","","Massa (g)")</f>
        <v/>
      </c>
      <c r="Z96" s="120" t="str">
        <f>IF(Y96="","","ucomb (g)")</f>
        <v/>
      </c>
      <c r="AA96" s="98" t="str">
        <f>IF(W96="","","Fdiluição")</f>
        <v/>
      </c>
      <c r="AB96" s="104"/>
      <c r="AC96" s="104"/>
      <c r="AE96" s="88"/>
      <c r="AF96" s="160"/>
    </row>
    <row r="97" spans="8:32" x14ac:dyDescent="0.2">
      <c r="H97" s="115" t="str">
        <f>IF(I96="","","Frasco")</f>
        <v/>
      </c>
      <c r="I97" s="116" t="str">
        <f>IF('Entrada das massas'!I77="","",IF(AND('Entrada das massas'!I77&lt;=$B$20,'Entrada das massas'!I77&gt;$B$19),'Entrada das massas'!I77-((($C$20-$C$19)*($B$20-'Entrada das massas'!I77)+($B$19*$C$20)-($B$20*$C$20))/($B$19-$B$20)),IF(AND('Entrada das massas'!I77&lt;=$B$19,'Entrada das massas'!I77&gt;$B$18),'Entrada das massas'!I77-((($C$19-$C$18)*($B$19-'Entrada das massas'!I77)+($B$18*$C$19)-($B$19*$C$19))/($B$18-$B$19)),IF(AND('Entrada das massas'!I77&lt;=$B$18,'Entrada das massas'!I77&gt;$B$17),'Entrada das massas'!I77-((($C$18-$C$17)*($B$18-'Entrada das massas'!I77)+($B$17*$C$18)-($B$18*$C$18))/($B$17-$B$18)),IF(AND('Entrada das massas'!I77&lt;=$B$17,'Entrada das massas'!I77&gt;$B$16),'Entrada das massas'!I77-((($C$17-$C$16)*($B$17-'Entrada das massas'!I77)+($B$16*$C$17)-($B$17*$C$17))/($B$16-$B$17)),IF(AND('Entrada das massas'!I77&lt;=$B$16,'Entrada das massas'!I77&gt;$B$15),'Entrada das massas'!I77-((($C$16-$C$15)*($B$16-'Entrada das massas'!I77)+($B$15*$C$16)-($B$16*$C$16))/($B$15-$B$16)),IF(AND('Entrada das massas'!I77&lt;=$B$15,'Entrada das massas'!I77&gt;$B$14),'Entrada das massas'!I77-((($C$15-$C$14)*($B$15-'Entrada das massas'!I77)+($B$14*$C$15)-($B$15*$C$15))/($B$14-$B$15)),IF(AND('Entrada das massas'!I77&lt;=$B$14,'Entrada das massas'!I77&gt;$B$13),'Entrada das massas'!I77-((($C$14-$C$13)*($B$14-'Entrada das massas'!I77)+($B$13*$C$14)-($B$14*$C$14))/($B$13-$B$14)),IF(AND('Entrada das massas'!I77&lt;=$B$13,'Entrada das massas'!I77&gt;$B$12),'Entrada das massas'!I77-((($C$13-$C$12)*($B$13-'Entrada das massas'!I77)+($B$12*$C$13)-($B$13*$C$13))/($B$12-$B$13)),IF(AND('Entrada das massas'!I77&lt;=$B$12,'Entrada das massas'!I77&gt;$B$11),'Entrada das massas'!I77-((($C$12-$C$11)*($B$12-'Entrada das massas'!I77)+($B$11*$C$12)-($B$12*$C$12))/($B$11-$B$12)),IF(AND('Entrada das massas'!I77&lt;=$B$11,'Entrada das massas'!I77&gt;$B$10),'Entrada das massas'!I77-((($C$11-$C$10)*($B$11-'Entrada das massas'!I77)+($B$10*$C$11)-($B$11*$C$11))/($B$10-$B$11)),IF(AND('Entrada das massas'!I77&lt;=$B$10,'Entrada das massas'!I77&gt;$B$9),'Entrada das massas'!I77-((($C$10-$C$9)*($B$10-'Entrada das massas'!I77)+($B$9*$C$10)-($B$10*$C$10))/($B$9-$B$10)),IF(AND('Entrada das massas'!I77&lt;=$B$9,'Entrada das massas'!I77&gt;$B$8),'Entrada das massas'!I77-((($C$9-$C$8)*($B$9-'Entrada das massas'!I77)+($B$8*$C$9)-($B$9*$C$9))/($B$8-$B$9)),IF(AND('Entrada das massas'!I77&lt;=$B$8,'Entrada das massas'!I77&gt;$B$7),'Entrada das massas'!I77-((($C$8-$C$7)*($B$8-'Entrada das massas'!I77)+($B$7*$C$8)-($B$8*$C$8))/($B$7-$B$8)),IF(AND('Entrada das massas'!I77&lt;=$B$7,'Entrada das massas'!I77&gt;$B$6),'Entrada das massas'!I77-((($C$7-$C$6)*($B$7-'Entrada das massas'!I77)+($B$6*$C$7)-($B$7*$C$7))/($B$6-$B$7)),IF(AND('Entrada das massas'!I77&lt;=$B$6,'Entrada das massas'!I77&gt;$B$5),'Entrada das massas'!I77-((($C$6-$C$5)*($B$6-'Entrada das massas'!I77)+($B$5*$C$6)-($B$6*$C$6))/($B$5-$B$6)),IF('Entrada das massas'!I77&lt;=$B$5,'Entrada das massas'!I77-$C$5)))))))))))))))))</f>
        <v/>
      </c>
      <c r="J97" s="117" t="str">
        <f>IF(I97="","",(IF(AND(I97&lt;=$B$20,I97&gt;$B$19),$D$19+($B$19-I97)/($B$19-$B$20)*($D$20-$D$19),IF(AND(I97&lt;=$B$19,I97&gt;$B$18),$D$18+($B$18-I97)/($B$18-$B$19)*($D$19-$D$18),IF(AND(I97&lt;=$B$18,I97&gt;$B$17),$D$17+($B$17-I97)/($B$17-$B$18)*($D$18-$D$17),IF(AND(I97&lt;=$B$17,I97&gt;$B$16),$D$16+($B$16-I97)/($B$16-$B$17)*($D$17-$D$16),IF(AND(I97&lt;=$B$16,I97&gt;$B$15),$D$15+($B$15-I97)/($B$15-$B$16)*($D$16-$D$15),IF(AND(I97&lt;=$B$15,I97&gt;$B$14),$D$14+($B$14-I97)/($B$14-$B$15)*($D$15-$D$14),IF(AND(I97&lt;=$B$14,I97&gt;$B$13),$D$13+($B$13-I97)/($B$13-$B$14)*($D$14-$D$13),IF(AND(I97&lt;=$B$13,I97&gt;$B$12),$D$12+($B$12-I97)/($B$12-$B$13)*($D$13-$D$12),IF(AND(I97&lt;=$B$12,I97&gt;$B$11),$D$11+($B$11-I97)/($B$11-$B$12)*($D$12-$D$11),IF(AND(I97&lt;=$B$11,I97&gt;$B$10),$D$10+($B$10-I97)/($B$10-$B$11)*($D$11-$D$10),IF(AND(I97&lt;=$B$10,I97&gt;$B$9),$D$9+($B$9-I97)/($B$9-$B$10)*($D$10-$D$9),IF(AND(I97&lt;=$B$9,I97&gt;$B$8),$D$8+($B$8-I97)/($B$8-$B$9)*($D$9-$D$8),IF(AND(I97&lt;=$B$8,I97&gt;$B$7),$D$7+($B$7-I97)/($B$7-$B$8)*($D$8-$D$7),IF(AND(I97&lt;=$B$7,I97&gt;$B$6),$D$6+($B$6-I97)/($B$6-$B$7)*($D$7-$D$6),IF(I97&lt;=$B$6,$D$6)))))))))))))))))</f>
        <v/>
      </c>
      <c r="K97" s="117"/>
      <c r="L97" s="117"/>
      <c r="M97" s="118" t="str">
        <f>IFERROR(K99/K98,"")</f>
        <v/>
      </c>
      <c r="N97" s="93"/>
      <c r="O97" s="115" t="str">
        <f>IF(P96="","","Frasco")</f>
        <v/>
      </c>
      <c r="P97" s="95" t="str">
        <f>IF('Entrada das massas'!N77="","",IF(AND('Entrada das massas'!N77&lt;=$B$20,'Entrada das massas'!N77&gt;$B$19),'Entrada das massas'!N77-((($C$20-$C$19)*($B$20-'Entrada das massas'!N77)+($B$19*$C$20)-($B$20*$C$20))/($B$19-$B$20)),IF(AND('Entrada das massas'!N77&lt;=$B$19,'Entrada das massas'!N77&gt;$B$18),'Entrada das massas'!N77-((($C$19-$C$18)*($B$19-'Entrada das massas'!N77)+($B$18*$C$19)-($B$19*$C$19))/($B$18-$B$19)),IF(AND('Entrada das massas'!N77&lt;=$B$18,'Entrada das massas'!N77&gt;$B$17),'Entrada das massas'!N77-((($C$18-$C$17)*($B$18-'Entrada das massas'!N77)+($B$17*$C$18)-($B$18*$C$18))/($B$17-$B$18)),IF(AND('Entrada das massas'!N77&lt;=$B$17,'Entrada das massas'!N77&gt;$B$16),'Entrada das massas'!N77-((($C$17-$C$16)*($B$17-'Entrada das massas'!N77)+($B$16*$C$17)-($B$17*$C$17))/($B$16-$B$17)),IF(AND('Entrada das massas'!N77&lt;=$B$16,'Entrada das massas'!N77&gt;$B$15),'Entrada das massas'!N77-((($C$16-$C$15)*($B$16-'Entrada das massas'!N77)+($B$15*$C$16)-($B$16*$C$16))/($B$15-$B$16)),IF(AND('Entrada das massas'!N77&lt;=$B$15,'Entrada das massas'!N77&gt;$B$14),'Entrada das massas'!N77-((($C$15-$C$14)*($B$15-'Entrada das massas'!N77)+($B$14*$C$15)-($B$15*$C$15))/($B$14-$B$15)),IF(AND('Entrada das massas'!N77&lt;=$B$14,'Entrada das massas'!N77&gt;$B$13),'Entrada das massas'!N77-((($C$14-$C$13)*($B$14-'Entrada das massas'!N77)+($B$13*$C$14)-($B$14*$C$14))/($B$13-$B$14)),IF(AND('Entrada das massas'!N77&lt;=$B$13,'Entrada das massas'!N77&gt;$B$12),'Entrada das massas'!N77-((($C$13-$C$12)*($B$13-'Entrada das massas'!N77)+($B$12*$C$13)-($B$13*$C$13))/($B$12-$B$13)),IF(AND('Entrada das massas'!N77&lt;=$B$12,'Entrada das massas'!N77&gt;$B$11),'Entrada das massas'!N77-((($C$12-$C$11)*($B$12-'Entrada das massas'!N77)+($B$11*$C$12)-($B$12*$C$12))/($B$11-$B$12)),IF(AND('Entrada das massas'!N77&lt;=$B$11,'Entrada das massas'!N77&gt;$B$10),'Entrada das massas'!N77-((($C$11-$C$10)*($B$11-'Entrada das massas'!N77)+($B$10*$C$11)-($B$11*$C$11))/($B$10-$B$11)),IF(AND('Entrada das massas'!N77&lt;=$B$10,'Entrada das massas'!N77&gt;$B$9),'Entrada das massas'!N77-((($C$10-$C$9)*($B$10-'Entrada das massas'!N77)+($B$9*$C$10)-($B$10*$C$10))/($B$9-$B$10)),IF(AND('Entrada das massas'!N77&lt;=$B$9,'Entrada das massas'!N77&gt;$B$8),'Entrada das massas'!N77-((($C$9-$C$8)*($B$9-'Entrada das massas'!N77)+($B$8*$C$9)-($B$9*$C$9))/($B$8-$B$9)),IF(AND('Entrada das massas'!N77&lt;=$B$8,'Entrada das massas'!N77&gt;$B$7),'Entrada das massas'!N77-((($C$8-$C$7)*($B$8-'Entrada das massas'!N77)+($B$7*$C$8)-($B$8*$C$8))/($B$7-$B$8)),IF(AND('Entrada das massas'!N77&lt;=$B$7,'Entrada das massas'!N77&gt;$B$6),'Entrada das massas'!N77-((($C$7-$C$6)*($B$7-'Entrada das massas'!N77)+($B$6*$C$7)-($B$7*$C$7))/($B$6-$B$7)),IF(AND('Entrada das massas'!N77&lt;=$B$6,'Entrada das massas'!N77&gt;$B$5),'Entrada das massas'!N77-((($C$6-$C$5)*($B$6-'Entrada das massas'!N77)+($B$5*$C$6)-($B$6*$C$6))/($B$5-$B$6)),IF('Entrada das massas'!N77&lt;=$B$5,'Entrada das massas'!N77-$C$5)))))))))))))))))</f>
        <v/>
      </c>
      <c r="Q97" s="117" t="str">
        <f>IF(P97="","",(IF(AND(P97&lt;=$B$20,P97&gt;$B$19),$D$19+($B$19-P97)/($B$19-$B$20)*($D$20-$D$19),IF(AND(P97&lt;=$B$19,P97&gt;$B$18),$D$18+($B$18-P97)/($B$18-$B$19)*($D$19-$D$18),IF(AND(P97&lt;=$B$18,P97&gt;$B$17),$D$17+($B$17-P97)/($B$17-$B$18)*($D$18-$D$17),IF(AND(P97&lt;=$B$17,P97&gt;$B$16),$D$16+($B$16-P97)/($B$16-$B$17)*($D$17-$D$16),IF(AND(P97&lt;=$B$16,P97&gt;$B$15),$D$15+($B$15-P97)/($B$15-$B$16)*($D$16-$D$15),IF(AND(P97&lt;=$B$15,P97&gt;$B$14),$D$14+($B$14-P97)/($B$14-$B$15)*($D$15-$D$14),IF(AND(P97&lt;=$B$14,P97&gt;$B$13),$D$13+($B$13-P97)/($B$13-$B$14)*($D$14-$D$13),IF(AND(P97&lt;=$B$13,P97&gt;$B$12),$D$12+($B$12-P97)/($B$12-$B$13)*($D$13-$D$12),IF(AND(P97&lt;=$B$12,P97&gt;$B$11),$D$11+($B$11-P97)/($B$11-$B$12)*($D$12-$D$11),IF(AND(P97&lt;=$B$11,P97&gt;$B$10),$D$10+($B$10-P97)/($B$10-$B$11)*($D$11-$D$10),IF(AND(P97&lt;=$B$10,P97&gt;$B$9),$D$9+($B$9-P97)/($B$9-$B$10)*($D$10-$D$9),IF(AND(P97&lt;=$B$9,P97&gt;$B$8),$D$8+($B$8-P97)/($B$8-$B$9)*($D$9-$D$8),IF(AND(P97&lt;=$B$8,P97&gt;$B$7),$D$7+($B$7-P97)/($B$7-$B$8)*($D$8-$D$7),IF(AND(P97&lt;=$B$7,P97&gt;$B$6),$D$6+($B$6-P97)/($B$6-$B$7)*($D$7-$D$6),IF(P97&lt;=$B$6,$D$6)))))))))))))))))</f>
        <v/>
      </c>
      <c r="R97" s="117"/>
      <c r="S97" s="117"/>
      <c r="T97" s="118" t="str">
        <f>IFERROR(R99/R98,"")</f>
        <v/>
      </c>
      <c r="U97" s="93"/>
      <c r="V97" s="115" t="str">
        <f>IF(W96="","","Frasco")</f>
        <v/>
      </c>
      <c r="W97" s="95" t="str">
        <f>IF('Entrada das massas'!S77="","",IF(AND('Entrada das massas'!S77&lt;=$B$20,'Entrada das massas'!S77&gt;$B$19),'Entrada das massas'!S77-((($C$20-$C$19)*($B$20-'Entrada das massas'!S77)+($B$19*$C$20)-($B$20*$C$20))/($B$19-$B$20)),IF(AND('Entrada das massas'!S77&lt;=$B$19,'Entrada das massas'!S77&gt;$B$18),'Entrada das massas'!S77-((($C$19-$C$18)*($B$19-'Entrada das massas'!S77)+($B$18*$C$19)-($B$19*$C$19))/($B$18-$B$19)),IF(AND('Entrada das massas'!S77&lt;=$B$18,'Entrada das massas'!S77&gt;$B$17),'Entrada das massas'!S77-((($C$18-$C$17)*($B$18-'Entrada das massas'!S77)+($B$17*$C$18)-($B$18*$C$18))/($B$17-$B$18)),IF(AND('Entrada das massas'!S77&lt;=$B$17,'Entrada das massas'!S77&gt;$B$16),'Entrada das massas'!S77-((($C$17-$C$16)*($B$17-'Entrada das massas'!S77)+($B$16*$C$17)-($B$17*$C$17))/($B$16-$B$17)),IF(AND('Entrada das massas'!S77&lt;=$B$16,'Entrada das massas'!S77&gt;$B$15),'Entrada das massas'!S77-((($C$16-$C$15)*($B$16-'Entrada das massas'!S77)+($B$15*$C$16)-($B$16*$C$16))/($B$15-$B$16)),IF(AND('Entrada das massas'!S77&lt;=$B$15,'Entrada das massas'!S77&gt;$B$14),'Entrada das massas'!S77-((($C$15-$C$14)*($B$15-'Entrada das massas'!S77)+($B$14*$C$15)-($B$15*$C$15))/($B$14-$B$15)),IF(AND('Entrada das massas'!S77&lt;=$B$14,'Entrada das massas'!S77&gt;$B$13),'Entrada das massas'!S77-((($C$14-$C$13)*($B$14-'Entrada das massas'!S77)+($B$13*$C$14)-($B$14*$C$14))/($B$13-$B$14)),IF(AND('Entrada das massas'!S77&lt;=$B$13,'Entrada das massas'!S77&gt;$B$12),'Entrada das massas'!S77-((($C$13-$C$12)*($B$13-'Entrada das massas'!S77)+($B$12*$C$13)-($B$13*$C$13))/($B$12-$B$13)),IF(AND('Entrada das massas'!S77&lt;=$B$12,'Entrada das massas'!S77&gt;$B$11),'Entrada das massas'!S77-((($C$12-$C$11)*($B$12-'Entrada das massas'!S77)+($B$11*$C$12)-($B$12*$C$12))/($B$11-$B$12)),IF(AND('Entrada das massas'!S77&lt;=$B$11,'Entrada das massas'!S77&gt;$B$10),'Entrada das massas'!S77-((($C$11-$C$10)*($B$11-'Entrada das massas'!S77)+($B$10*$C$11)-($B$11*$C$11))/($B$10-$B$11)),IF(AND('Entrada das massas'!S77&lt;=$B$10,'Entrada das massas'!S77&gt;$B$9),'Entrada das massas'!S77-((($C$10-$C$9)*($B$10-'Entrada das massas'!S77)+($B$9*$C$10)-($B$10*$C$10))/($B$9-$B$10)),IF(AND('Entrada das massas'!S77&lt;=$B$9,'Entrada das massas'!S77&gt;$B$8),'Entrada das massas'!S77-((($C$9-$C$8)*($B$9-'Entrada das massas'!S77)+($B$8*$C$9)-($B$9*$C$9))/($B$8-$B$9)),IF(AND('Entrada das massas'!S77&lt;=$B$8,'Entrada das massas'!S77&gt;$B$7),'Entrada das massas'!S77-((($C$8-$C$7)*($B$8-'Entrada das massas'!S77)+($B$7*$C$8)-($B$8*$C$8))/($B$7-$B$8)),IF(AND('Entrada das massas'!S77&lt;=$B$7,'Entrada das massas'!S77&gt;$B$6),'Entrada das massas'!S77-((($C$7-$C$6)*($B$7-'Entrada das massas'!S77)+($B$6*$C$7)-($B$7*$C$7))/($B$6-$B$7)),IF(AND('Entrada das massas'!S77&lt;=$B$6,'Entrada das massas'!S77&gt;$B$5),'Entrada das massas'!S77-((($C$6-$C$5)*($B$6-'Entrada das massas'!S77)+($B$5*$C$6)-($B$6*$C$6))/($B$5-$B$6)),IF('Entrada das massas'!S77&lt;=$B$5,'Entrada das massas'!S77-$C$5)))))))))))))))))</f>
        <v/>
      </c>
      <c r="X97" s="117" t="str">
        <f>IF(W97="","",(IF(AND(W97&lt;=$B$20,W97&gt;$B$19),$D$19+($B$19-W97)/($B$19-$B$20)*($D$20-$D$19),IF(AND(W97&lt;=$B$19,W97&gt;$B$18),$D$18+($B$18-W97)/($B$18-$B$19)*($D$19-$D$18),IF(AND(W97&lt;=$B$18,W97&gt;$B$17),$D$17+($B$17-W97)/($B$17-$B$18)*($D$18-$D$17),IF(AND(W97&lt;=$B$17,W97&gt;$B$16),$D$16+($B$16-W97)/($B$16-$B$17)*($D$17-$D$16),IF(AND(W97&lt;=$B$16,W97&gt;$B$15),$D$15+($B$15-W97)/($B$15-$B$16)*($D$16-$D$15),IF(AND(W97&lt;=$B$15,W97&gt;$B$14),$D$14+($B$14-W97)/($B$14-$B$15)*($D$15-$D$14),IF(AND(W97&lt;=$B$14,W97&gt;$B$13),$D$13+($B$13-W97)/($B$13-$B$14)*($D$14-$D$13),IF(AND(W97&lt;=$B$13,W97&gt;$B$12),$D$12+($B$12-W97)/($B$12-$B$13)*($D$13-$D$12),IF(AND(W97&lt;=$B$12,W97&gt;$B$11),$D$11+($B$11-W97)/($B$11-$B$12)*($D$12-$D$11),IF(AND(W97&lt;=$B$11,W97&gt;$B$10),$D$10+($B$10-W97)/($B$10-$B$11)*($D$11-$D$10),IF(AND(W97&lt;=$B$10,W97&gt;$B$9),$D$9+($B$9-W97)/($B$9-$B$10)*($D$10-$D$9),IF(AND(W97&lt;=$B$9,W97&gt;$B$8),$D$8+($B$8-W97)/($B$8-$B$9)*($D$9-$D$8),IF(AND(W97&lt;=$B$8,W97&gt;$B$7),$D$7+($B$7-W97)/($B$7-$B$8)*($D$8-$D$7),IF(AND(W97&lt;=$B$7,W97&gt;$B$6),$D$6+($B$6-W97)/($B$6-$B$7)*($D$7-$D$6),IF(W97&lt;=$B$6,$D$6)))))))))))))))))</f>
        <v/>
      </c>
      <c r="Y97" s="117"/>
      <c r="Z97" s="117"/>
      <c r="AA97" s="118" t="str">
        <f>IFERROR(Y99/Y98,"")</f>
        <v/>
      </c>
      <c r="AB97" s="104"/>
      <c r="AC97" s="104"/>
      <c r="AE97" s="88"/>
      <c r="AF97" s="160"/>
    </row>
    <row r="98" spans="8:32" x14ac:dyDescent="0.2">
      <c r="H98" s="115" t="str">
        <f>IF(I96="","","Frasco + Amostra")</f>
        <v/>
      </c>
      <c r="I98" s="116" t="str">
        <f>IF('Entrada das massas'!I78="","",IF(AND('Entrada das massas'!I78&lt;=$B$20,'Entrada das massas'!I78&gt;$B$19),'Entrada das massas'!I78-((($C$20-$C$19)*($B$20-'Entrada das massas'!I78)+($B$19*$C$20)-($B$20*$C$20))/($B$19-$B$20)),IF(AND('Entrada das massas'!I78&lt;=$B$19,'Entrada das massas'!I78&gt;$B$18),'Entrada das massas'!I78-((($C$19-$C$18)*($B$19-'Entrada das massas'!I78)+($B$18*$C$19)-($B$19*$C$19))/($B$18-$B$19)),IF(AND('Entrada das massas'!I78&lt;=$B$18,'Entrada das massas'!I78&gt;$B$17),'Entrada das massas'!I78-((($C$18-$C$17)*($B$18-'Entrada das massas'!I78)+($B$17*$C$18)-($B$18*$C$18))/($B$17-$B$18)),IF(AND('Entrada das massas'!I78&lt;=$B$17,'Entrada das massas'!I78&gt;$B$16),'Entrada das massas'!I78-((($C$17-$C$16)*($B$17-'Entrada das massas'!I78)+($B$16*$C$17)-($B$17*$C$17))/($B$16-$B$17)),IF(AND('Entrada das massas'!I78&lt;=$B$16,'Entrada das massas'!I78&gt;$B$15),'Entrada das massas'!I78-((($C$16-$C$15)*($B$16-'Entrada das massas'!I78)+($B$15*$C$16)-($B$16*$C$16))/($B$15-$B$16)),IF(AND('Entrada das massas'!I78&lt;=$B$15,'Entrada das massas'!I78&gt;$B$14),'Entrada das massas'!I78-((($C$15-$C$14)*($B$15-'Entrada das massas'!I78)+($B$14*$C$15)-($B$15*$C$15))/($B$14-$B$15)),IF(AND('Entrada das massas'!I78&lt;=$B$14,'Entrada das massas'!I78&gt;$B$13),'Entrada das massas'!I78-((($C$14-$C$13)*($B$14-'Entrada das massas'!I78)+($B$13*$C$14)-($B$14*$C$14))/($B$13-$B$14)),IF(AND('Entrada das massas'!I78&lt;=$B$13,'Entrada das massas'!I78&gt;$B$12),'Entrada das massas'!I78-((($C$13-$C$12)*($B$13-'Entrada das massas'!I78)+($B$12*$C$13)-($B$13*$C$13))/($B$12-$B$13)),IF(AND('Entrada das massas'!I78&lt;=$B$12,'Entrada das massas'!I78&gt;$B$11),'Entrada das massas'!I78-((($C$12-$C$11)*($B$12-'Entrada das massas'!I78)+($B$11*$C$12)-($B$12*$C$12))/($B$11-$B$12)),IF(AND('Entrada das massas'!I78&lt;=$B$11,'Entrada das massas'!I78&gt;$B$10),'Entrada das massas'!I78-((($C$11-$C$10)*($B$11-'Entrada das massas'!I78)+($B$10*$C$11)-($B$11*$C$11))/($B$10-$B$11)),IF(AND('Entrada das massas'!I78&lt;=$B$10,'Entrada das massas'!I78&gt;$B$9),'Entrada das massas'!I78-((($C$10-$C$9)*($B$10-'Entrada das massas'!I78)+($B$9*$C$10)-($B$10*$C$10))/($B$9-$B$10)),IF(AND('Entrada das massas'!I78&lt;=$B$9,'Entrada das massas'!I78&gt;$B$8),'Entrada das massas'!I78-((($C$9-$C$8)*($B$9-'Entrada das massas'!I78)+($B$8*$C$9)-($B$9*$C$9))/($B$8-$B$9)),IF(AND('Entrada das massas'!I78&lt;=$B$8,'Entrada das massas'!I78&gt;$B$7),'Entrada das massas'!I78-((($C$8-$C$7)*($B$8-'Entrada das massas'!I78)+($B$7*$C$8)-($B$8*$C$8))/($B$7-$B$8)),IF(AND('Entrada das massas'!I78&lt;=$B$7,'Entrada das massas'!I78&gt;$B$6),'Entrada das massas'!I78-((($C$7-$C$6)*($B$7-'Entrada das massas'!I78)+($B$6*$C$7)-($B$7*$C$7))/($B$6-$B$7)),IF(AND('Entrada das massas'!I78&lt;=$B$6,'Entrada das massas'!I78&gt;$B$5),'Entrada das massas'!I78-((($C$6-$C$5)*($B$6-'Entrada das massas'!I78)+($B$5*$C$6)-($B$6*$C$6))/($B$5-$B$6)),IF('Entrada das massas'!I78&lt;=$B$5,'Entrada das massas'!I78-$C$5)))))))))))))))))</f>
        <v/>
      </c>
      <c r="J98" s="117" t="str">
        <f t="shared" ref="J98:J99" si="45">IF(I98="","",(IF(AND(I98&lt;=$B$20,I98&gt;$B$19),$D$19+($B$19-I98)/($B$19-$B$20)*($D$20-$D$19),IF(AND(I98&lt;=$B$19,I98&gt;$B$18),$D$18+($B$18-I98)/($B$18-$B$19)*($D$19-$D$18),IF(AND(I98&lt;=$B$18,I98&gt;$B$17),$D$17+($B$17-I98)/($B$17-$B$18)*($D$18-$D$17),IF(AND(I98&lt;=$B$17,I98&gt;$B$16),$D$16+($B$16-I98)/($B$16-$B$17)*($D$17-$D$16),IF(AND(I98&lt;=$B$16,I98&gt;$B$15),$D$15+($B$15-I98)/($B$15-$B$16)*($D$16-$D$15),IF(AND(I98&lt;=$B$15,I98&gt;$B$14),$D$14+($B$14-I98)/($B$14-$B$15)*($D$15-$D$14),IF(AND(I98&lt;=$B$14,I98&gt;$B$13),$D$13+($B$13-I98)/($B$13-$B$14)*($D$14-$D$13),IF(AND(I98&lt;=$B$13,I98&gt;$B$12),$D$12+($B$12-I98)/($B$12-$B$13)*($D$13-$D$12),IF(AND(I98&lt;=$B$12,I98&gt;$B$11),$D$11+($B$11-I98)/($B$11-$B$12)*($D$12-$D$11),IF(AND(I98&lt;=$B$11,I98&gt;$B$10),$D$10+($B$10-I98)/($B$10-$B$11)*($D$11-$D$10),IF(AND(I98&lt;=$B$10,I98&gt;$B$9),$D$9+($B$9-I98)/($B$9-$B$10)*($D$10-$D$9),IF(AND(I98&lt;=$B$9,I98&gt;$B$8),$D$8+($B$8-I98)/($B$8-$B$9)*($D$9-$D$8),IF(AND(I98&lt;=$B$8,I98&gt;$B$7),$D$7+($B$7-I98)/($B$7-$B$8)*($D$8-$D$7),IF(AND(I98&lt;=$B$7,I98&gt;$B$6),$D$6+($B$6-I98)/($B$6-$B$7)*($D$7-$D$6),IF(I98&lt;=$B$6,$D$6)))))))))))))))))</f>
        <v/>
      </c>
      <c r="K98" s="120" t="str">
        <f>IF(I97="","",I98-I97)</f>
        <v/>
      </c>
      <c r="L98" s="117" t="str">
        <f>IF(J97="","",SQRT(SUMSQ(J97:J98)))</f>
        <v/>
      </c>
      <c r="M98" s="93" t="str">
        <f>IF(I96="","","Amostra")</f>
        <v/>
      </c>
      <c r="N98" s="118"/>
      <c r="O98" s="115" t="str">
        <f>IF(P96="","","Frasco + Amostra")</f>
        <v/>
      </c>
      <c r="P98" s="95" t="str">
        <f>IF('Entrada das massas'!N78="","",IF(AND('Entrada das massas'!N78&lt;=$B$20,'Entrada das massas'!N78&gt;$B$19),'Entrada das massas'!N78-((($C$20-$C$19)*($B$20-'Entrada das massas'!N78)+($B$19*$C$20)-($B$20*$C$20))/($B$19-$B$20)),IF(AND('Entrada das massas'!N78&lt;=$B$19,'Entrada das massas'!N78&gt;$B$18),'Entrada das massas'!N78-((($C$19-$C$18)*($B$19-'Entrada das massas'!N78)+($B$18*$C$19)-($B$19*$C$19))/($B$18-$B$19)),IF(AND('Entrada das massas'!N78&lt;=$B$18,'Entrada das massas'!N78&gt;$B$17),'Entrada das massas'!N78-((($C$18-$C$17)*($B$18-'Entrada das massas'!N78)+($B$17*$C$18)-($B$18*$C$18))/($B$17-$B$18)),IF(AND('Entrada das massas'!N78&lt;=$B$17,'Entrada das massas'!N78&gt;$B$16),'Entrada das massas'!N78-((($C$17-$C$16)*($B$17-'Entrada das massas'!N78)+($B$16*$C$17)-($B$17*$C$17))/($B$16-$B$17)),IF(AND('Entrada das massas'!N78&lt;=$B$16,'Entrada das massas'!N78&gt;$B$15),'Entrada das massas'!N78-((($C$16-$C$15)*($B$16-'Entrada das massas'!N78)+($B$15*$C$16)-($B$16*$C$16))/($B$15-$B$16)),IF(AND('Entrada das massas'!N78&lt;=$B$15,'Entrada das massas'!N78&gt;$B$14),'Entrada das massas'!N78-((($C$15-$C$14)*($B$15-'Entrada das massas'!N78)+($B$14*$C$15)-($B$15*$C$15))/($B$14-$B$15)),IF(AND('Entrada das massas'!N78&lt;=$B$14,'Entrada das massas'!N78&gt;$B$13),'Entrada das massas'!N78-((($C$14-$C$13)*($B$14-'Entrada das massas'!N78)+($B$13*$C$14)-($B$14*$C$14))/($B$13-$B$14)),IF(AND('Entrada das massas'!N78&lt;=$B$13,'Entrada das massas'!N78&gt;$B$12),'Entrada das massas'!N78-((($C$13-$C$12)*($B$13-'Entrada das massas'!N78)+($B$12*$C$13)-($B$13*$C$13))/($B$12-$B$13)),IF(AND('Entrada das massas'!N78&lt;=$B$12,'Entrada das massas'!N78&gt;$B$11),'Entrada das massas'!N78-((($C$12-$C$11)*($B$12-'Entrada das massas'!N78)+($B$11*$C$12)-($B$12*$C$12))/($B$11-$B$12)),IF(AND('Entrada das massas'!N78&lt;=$B$11,'Entrada das massas'!N78&gt;$B$10),'Entrada das massas'!N78-((($C$11-$C$10)*($B$11-'Entrada das massas'!N78)+($B$10*$C$11)-($B$11*$C$11))/($B$10-$B$11)),IF(AND('Entrada das massas'!N78&lt;=$B$10,'Entrada das massas'!N78&gt;$B$9),'Entrada das massas'!N78-((($C$10-$C$9)*($B$10-'Entrada das massas'!N78)+($B$9*$C$10)-($B$10*$C$10))/($B$9-$B$10)),IF(AND('Entrada das massas'!N78&lt;=$B$9,'Entrada das massas'!N78&gt;$B$8),'Entrada das massas'!N78-((($C$9-$C$8)*($B$9-'Entrada das massas'!N78)+($B$8*$C$9)-($B$9*$C$9))/($B$8-$B$9)),IF(AND('Entrada das massas'!N78&lt;=$B$8,'Entrada das massas'!N78&gt;$B$7),'Entrada das massas'!N78-((($C$8-$C$7)*($B$8-'Entrada das massas'!N78)+($B$7*$C$8)-($B$8*$C$8))/($B$7-$B$8)),IF(AND('Entrada das massas'!N78&lt;=$B$7,'Entrada das massas'!N78&gt;$B$6),'Entrada das massas'!N78-((($C$7-$C$6)*($B$7-'Entrada das massas'!N78)+($B$6*$C$7)-($B$7*$C$7))/($B$6-$B$7)),IF(AND('Entrada das massas'!N78&lt;=$B$6,'Entrada das massas'!N78&gt;$B$5),'Entrada das massas'!N78-((($C$6-$C$5)*($B$6-'Entrada das massas'!N78)+($B$5*$C$6)-($B$6*$C$6))/($B$5-$B$6)),IF('Entrada das massas'!N78&lt;=$B$5,'Entrada das massas'!N78-$C$5)))))))))))))))))</f>
        <v/>
      </c>
      <c r="Q98" s="117" t="str">
        <f t="shared" ref="Q98:Q99" si="46">IF(P98="","",(IF(AND(P98&lt;=$B$20,P98&gt;$B$19),$D$19+($B$19-P98)/($B$19-$B$20)*($D$20-$D$19),IF(AND(P98&lt;=$B$19,P98&gt;$B$18),$D$18+($B$18-P98)/($B$18-$B$19)*($D$19-$D$18),IF(AND(P98&lt;=$B$18,P98&gt;$B$17),$D$17+($B$17-P98)/($B$17-$B$18)*($D$18-$D$17),IF(AND(P98&lt;=$B$17,P98&gt;$B$16),$D$16+($B$16-P98)/($B$16-$B$17)*($D$17-$D$16),IF(AND(P98&lt;=$B$16,P98&gt;$B$15),$D$15+($B$15-P98)/($B$15-$B$16)*($D$16-$D$15),IF(AND(P98&lt;=$B$15,P98&gt;$B$14),$D$14+($B$14-P98)/($B$14-$B$15)*($D$15-$D$14),IF(AND(P98&lt;=$B$14,P98&gt;$B$13),$D$13+($B$13-P98)/($B$13-$B$14)*($D$14-$D$13),IF(AND(P98&lt;=$B$13,P98&gt;$B$12),$D$12+($B$12-P98)/($B$12-$B$13)*($D$13-$D$12),IF(AND(P98&lt;=$B$12,P98&gt;$B$11),$D$11+($B$11-P98)/($B$11-$B$12)*($D$12-$D$11),IF(AND(P98&lt;=$B$11,P98&gt;$B$10),$D$10+($B$10-P98)/($B$10-$B$11)*($D$11-$D$10),IF(AND(P98&lt;=$B$10,P98&gt;$B$9),$D$9+($B$9-P98)/($B$9-$B$10)*($D$10-$D$9),IF(AND(P98&lt;=$B$9,P98&gt;$B$8),$D$8+($B$8-P98)/($B$8-$B$9)*($D$9-$D$8),IF(AND(P98&lt;=$B$8,P98&gt;$B$7),$D$7+($B$7-P98)/($B$7-$B$8)*($D$8-$D$7),IF(AND(P98&lt;=$B$7,P98&gt;$B$6),$D$6+($B$6-P98)/($B$6-$B$7)*($D$7-$D$6),IF(P98&lt;=$B$6,$D$6)))))))))))))))))</f>
        <v/>
      </c>
      <c r="R98" s="120" t="str">
        <f>IF(P97="","",P98-P97)</f>
        <v/>
      </c>
      <c r="S98" s="117" t="str">
        <f>IF(Q97="","",SQRT(SUMSQ(Q97:Q98)))</f>
        <v/>
      </c>
      <c r="T98" s="93" t="str">
        <f>IF(P96="","","Amostra")</f>
        <v/>
      </c>
      <c r="U98" s="118"/>
      <c r="V98" s="115" t="str">
        <f>IF(W96="","","Frasco + Amostra")</f>
        <v/>
      </c>
      <c r="W98" s="95" t="str">
        <f>IF('Entrada das massas'!S78="","",IF(AND('Entrada das massas'!S78&lt;=$B$20,'Entrada das massas'!S78&gt;$B$19),'Entrada das massas'!S78-((($C$20-$C$19)*($B$20-'Entrada das massas'!S78)+($B$19*$C$20)-($B$20*$C$20))/($B$19-$B$20)),IF(AND('Entrada das massas'!S78&lt;=$B$19,'Entrada das massas'!S78&gt;$B$18),'Entrada das massas'!S78-((($C$19-$C$18)*($B$19-'Entrada das massas'!S78)+($B$18*$C$19)-($B$19*$C$19))/($B$18-$B$19)),IF(AND('Entrada das massas'!S78&lt;=$B$18,'Entrada das massas'!S78&gt;$B$17),'Entrada das massas'!S78-((($C$18-$C$17)*($B$18-'Entrada das massas'!S78)+($B$17*$C$18)-($B$18*$C$18))/($B$17-$B$18)),IF(AND('Entrada das massas'!S78&lt;=$B$17,'Entrada das massas'!S78&gt;$B$16),'Entrada das massas'!S78-((($C$17-$C$16)*($B$17-'Entrada das massas'!S78)+($B$16*$C$17)-($B$17*$C$17))/($B$16-$B$17)),IF(AND('Entrada das massas'!S78&lt;=$B$16,'Entrada das massas'!S78&gt;$B$15),'Entrada das massas'!S78-((($C$16-$C$15)*($B$16-'Entrada das massas'!S78)+($B$15*$C$16)-($B$16*$C$16))/($B$15-$B$16)),IF(AND('Entrada das massas'!S78&lt;=$B$15,'Entrada das massas'!S78&gt;$B$14),'Entrada das massas'!S78-((($C$15-$C$14)*($B$15-'Entrada das massas'!S78)+($B$14*$C$15)-($B$15*$C$15))/($B$14-$B$15)),IF(AND('Entrada das massas'!S78&lt;=$B$14,'Entrada das massas'!S78&gt;$B$13),'Entrada das massas'!S78-((($C$14-$C$13)*($B$14-'Entrada das massas'!S78)+($B$13*$C$14)-($B$14*$C$14))/($B$13-$B$14)),IF(AND('Entrada das massas'!S78&lt;=$B$13,'Entrada das massas'!S78&gt;$B$12),'Entrada das massas'!S78-((($C$13-$C$12)*($B$13-'Entrada das massas'!S78)+($B$12*$C$13)-($B$13*$C$13))/($B$12-$B$13)),IF(AND('Entrada das massas'!S78&lt;=$B$12,'Entrada das massas'!S78&gt;$B$11),'Entrada das massas'!S78-((($C$12-$C$11)*($B$12-'Entrada das massas'!S78)+($B$11*$C$12)-($B$12*$C$12))/($B$11-$B$12)),IF(AND('Entrada das massas'!S78&lt;=$B$11,'Entrada das massas'!S78&gt;$B$10),'Entrada das massas'!S78-((($C$11-$C$10)*($B$11-'Entrada das massas'!S78)+($B$10*$C$11)-($B$11*$C$11))/($B$10-$B$11)),IF(AND('Entrada das massas'!S78&lt;=$B$10,'Entrada das massas'!S78&gt;$B$9),'Entrada das massas'!S78-((($C$10-$C$9)*($B$10-'Entrada das massas'!S78)+($B$9*$C$10)-($B$10*$C$10))/($B$9-$B$10)),IF(AND('Entrada das massas'!S78&lt;=$B$9,'Entrada das massas'!S78&gt;$B$8),'Entrada das massas'!S78-((($C$9-$C$8)*($B$9-'Entrada das massas'!S78)+($B$8*$C$9)-($B$9*$C$9))/($B$8-$B$9)),IF(AND('Entrada das massas'!S78&lt;=$B$8,'Entrada das massas'!S78&gt;$B$7),'Entrada das massas'!S78-((($C$8-$C$7)*($B$8-'Entrada das massas'!S78)+($B$7*$C$8)-($B$8*$C$8))/($B$7-$B$8)),IF(AND('Entrada das massas'!S78&lt;=$B$7,'Entrada das massas'!S78&gt;$B$6),'Entrada das massas'!S78-((($C$7-$C$6)*($B$7-'Entrada das massas'!S78)+($B$6*$C$7)-($B$7*$C$7))/($B$6-$B$7)),IF(AND('Entrada das massas'!S78&lt;=$B$6,'Entrada das massas'!S78&gt;$B$5),'Entrada das massas'!S78-((($C$6-$C$5)*($B$6-'Entrada das massas'!S78)+($B$5*$C$6)-($B$6*$C$6))/($B$5-$B$6)),IF('Entrada das massas'!S78&lt;=$B$5,'Entrada das massas'!S78-$C$5)))))))))))))))))</f>
        <v/>
      </c>
      <c r="X98" s="117" t="str">
        <f t="shared" ref="X98:X99" si="47">IF(W98="","",(IF(AND(W98&lt;=$B$20,W98&gt;$B$19),$D$19+($B$19-W98)/($B$19-$B$20)*($D$20-$D$19),IF(AND(W98&lt;=$B$19,W98&gt;$B$18),$D$18+($B$18-W98)/($B$18-$B$19)*($D$19-$D$18),IF(AND(W98&lt;=$B$18,W98&gt;$B$17),$D$17+($B$17-W98)/($B$17-$B$18)*($D$18-$D$17),IF(AND(W98&lt;=$B$17,W98&gt;$B$16),$D$16+($B$16-W98)/($B$16-$B$17)*($D$17-$D$16),IF(AND(W98&lt;=$B$16,W98&gt;$B$15),$D$15+($B$15-W98)/($B$15-$B$16)*($D$16-$D$15),IF(AND(W98&lt;=$B$15,W98&gt;$B$14),$D$14+($B$14-W98)/($B$14-$B$15)*($D$15-$D$14),IF(AND(W98&lt;=$B$14,W98&gt;$B$13),$D$13+($B$13-W98)/($B$13-$B$14)*($D$14-$D$13),IF(AND(W98&lt;=$B$13,W98&gt;$B$12),$D$12+($B$12-W98)/($B$12-$B$13)*($D$13-$D$12),IF(AND(W98&lt;=$B$12,W98&gt;$B$11),$D$11+($B$11-W98)/($B$11-$B$12)*($D$12-$D$11),IF(AND(W98&lt;=$B$11,W98&gt;$B$10),$D$10+($B$10-W98)/($B$10-$B$11)*($D$11-$D$10),IF(AND(W98&lt;=$B$10,W98&gt;$B$9),$D$9+($B$9-W98)/($B$9-$B$10)*($D$10-$D$9),IF(AND(W98&lt;=$B$9,W98&gt;$B$8),$D$8+($B$8-W98)/($B$8-$B$9)*($D$9-$D$8),IF(AND(W98&lt;=$B$8,W98&gt;$B$7),$D$7+($B$7-W98)/($B$7-$B$8)*($D$8-$D$7),IF(AND(W98&lt;=$B$7,W98&gt;$B$6),$D$6+($B$6-W98)/($B$6-$B$7)*($D$7-$D$6),IF(W98&lt;=$B$6,$D$6)))))))))))))))))</f>
        <v/>
      </c>
      <c r="Y98" s="120" t="str">
        <f>IF(W97="","",W98-W97)</f>
        <v/>
      </c>
      <c r="Z98" s="117" t="str">
        <f>IF(X97="","",SQRT(SUMSQ(X97:X98)))</f>
        <v/>
      </c>
      <c r="AA98" s="93" t="str">
        <f>IF(W96="","","Amostra")</f>
        <v/>
      </c>
      <c r="AB98" s="104"/>
      <c r="AC98" s="104"/>
      <c r="AE98" s="88"/>
      <c r="AF98" s="160"/>
    </row>
    <row r="99" spans="8:32" x14ac:dyDescent="0.2">
      <c r="H99" s="123" t="str">
        <f>IF(I96="","","Massa final")</f>
        <v/>
      </c>
      <c r="I99" s="116" t="str">
        <f>IF('Entrada das massas'!I79="","",IF(AND('Entrada das massas'!I79&lt;=$B$20,'Entrada das massas'!I79&gt;$B$19),'Entrada das massas'!I79-((($C$20-$C$19)*($B$20-'Entrada das massas'!I79)+($B$19*$C$20)-($B$20*$C$20))/($B$19-$B$20)),IF(AND('Entrada das massas'!I79&lt;=$B$19,'Entrada das massas'!I79&gt;$B$18),'Entrada das massas'!I79-((($C$19-$C$18)*($B$19-'Entrada das massas'!I79)+($B$18*$C$19)-($B$19*$C$19))/($B$18-$B$19)),IF(AND('Entrada das massas'!I79&lt;=$B$18,'Entrada das massas'!I79&gt;$B$17),'Entrada das massas'!I79-((($C$18-$C$17)*($B$18-'Entrada das massas'!I79)+($B$17*$C$18)-($B$18*$C$18))/($B$17-$B$18)),IF(AND('Entrada das massas'!I79&lt;=$B$17,'Entrada das massas'!I79&gt;$B$16),'Entrada das massas'!I79-((($C$17-$C$16)*($B$17-'Entrada das massas'!I79)+($B$16*$C$17)-($B$17*$C$17))/($B$16-$B$17)),IF(AND('Entrada das massas'!I79&lt;=$B$16,'Entrada das massas'!I79&gt;$B$15),'Entrada das massas'!I79-((($C$16-$C$15)*($B$16-'Entrada das massas'!I79)+($B$15*$C$16)-($B$16*$C$16))/($B$15-$B$16)),IF(AND('Entrada das massas'!I79&lt;=$B$15,'Entrada das massas'!I79&gt;$B$14),'Entrada das massas'!I79-((($C$15-$C$14)*($B$15-'Entrada das massas'!I79)+($B$14*$C$15)-($B$15*$C$15))/($B$14-$B$15)),IF(AND('Entrada das massas'!I79&lt;=$B$14,'Entrada das massas'!I79&gt;$B$13),'Entrada das massas'!I79-((($C$14-$C$13)*($B$14-'Entrada das massas'!I79)+($B$13*$C$14)-($B$14*$C$14))/($B$13-$B$14)),IF(AND('Entrada das massas'!I79&lt;=$B$13,'Entrada das massas'!I79&gt;$B$12),'Entrada das massas'!I79-((($C$13-$C$12)*($B$13-'Entrada das massas'!I79)+($B$12*$C$13)-($B$13*$C$13))/($B$12-$B$13)),IF(AND('Entrada das massas'!I79&lt;=$B$12,'Entrada das massas'!I79&gt;$B$11),'Entrada das massas'!I79-((($C$12-$C$11)*($B$12-'Entrada das massas'!I79)+($B$11*$C$12)-($B$12*$C$12))/($B$11-$B$12)),IF(AND('Entrada das massas'!I79&lt;=$B$11,'Entrada das massas'!I79&gt;$B$10),'Entrada das massas'!I79-((($C$11-$C$10)*($B$11-'Entrada das massas'!I79)+($B$10*$C$11)-($B$11*$C$11))/($B$10-$B$11)),IF(AND('Entrada das massas'!I79&lt;=$B$10,'Entrada das massas'!I79&gt;$B$9),'Entrada das massas'!I79-((($C$10-$C$9)*($B$10-'Entrada das massas'!I79)+($B$9*$C$10)-($B$10*$C$10))/($B$9-$B$10)),IF(AND('Entrada das massas'!I79&lt;=$B$9,'Entrada das massas'!I79&gt;$B$8),'Entrada das massas'!I79-((($C$9-$C$8)*($B$9-'Entrada das massas'!I79)+($B$8*$C$9)-($B$9*$C$9))/($B$8-$B$9)),IF(AND('Entrada das massas'!I79&lt;=$B$8,'Entrada das massas'!I79&gt;$B$7),'Entrada das massas'!I79-((($C$8-$C$7)*($B$8-'Entrada das massas'!I79)+($B$7*$C$8)-($B$8*$C$8))/($B$7-$B$8)),IF(AND('Entrada das massas'!I79&lt;=$B$7,'Entrada das massas'!I79&gt;$B$6),'Entrada das massas'!I79-((($C$7-$C$6)*($B$7-'Entrada das massas'!I79)+($B$6*$C$7)-($B$7*$C$7))/($B$6-$B$7)),IF(AND('Entrada das massas'!I79&lt;=$B$6,'Entrada das massas'!I79&gt;$B$5),'Entrada das massas'!I79-((($C$6-$C$5)*($B$6-'Entrada das massas'!I79)+($B$5*$C$6)-($B$6*$C$6))/($B$5-$B$6)),IF('Entrada das massas'!I79&lt;=$B$5,'Entrada das massas'!I79-$C$5)))))))))))))))))</f>
        <v/>
      </c>
      <c r="J99" s="117" t="str">
        <f t="shared" si="45"/>
        <v/>
      </c>
      <c r="K99" s="120" t="str">
        <f>IF(I97="","",I99-I97)</f>
        <v/>
      </c>
      <c r="L99" s="117" t="str">
        <f>IF(J97="","",SQRT(SUMSQ(J97,J99)))</f>
        <v/>
      </c>
      <c r="M99" s="93" t="str">
        <f>IF(I96="","","Solução")</f>
        <v/>
      </c>
      <c r="N99" s="93"/>
      <c r="O99" s="123" t="str">
        <f>IF(P96="","","Massa final")</f>
        <v/>
      </c>
      <c r="P99" s="95" t="str">
        <f>IF('Entrada das massas'!N79="","",IF(AND('Entrada das massas'!N79&lt;=$B$20,'Entrada das massas'!N79&gt;$B$19),'Entrada das massas'!N79-((($C$20-$C$19)*($B$20-'Entrada das massas'!N79)+($B$19*$C$20)-($B$20*$C$20))/($B$19-$B$20)),IF(AND('Entrada das massas'!N79&lt;=$B$19,'Entrada das massas'!N79&gt;$B$18),'Entrada das massas'!N79-((($C$19-$C$18)*($B$19-'Entrada das massas'!N79)+($B$18*$C$19)-($B$19*$C$19))/($B$18-$B$19)),IF(AND('Entrada das massas'!N79&lt;=$B$18,'Entrada das massas'!N79&gt;$B$17),'Entrada das massas'!N79-((($C$18-$C$17)*($B$18-'Entrada das massas'!N79)+($B$17*$C$18)-($B$18*$C$18))/($B$17-$B$18)),IF(AND('Entrada das massas'!N79&lt;=$B$17,'Entrada das massas'!N79&gt;$B$16),'Entrada das massas'!N79-((($C$17-$C$16)*($B$17-'Entrada das massas'!N79)+($B$16*$C$17)-($B$17*$C$17))/($B$16-$B$17)),IF(AND('Entrada das massas'!N79&lt;=$B$16,'Entrada das massas'!N79&gt;$B$15),'Entrada das massas'!N79-((($C$16-$C$15)*($B$16-'Entrada das massas'!N79)+($B$15*$C$16)-($B$16*$C$16))/($B$15-$B$16)),IF(AND('Entrada das massas'!N79&lt;=$B$15,'Entrada das massas'!N79&gt;$B$14),'Entrada das massas'!N79-((($C$15-$C$14)*($B$15-'Entrada das massas'!N79)+($B$14*$C$15)-($B$15*$C$15))/($B$14-$B$15)),IF(AND('Entrada das massas'!N79&lt;=$B$14,'Entrada das massas'!N79&gt;$B$13),'Entrada das massas'!N79-((($C$14-$C$13)*($B$14-'Entrada das massas'!N79)+($B$13*$C$14)-($B$14*$C$14))/($B$13-$B$14)),IF(AND('Entrada das massas'!N79&lt;=$B$13,'Entrada das massas'!N79&gt;$B$12),'Entrada das massas'!N79-((($C$13-$C$12)*($B$13-'Entrada das massas'!N79)+($B$12*$C$13)-($B$13*$C$13))/($B$12-$B$13)),IF(AND('Entrada das massas'!N79&lt;=$B$12,'Entrada das massas'!N79&gt;$B$11),'Entrada das massas'!N79-((($C$12-$C$11)*($B$12-'Entrada das massas'!N79)+($B$11*$C$12)-($B$12*$C$12))/($B$11-$B$12)),IF(AND('Entrada das massas'!N79&lt;=$B$11,'Entrada das massas'!N79&gt;$B$10),'Entrada das massas'!N79-((($C$11-$C$10)*($B$11-'Entrada das massas'!N79)+($B$10*$C$11)-($B$11*$C$11))/($B$10-$B$11)),IF(AND('Entrada das massas'!N79&lt;=$B$10,'Entrada das massas'!N79&gt;$B$9),'Entrada das massas'!N79-((($C$10-$C$9)*($B$10-'Entrada das massas'!N79)+($B$9*$C$10)-($B$10*$C$10))/($B$9-$B$10)),IF(AND('Entrada das massas'!N79&lt;=$B$9,'Entrada das massas'!N79&gt;$B$8),'Entrada das massas'!N79-((($C$9-$C$8)*($B$9-'Entrada das massas'!N79)+($B$8*$C$9)-($B$9*$C$9))/($B$8-$B$9)),IF(AND('Entrada das massas'!N79&lt;=$B$8,'Entrada das massas'!N79&gt;$B$7),'Entrada das massas'!N79-((($C$8-$C$7)*($B$8-'Entrada das massas'!N79)+($B$7*$C$8)-($B$8*$C$8))/($B$7-$B$8)),IF(AND('Entrada das massas'!N79&lt;=$B$7,'Entrada das massas'!N79&gt;$B$6),'Entrada das massas'!N79-((($C$7-$C$6)*($B$7-'Entrada das massas'!N79)+($B$6*$C$7)-($B$7*$C$7))/($B$6-$B$7)),IF(AND('Entrada das massas'!N79&lt;=$B$6,'Entrada das massas'!N79&gt;$B$5),'Entrada das massas'!N79-((($C$6-$C$5)*($B$6-'Entrada das massas'!N79)+($B$5*$C$6)-($B$6*$C$6))/($B$5-$B$6)),IF('Entrada das massas'!N79&lt;=$B$5,'Entrada das massas'!N79-$C$5)))))))))))))))))</f>
        <v/>
      </c>
      <c r="Q99" s="117" t="str">
        <f t="shared" si="46"/>
        <v/>
      </c>
      <c r="R99" s="120" t="str">
        <f>IF(P97="","",P99-P97)</f>
        <v/>
      </c>
      <c r="S99" s="117" t="str">
        <f>IF(Q97="","",SQRT(SUMSQ(Q97,Q99)))</f>
        <v/>
      </c>
      <c r="T99" s="93" t="str">
        <f>IF(P96="","","Solução")</f>
        <v/>
      </c>
      <c r="U99" s="93"/>
      <c r="V99" s="123" t="str">
        <f>IF(W96="","","Massa final")</f>
        <v/>
      </c>
      <c r="W99" s="95" t="str">
        <f>IF('Entrada das massas'!S79="","",IF(AND('Entrada das massas'!S79&lt;=$B$20,'Entrada das massas'!S79&gt;$B$19),'Entrada das massas'!S79-((($C$20-$C$19)*($B$20-'Entrada das massas'!S79)+($B$19*$C$20)-($B$20*$C$20))/($B$19-$B$20)),IF(AND('Entrada das massas'!S79&lt;=$B$19,'Entrada das massas'!S79&gt;$B$18),'Entrada das massas'!S79-((($C$19-$C$18)*($B$19-'Entrada das massas'!S79)+($B$18*$C$19)-($B$19*$C$19))/($B$18-$B$19)),IF(AND('Entrada das massas'!S79&lt;=$B$18,'Entrada das massas'!S79&gt;$B$17),'Entrada das massas'!S79-((($C$18-$C$17)*($B$18-'Entrada das massas'!S79)+($B$17*$C$18)-($B$18*$C$18))/($B$17-$B$18)),IF(AND('Entrada das massas'!S79&lt;=$B$17,'Entrada das massas'!S79&gt;$B$16),'Entrada das massas'!S79-((($C$17-$C$16)*($B$17-'Entrada das massas'!S79)+($B$16*$C$17)-($B$17*$C$17))/($B$16-$B$17)),IF(AND('Entrada das massas'!S79&lt;=$B$16,'Entrada das massas'!S79&gt;$B$15),'Entrada das massas'!S79-((($C$16-$C$15)*($B$16-'Entrada das massas'!S79)+($B$15*$C$16)-($B$16*$C$16))/($B$15-$B$16)),IF(AND('Entrada das massas'!S79&lt;=$B$15,'Entrada das massas'!S79&gt;$B$14),'Entrada das massas'!S79-((($C$15-$C$14)*($B$15-'Entrada das massas'!S79)+($B$14*$C$15)-($B$15*$C$15))/($B$14-$B$15)),IF(AND('Entrada das massas'!S79&lt;=$B$14,'Entrada das massas'!S79&gt;$B$13),'Entrada das massas'!S79-((($C$14-$C$13)*($B$14-'Entrada das massas'!S79)+($B$13*$C$14)-($B$14*$C$14))/($B$13-$B$14)),IF(AND('Entrada das massas'!S79&lt;=$B$13,'Entrada das massas'!S79&gt;$B$12),'Entrada das massas'!S79-((($C$13-$C$12)*($B$13-'Entrada das massas'!S79)+($B$12*$C$13)-($B$13*$C$13))/($B$12-$B$13)),IF(AND('Entrada das massas'!S79&lt;=$B$12,'Entrada das massas'!S79&gt;$B$11),'Entrada das massas'!S79-((($C$12-$C$11)*($B$12-'Entrada das massas'!S79)+($B$11*$C$12)-($B$12*$C$12))/($B$11-$B$12)),IF(AND('Entrada das massas'!S79&lt;=$B$11,'Entrada das massas'!S79&gt;$B$10),'Entrada das massas'!S79-((($C$11-$C$10)*($B$11-'Entrada das massas'!S79)+($B$10*$C$11)-($B$11*$C$11))/($B$10-$B$11)),IF(AND('Entrada das massas'!S79&lt;=$B$10,'Entrada das massas'!S79&gt;$B$9),'Entrada das massas'!S79-((($C$10-$C$9)*($B$10-'Entrada das massas'!S79)+($B$9*$C$10)-($B$10*$C$10))/($B$9-$B$10)),IF(AND('Entrada das massas'!S79&lt;=$B$9,'Entrada das massas'!S79&gt;$B$8),'Entrada das massas'!S79-((($C$9-$C$8)*($B$9-'Entrada das massas'!S79)+($B$8*$C$9)-($B$9*$C$9))/($B$8-$B$9)),IF(AND('Entrada das massas'!S79&lt;=$B$8,'Entrada das massas'!S79&gt;$B$7),'Entrada das massas'!S79-((($C$8-$C$7)*($B$8-'Entrada das massas'!S79)+($B$7*$C$8)-($B$8*$C$8))/($B$7-$B$8)),IF(AND('Entrada das massas'!S79&lt;=$B$7,'Entrada das massas'!S79&gt;$B$6),'Entrada das massas'!S79-((($C$7-$C$6)*($B$7-'Entrada das massas'!S79)+($B$6*$C$7)-($B$7*$C$7))/($B$6-$B$7)),IF(AND('Entrada das massas'!S79&lt;=$B$6,'Entrada das massas'!S79&gt;$B$5),'Entrada das massas'!S79-((($C$6-$C$5)*($B$6-'Entrada das massas'!S79)+($B$5*$C$6)-($B$6*$C$6))/($B$5-$B$6)),IF('Entrada das massas'!S79&lt;=$B$5,'Entrada das massas'!S79-$C$5)))))))))))))))))</f>
        <v/>
      </c>
      <c r="X99" s="117" t="str">
        <f t="shared" si="47"/>
        <v/>
      </c>
      <c r="Y99" s="120" t="str">
        <f>IF(W97="","",W99-W97)</f>
        <v/>
      </c>
      <c r="Z99" s="117" t="str">
        <f>IF(X97="","",SQRT(SUMSQ(X97,X99)))</f>
        <v/>
      </c>
      <c r="AA99" s="93" t="str">
        <f>IF(W96="","","Solução")</f>
        <v/>
      </c>
      <c r="AB99" s="104"/>
      <c r="AC99" s="104"/>
      <c r="AE99" s="88"/>
      <c r="AF99" s="160"/>
    </row>
    <row r="100" spans="8:32" x14ac:dyDescent="0.2">
      <c r="H100" s="98"/>
      <c r="I100" s="93"/>
      <c r="J100" s="144"/>
      <c r="K100" s="139"/>
      <c r="L100" s="139"/>
      <c r="M100" s="98"/>
      <c r="N100" s="98"/>
      <c r="O100" s="98"/>
      <c r="P100" s="93"/>
      <c r="Q100" s="120"/>
      <c r="R100" s="120"/>
      <c r="S100" s="120"/>
      <c r="T100" s="98"/>
      <c r="U100" s="98"/>
      <c r="V100" s="98"/>
      <c r="W100" s="93"/>
      <c r="X100" s="120"/>
      <c r="Y100" s="120"/>
      <c r="Z100" s="120"/>
      <c r="AA100" s="98"/>
      <c r="AB100" s="104"/>
      <c r="AC100" s="104"/>
      <c r="AE100" s="88"/>
      <c r="AF100" s="160"/>
    </row>
    <row r="101" spans="8:32" x14ac:dyDescent="0.2">
      <c r="H101" s="126" t="str">
        <f>IF(I96="","","Amostra")</f>
        <v/>
      </c>
      <c r="I101" s="127" t="str">
        <f>IF('Entrada das massas'!I81="","",'Entrada das massas'!I81)</f>
        <v/>
      </c>
      <c r="J101" s="120" t="str">
        <f>IF(I101="","","uc(g)")</f>
        <v/>
      </c>
      <c r="K101" s="120" t="str">
        <f>IF(J101="","","Massa (g)")</f>
        <v/>
      </c>
      <c r="L101" s="120" t="str">
        <f>IF(K101="","","ucomb (g)")</f>
        <v/>
      </c>
      <c r="M101" s="98" t="str">
        <f>IF(I101="","","Fdiluição")</f>
        <v/>
      </c>
      <c r="N101" s="98"/>
      <c r="O101" s="126" t="str">
        <f>IF(M102="","","Amostra")</f>
        <v/>
      </c>
      <c r="P101" s="127" t="str">
        <f>IF('Entrada das massas'!N81="","",'Entrada das massas'!N81)</f>
        <v/>
      </c>
      <c r="Q101" s="120" t="str">
        <f>IF(P101="","","uc(g)")</f>
        <v/>
      </c>
      <c r="R101" s="120" t="str">
        <f>IF(Q101="","","Massa (g)")</f>
        <v/>
      </c>
      <c r="S101" s="120" t="str">
        <f>IF(R101="","","ucomb (g)")</f>
        <v/>
      </c>
      <c r="T101" s="98" t="str">
        <f>IF(P101="","","Fdiluição")</f>
        <v/>
      </c>
      <c r="U101" s="98"/>
      <c r="V101" s="126" t="str">
        <f>IF(T102="","","Amostra")</f>
        <v/>
      </c>
      <c r="W101" s="127" t="str">
        <f>IF('Entrada das massas'!S81="","",'Entrada das massas'!S81)</f>
        <v/>
      </c>
      <c r="X101" s="120" t="str">
        <f>IF(W101="","","uc(g)")</f>
        <v/>
      </c>
      <c r="Y101" s="120" t="str">
        <f>IF(X101="","","Massa (g)")</f>
        <v/>
      </c>
      <c r="Z101" s="120" t="str">
        <f>IF(Y101="","","ucomb (g)")</f>
        <v/>
      </c>
      <c r="AA101" s="98" t="str">
        <f>IF(W101="","","Fdiluição")</f>
        <v/>
      </c>
      <c r="AB101" s="104"/>
      <c r="AC101" s="104"/>
      <c r="AE101" s="88"/>
      <c r="AF101" s="160"/>
    </row>
    <row r="102" spans="8:32" x14ac:dyDescent="0.2">
      <c r="H102" s="115" t="str">
        <f>IF(I101="","","Frasco")</f>
        <v/>
      </c>
      <c r="I102" s="116" t="str">
        <f>IF('Entrada das massas'!I82="","",IF(AND('Entrada das massas'!I82&lt;=$B$20,'Entrada das massas'!I82&gt;$B$19),'Entrada das massas'!I82-((($C$20-$C$19)*($B$20-'Entrada das massas'!I82)+($B$19*$C$20)-($B$20*$C$20))/($B$19-$B$20)),IF(AND('Entrada das massas'!I82&lt;=$B$19,'Entrada das massas'!I82&gt;$B$18),'Entrada das massas'!I82-((($C$19-$C$18)*($B$19-'Entrada das massas'!I82)+($B$18*$C$19)-($B$19*$C$19))/($B$18-$B$19)),IF(AND('Entrada das massas'!I82&lt;=$B$18,'Entrada das massas'!I82&gt;$B$17),'Entrada das massas'!I82-((($C$18-$C$17)*($B$18-'Entrada das massas'!I82)+($B$17*$C$18)-($B$18*$C$18))/($B$17-$B$18)),IF(AND('Entrada das massas'!I82&lt;=$B$17,'Entrada das massas'!I82&gt;$B$16),'Entrada das massas'!I82-((($C$17-$C$16)*($B$17-'Entrada das massas'!I82)+($B$16*$C$17)-($B$17*$C$17))/($B$16-$B$17)),IF(AND('Entrada das massas'!I82&lt;=$B$16,'Entrada das massas'!I82&gt;$B$15),'Entrada das massas'!I82-((($C$16-$C$15)*($B$16-'Entrada das massas'!I82)+($B$15*$C$16)-($B$16*$C$16))/($B$15-$B$16)),IF(AND('Entrada das massas'!I82&lt;=$B$15,'Entrada das massas'!I82&gt;$B$14),'Entrada das massas'!I82-((($C$15-$C$14)*($B$15-'Entrada das massas'!I82)+($B$14*$C$15)-($B$15*$C$15))/($B$14-$B$15)),IF(AND('Entrada das massas'!I82&lt;=$B$14,'Entrada das massas'!I82&gt;$B$13),'Entrada das massas'!I82-((($C$14-$C$13)*($B$14-'Entrada das massas'!I82)+($B$13*$C$14)-($B$14*$C$14))/($B$13-$B$14)),IF(AND('Entrada das massas'!I82&lt;=$B$13,'Entrada das massas'!I82&gt;$B$12),'Entrada das massas'!I82-((($C$13-$C$12)*($B$13-'Entrada das massas'!I82)+($B$12*$C$13)-($B$13*$C$13))/($B$12-$B$13)),IF(AND('Entrada das massas'!I82&lt;=$B$12,'Entrada das massas'!I82&gt;$B$11),'Entrada das massas'!I82-((($C$12-$C$11)*($B$12-'Entrada das massas'!I82)+($B$11*$C$12)-($B$12*$C$12))/($B$11-$B$12)),IF(AND('Entrada das massas'!I82&lt;=$B$11,'Entrada das massas'!I82&gt;$B$10),'Entrada das massas'!I82-((($C$11-$C$10)*($B$11-'Entrada das massas'!I82)+($B$10*$C$11)-($B$11*$C$11))/($B$10-$B$11)),IF(AND('Entrada das massas'!I82&lt;=$B$10,'Entrada das massas'!I82&gt;$B$9),'Entrada das massas'!I82-((($C$10-$C$9)*($B$10-'Entrada das massas'!I82)+($B$9*$C$10)-($B$10*$C$10))/($B$9-$B$10)),IF(AND('Entrada das massas'!I82&lt;=$B$9,'Entrada das massas'!I82&gt;$B$8),'Entrada das massas'!I82-((($C$9-$C$8)*($B$9-'Entrada das massas'!I82)+($B$8*$C$9)-($B$9*$C$9))/($B$8-$B$9)),IF(AND('Entrada das massas'!I82&lt;=$B$8,'Entrada das massas'!I82&gt;$B$7),'Entrada das massas'!I82-((($C$8-$C$7)*($B$8-'Entrada das massas'!I82)+($B$7*$C$8)-($B$8*$C$8))/($B$7-$B$8)),IF(AND('Entrada das massas'!I82&lt;=$B$7,'Entrada das massas'!I82&gt;$B$6),'Entrada das massas'!I82-((($C$7-$C$6)*($B$7-'Entrada das massas'!I82)+($B$6*$C$7)-($B$7*$C$7))/($B$6-$B$7)),IF(AND('Entrada das massas'!I82&lt;=$B$6,'Entrada das massas'!I82&gt;$B$5),'Entrada das massas'!I82-((($C$6-$C$5)*($B$6-'Entrada das massas'!I82)+($B$5*$C$6)-($B$6*$C$6))/($B$5-$B$6)),IF('Entrada das massas'!I82&lt;=$B$5,'Entrada das massas'!I82-$C$5)))))))))))))))))</f>
        <v/>
      </c>
      <c r="J102" s="117" t="str">
        <f>IF(I102="","",(IF(AND(I102&lt;=$B$20,I102&gt;$B$19),$D$19+($B$19-I102)/($B$19-$B$20)*($D$20-$D$19),IF(AND(I102&lt;=$B$19,I102&gt;$B$18),$D$18+($B$18-I102)/($B$18-$B$19)*($D$19-$D$18),IF(AND(I102&lt;=$B$18,I102&gt;$B$17),$D$17+($B$17-I102)/($B$17-$B$18)*($D$18-$D$17),IF(AND(I102&lt;=$B$17,I102&gt;$B$16),$D$16+($B$16-I102)/($B$16-$B$17)*($D$17-$D$16),IF(AND(I102&lt;=$B$16,I102&gt;$B$15),$D$15+($B$15-I102)/($B$15-$B$16)*($D$16-$D$15),IF(AND(I102&lt;=$B$15,I102&gt;$B$14),$D$14+($B$14-I102)/($B$14-$B$15)*($D$15-$D$14),IF(AND(I102&lt;=$B$14,I102&gt;$B$13),$D$13+($B$13-I102)/($B$13-$B$14)*($D$14-$D$13),IF(AND(I102&lt;=$B$13,I102&gt;$B$12),$D$12+($B$12-I102)/($B$12-$B$13)*($D$13-$D$12),IF(AND(I102&lt;=$B$12,I102&gt;$B$11),$D$11+($B$11-I102)/($B$11-$B$12)*($D$12-$D$11),IF(AND(I102&lt;=$B$11,I102&gt;$B$10),$D$10+($B$10-I102)/($B$10-$B$11)*($D$11-$D$10),IF(AND(I102&lt;=$B$10,I102&gt;$B$9),$D$9+($B$9-I102)/($B$9-$B$10)*($D$10-$D$9),IF(AND(I102&lt;=$B$9,I102&gt;$B$8),$D$8+($B$8-I102)/($B$8-$B$9)*($D$9-$D$8),IF(AND(I102&lt;=$B$8,I102&gt;$B$7),$D$7+($B$7-I102)/($B$7-$B$8)*($D$8-$D$7),IF(AND(I102&lt;=$B$7,I102&gt;$B$6),$D$6+($B$6-I102)/($B$6-$B$7)*($D$7-$D$6),IF(I102&lt;=$B$6,$D$6)))))))))))))))))</f>
        <v/>
      </c>
      <c r="K102" s="117"/>
      <c r="L102" s="117"/>
      <c r="M102" s="118" t="str">
        <f>IFERROR(K104/K103,"")</f>
        <v/>
      </c>
      <c r="N102" s="93"/>
      <c r="O102" s="115" t="str">
        <f>IF(P101="","","Frasco")</f>
        <v/>
      </c>
      <c r="P102" s="95" t="str">
        <f>IF('Entrada das massas'!N82="","",IF(AND('Entrada das massas'!N82&lt;=$B$20,'Entrada das massas'!N82&gt;$B$19),'Entrada das massas'!N82-((($C$20-$C$19)*($B$20-'Entrada das massas'!N82)+($B$19*$C$20)-($B$20*$C$20))/($B$19-$B$20)),IF(AND('Entrada das massas'!N82&lt;=$B$19,'Entrada das massas'!N82&gt;$B$18),'Entrada das massas'!N82-((($C$19-$C$18)*($B$19-'Entrada das massas'!N82)+($B$18*$C$19)-($B$19*$C$19))/($B$18-$B$19)),IF(AND('Entrada das massas'!N82&lt;=$B$18,'Entrada das massas'!N82&gt;$B$17),'Entrada das massas'!N82-((($C$18-$C$17)*($B$18-'Entrada das massas'!N82)+($B$17*$C$18)-($B$18*$C$18))/($B$17-$B$18)),IF(AND('Entrada das massas'!N82&lt;=$B$17,'Entrada das massas'!N82&gt;$B$16),'Entrada das massas'!N82-((($C$17-$C$16)*($B$17-'Entrada das massas'!N82)+($B$16*$C$17)-($B$17*$C$17))/($B$16-$B$17)),IF(AND('Entrada das massas'!N82&lt;=$B$16,'Entrada das massas'!N82&gt;$B$15),'Entrada das massas'!N82-((($C$16-$C$15)*($B$16-'Entrada das massas'!N82)+($B$15*$C$16)-($B$16*$C$16))/($B$15-$B$16)),IF(AND('Entrada das massas'!N82&lt;=$B$15,'Entrada das massas'!N82&gt;$B$14),'Entrada das massas'!N82-((($C$15-$C$14)*($B$15-'Entrada das massas'!N82)+($B$14*$C$15)-($B$15*$C$15))/($B$14-$B$15)),IF(AND('Entrada das massas'!N82&lt;=$B$14,'Entrada das massas'!N82&gt;$B$13),'Entrada das massas'!N82-((($C$14-$C$13)*($B$14-'Entrada das massas'!N82)+($B$13*$C$14)-($B$14*$C$14))/($B$13-$B$14)),IF(AND('Entrada das massas'!N82&lt;=$B$13,'Entrada das massas'!N82&gt;$B$12),'Entrada das massas'!N82-((($C$13-$C$12)*($B$13-'Entrada das massas'!N82)+($B$12*$C$13)-($B$13*$C$13))/($B$12-$B$13)),IF(AND('Entrada das massas'!N82&lt;=$B$12,'Entrada das massas'!N82&gt;$B$11),'Entrada das massas'!N82-((($C$12-$C$11)*($B$12-'Entrada das massas'!N82)+($B$11*$C$12)-($B$12*$C$12))/($B$11-$B$12)),IF(AND('Entrada das massas'!N82&lt;=$B$11,'Entrada das massas'!N82&gt;$B$10),'Entrada das massas'!N82-((($C$11-$C$10)*($B$11-'Entrada das massas'!N82)+($B$10*$C$11)-($B$11*$C$11))/($B$10-$B$11)),IF(AND('Entrada das massas'!N82&lt;=$B$10,'Entrada das massas'!N82&gt;$B$9),'Entrada das massas'!N82-((($C$10-$C$9)*($B$10-'Entrada das massas'!N82)+($B$9*$C$10)-($B$10*$C$10))/($B$9-$B$10)),IF(AND('Entrada das massas'!N82&lt;=$B$9,'Entrada das massas'!N82&gt;$B$8),'Entrada das massas'!N82-((($C$9-$C$8)*($B$9-'Entrada das massas'!N82)+($B$8*$C$9)-($B$9*$C$9))/($B$8-$B$9)),IF(AND('Entrada das massas'!N82&lt;=$B$8,'Entrada das massas'!N82&gt;$B$7),'Entrada das massas'!N82-((($C$8-$C$7)*($B$8-'Entrada das massas'!N82)+($B$7*$C$8)-($B$8*$C$8))/($B$7-$B$8)),IF(AND('Entrada das massas'!N82&lt;=$B$7,'Entrada das massas'!N82&gt;$B$6),'Entrada das massas'!N82-((($C$7-$C$6)*($B$7-'Entrada das massas'!N82)+($B$6*$C$7)-($B$7*$C$7))/($B$6-$B$7)),IF(AND('Entrada das massas'!N82&lt;=$B$6,'Entrada das massas'!N82&gt;$B$5),'Entrada das massas'!N82-((($C$6-$C$5)*($B$6-'Entrada das massas'!N82)+($B$5*$C$6)-($B$6*$C$6))/($B$5-$B$6)),IF('Entrada das massas'!N82&lt;=$B$5,'Entrada das massas'!N82-$C$5)))))))))))))))))</f>
        <v/>
      </c>
      <c r="Q102" s="117" t="str">
        <f>IF(P102="","",(IF(AND(P102&lt;=$B$20,P102&gt;$B$19),$D$19+($B$19-P102)/($B$19-$B$20)*($D$20-$D$19),IF(AND(P102&lt;=$B$19,P102&gt;$B$18),$D$18+($B$18-P102)/($B$18-$B$19)*($D$19-$D$18),IF(AND(P102&lt;=$B$18,P102&gt;$B$17),$D$17+($B$17-P102)/($B$17-$B$18)*($D$18-$D$17),IF(AND(P102&lt;=$B$17,P102&gt;$B$16),$D$16+($B$16-P102)/($B$16-$B$17)*($D$17-$D$16),IF(AND(P102&lt;=$B$16,P102&gt;$B$15),$D$15+($B$15-P102)/($B$15-$B$16)*($D$16-$D$15),IF(AND(P102&lt;=$B$15,P102&gt;$B$14),$D$14+($B$14-P102)/($B$14-$B$15)*($D$15-$D$14),IF(AND(P102&lt;=$B$14,P102&gt;$B$13),$D$13+($B$13-P102)/($B$13-$B$14)*($D$14-$D$13),IF(AND(P102&lt;=$B$13,P102&gt;$B$12),$D$12+($B$12-P102)/($B$12-$B$13)*($D$13-$D$12),IF(AND(P102&lt;=$B$12,P102&gt;$B$11),$D$11+($B$11-P102)/($B$11-$B$12)*($D$12-$D$11),IF(AND(P102&lt;=$B$11,P102&gt;$B$10),$D$10+($B$10-P102)/($B$10-$B$11)*($D$11-$D$10),IF(AND(P102&lt;=$B$10,P102&gt;$B$9),$D$9+($B$9-P102)/($B$9-$B$10)*($D$10-$D$9),IF(AND(P102&lt;=$B$9,P102&gt;$B$8),$D$8+($B$8-P102)/($B$8-$B$9)*($D$9-$D$8),IF(AND(P102&lt;=$B$8,P102&gt;$B$7),$D$7+($B$7-P102)/($B$7-$B$8)*($D$8-$D$7),IF(AND(P102&lt;=$B$7,P102&gt;$B$6),$D$6+($B$6-P102)/($B$6-$B$7)*($D$7-$D$6),IF(P102&lt;=$B$6,$D$6)))))))))))))))))</f>
        <v/>
      </c>
      <c r="R102" s="117"/>
      <c r="S102" s="117"/>
      <c r="T102" s="118" t="str">
        <f>IFERROR(R104/R103,"")</f>
        <v/>
      </c>
      <c r="U102" s="93"/>
      <c r="V102" s="115" t="str">
        <f>IF(W101="","","Frasco")</f>
        <v/>
      </c>
      <c r="W102" s="95" t="str">
        <f>IF('Entrada das massas'!S82="","",IF(AND('Entrada das massas'!S82&lt;=$B$20,'Entrada das massas'!S82&gt;$B$19),'Entrada das massas'!S82-((($C$20-$C$19)*($B$20-'Entrada das massas'!S82)+($B$19*$C$20)-($B$20*$C$20))/($B$19-$B$20)),IF(AND('Entrada das massas'!S82&lt;=$B$19,'Entrada das massas'!S82&gt;$B$18),'Entrada das massas'!S82-((($C$19-$C$18)*($B$19-'Entrada das massas'!S82)+($B$18*$C$19)-($B$19*$C$19))/($B$18-$B$19)),IF(AND('Entrada das massas'!S82&lt;=$B$18,'Entrada das massas'!S82&gt;$B$17),'Entrada das massas'!S82-((($C$18-$C$17)*($B$18-'Entrada das massas'!S82)+($B$17*$C$18)-($B$18*$C$18))/($B$17-$B$18)),IF(AND('Entrada das massas'!S82&lt;=$B$17,'Entrada das massas'!S82&gt;$B$16),'Entrada das massas'!S82-((($C$17-$C$16)*($B$17-'Entrada das massas'!S82)+($B$16*$C$17)-($B$17*$C$17))/($B$16-$B$17)),IF(AND('Entrada das massas'!S82&lt;=$B$16,'Entrada das massas'!S82&gt;$B$15),'Entrada das massas'!S82-((($C$16-$C$15)*($B$16-'Entrada das massas'!S82)+($B$15*$C$16)-($B$16*$C$16))/($B$15-$B$16)),IF(AND('Entrada das massas'!S82&lt;=$B$15,'Entrada das massas'!S82&gt;$B$14),'Entrada das massas'!S82-((($C$15-$C$14)*($B$15-'Entrada das massas'!S82)+($B$14*$C$15)-($B$15*$C$15))/($B$14-$B$15)),IF(AND('Entrada das massas'!S82&lt;=$B$14,'Entrada das massas'!S82&gt;$B$13),'Entrada das massas'!S82-((($C$14-$C$13)*($B$14-'Entrada das massas'!S82)+($B$13*$C$14)-($B$14*$C$14))/($B$13-$B$14)),IF(AND('Entrada das massas'!S82&lt;=$B$13,'Entrada das massas'!S82&gt;$B$12),'Entrada das massas'!S82-((($C$13-$C$12)*($B$13-'Entrada das massas'!S82)+($B$12*$C$13)-($B$13*$C$13))/($B$12-$B$13)),IF(AND('Entrada das massas'!S82&lt;=$B$12,'Entrada das massas'!S82&gt;$B$11),'Entrada das massas'!S82-((($C$12-$C$11)*($B$12-'Entrada das massas'!S82)+($B$11*$C$12)-($B$12*$C$12))/($B$11-$B$12)),IF(AND('Entrada das massas'!S82&lt;=$B$11,'Entrada das massas'!S82&gt;$B$10),'Entrada das massas'!S82-((($C$11-$C$10)*($B$11-'Entrada das massas'!S82)+($B$10*$C$11)-($B$11*$C$11))/($B$10-$B$11)),IF(AND('Entrada das massas'!S82&lt;=$B$10,'Entrada das massas'!S82&gt;$B$9),'Entrada das massas'!S82-((($C$10-$C$9)*($B$10-'Entrada das massas'!S82)+($B$9*$C$10)-($B$10*$C$10))/($B$9-$B$10)),IF(AND('Entrada das massas'!S82&lt;=$B$9,'Entrada das massas'!S82&gt;$B$8),'Entrada das massas'!S82-((($C$9-$C$8)*($B$9-'Entrada das massas'!S82)+($B$8*$C$9)-($B$9*$C$9))/($B$8-$B$9)),IF(AND('Entrada das massas'!S82&lt;=$B$8,'Entrada das massas'!S82&gt;$B$7),'Entrada das massas'!S82-((($C$8-$C$7)*($B$8-'Entrada das massas'!S82)+($B$7*$C$8)-($B$8*$C$8))/($B$7-$B$8)),IF(AND('Entrada das massas'!S82&lt;=$B$7,'Entrada das massas'!S82&gt;$B$6),'Entrada das massas'!S82-((($C$7-$C$6)*($B$7-'Entrada das massas'!S82)+($B$6*$C$7)-($B$7*$C$7))/($B$6-$B$7)),IF(AND('Entrada das massas'!S82&lt;=$B$6,'Entrada das massas'!S82&gt;$B$5),'Entrada das massas'!S82-((($C$6-$C$5)*($B$6-'Entrada das massas'!S82)+($B$5*$C$6)-($B$6*$C$6))/($B$5-$B$6)),IF('Entrada das massas'!S82&lt;=$B$5,'Entrada das massas'!S82-$C$5)))))))))))))))))</f>
        <v/>
      </c>
      <c r="X102" s="117" t="str">
        <f>IF(W102="","",(IF(AND(W102&lt;=$B$20,W102&gt;$B$19),$D$19+($B$19-W102)/($B$19-$B$20)*($D$20-$D$19),IF(AND(W102&lt;=$B$19,W102&gt;$B$18),$D$18+($B$18-W102)/($B$18-$B$19)*($D$19-$D$18),IF(AND(W102&lt;=$B$18,W102&gt;$B$17),$D$17+($B$17-W102)/($B$17-$B$18)*($D$18-$D$17),IF(AND(W102&lt;=$B$17,W102&gt;$B$16),$D$16+($B$16-W102)/($B$16-$B$17)*($D$17-$D$16),IF(AND(W102&lt;=$B$16,W102&gt;$B$15),$D$15+($B$15-W102)/($B$15-$B$16)*($D$16-$D$15),IF(AND(W102&lt;=$B$15,W102&gt;$B$14),$D$14+($B$14-W102)/($B$14-$B$15)*($D$15-$D$14),IF(AND(W102&lt;=$B$14,W102&gt;$B$13),$D$13+($B$13-W102)/($B$13-$B$14)*($D$14-$D$13),IF(AND(W102&lt;=$B$13,W102&gt;$B$12),$D$12+($B$12-W102)/($B$12-$B$13)*($D$13-$D$12),IF(AND(W102&lt;=$B$12,W102&gt;$B$11),$D$11+($B$11-W102)/($B$11-$B$12)*($D$12-$D$11),IF(AND(W102&lt;=$B$11,W102&gt;$B$10),$D$10+($B$10-W102)/($B$10-$B$11)*($D$11-$D$10),IF(AND(W102&lt;=$B$10,W102&gt;$B$9),$D$9+($B$9-W102)/($B$9-$B$10)*($D$10-$D$9),IF(AND(W102&lt;=$B$9,W102&gt;$B$8),$D$8+($B$8-W102)/($B$8-$B$9)*($D$9-$D$8),IF(AND(W102&lt;=$B$8,W102&gt;$B$7),$D$7+($B$7-W102)/($B$7-$B$8)*($D$8-$D$7),IF(AND(W102&lt;=$B$7,W102&gt;$B$6),$D$6+($B$6-W102)/($B$6-$B$7)*($D$7-$D$6),IF(W102&lt;=$B$6,$D$6)))))))))))))))))</f>
        <v/>
      </c>
      <c r="Y102" s="117"/>
      <c r="Z102" s="117"/>
      <c r="AA102" s="118" t="str">
        <f>IFERROR(Y104/Y103,"")</f>
        <v/>
      </c>
      <c r="AB102" s="104"/>
      <c r="AC102" s="104"/>
      <c r="AE102" s="88"/>
      <c r="AF102" s="160"/>
    </row>
    <row r="103" spans="8:32" x14ac:dyDescent="0.2">
      <c r="H103" s="115" t="str">
        <f>IF(I101="","","Frasco + Amostra")</f>
        <v/>
      </c>
      <c r="I103" s="116" t="str">
        <f>IF('Entrada das massas'!I83="","",IF(AND('Entrada das massas'!I83&lt;=$B$20,'Entrada das massas'!I83&gt;$B$19),'Entrada das massas'!I83-((($C$20-$C$19)*($B$20-'Entrada das massas'!I83)+($B$19*$C$20)-($B$20*$C$20))/($B$19-$B$20)),IF(AND('Entrada das massas'!I83&lt;=$B$19,'Entrada das massas'!I83&gt;$B$18),'Entrada das massas'!I83-((($C$19-$C$18)*($B$19-'Entrada das massas'!I83)+($B$18*$C$19)-($B$19*$C$19))/($B$18-$B$19)),IF(AND('Entrada das massas'!I83&lt;=$B$18,'Entrada das massas'!I83&gt;$B$17),'Entrada das massas'!I83-((($C$18-$C$17)*($B$18-'Entrada das massas'!I83)+($B$17*$C$18)-($B$18*$C$18))/($B$17-$B$18)),IF(AND('Entrada das massas'!I83&lt;=$B$17,'Entrada das massas'!I83&gt;$B$16),'Entrada das massas'!I83-((($C$17-$C$16)*($B$17-'Entrada das massas'!I83)+($B$16*$C$17)-($B$17*$C$17))/($B$16-$B$17)),IF(AND('Entrada das massas'!I83&lt;=$B$16,'Entrada das massas'!I83&gt;$B$15),'Entrada das massas'!I83-((($C$16-$C$15)*($B$16-'Entrada das massas'!I83)+($B$15*$C$16)-($B$16*$C$16))/($B$15-$B$16)),IF(AND('Entrada das massas'!I83&lt;=$B$15,'Entrada das massas'!I83&gt;$B$14),'Entrada das massas'!I83-((($C$15-$C$14)*($B$15-'Entrada das massas'!I83)+($B$14*$C$15)-($B$15*$C$15))/($B$14-$B$15)),IF(AND('Entrada das massas'!I83&lt;=$B$14,'Entrada das massas'!I83&gt;$B$13),'Entrada das massas'!I83-((($C$14-$C$13)*($B$14-'Entrada das massas'!I83)+($B$13*$C$14)-($B$14*$C$14))/($B$13-$B$14)),IF(AND('Entrada das massas'!I83&lt;=$B$13,'Entrada das massas'!I83&gt;$B$12),'Entrada das massas'!I83-((($C$13-$C$12)*($B$13-'Entrada das massas'!I83)+($B$12*$C$13)-($B$13*$C$13))/($B$12-$B$13)),IF(AND('Entrada das massas'!I83&lt;=$B$12,'Entrada das massas'!I83&gt;$B$11),'Entrada das massas'!I83-((($C$12-$C$11)*($B$12-'Entrada das massas'!I83)+($B$11*$C$12)-($B$12*$C$12))/($B$11-$B$12)),IF(AND('Entrada das massas'!I83&lt;=$B$11,'Entrada das massas'!I83&gt;$B$10),'Entrada das massas'!I83-((($C$11-$C$10)*($B$11-'Entrada das massas'!I83)+($B$10*$C$11)-($B$11*$C$11))/($B$10-$B$11)),IF(AND('Entrada das massas'!I83&lt;=$B$10,'Entrada das massas'!I83&gt;$B$9),'Entrada das massas'!I83-((($C$10-$C$9)*($B$10-'Entrada das massas'!I83)+($B$9*$C$10)-($B$10*$C$10))/($B$9-$B$10)),IF(AND('Entrada das massas'!I83&lt;=$B$9,'Entrada das massas'!I83&gt;$B$8),'Entrada das massas'!I83-((($C$9-$C$8)*($B$9-'Entrada das massas'!I83)+($B$8*$C$9)-($B$9*$C$9))/($B$8-$B$9)),IF(AND('Entrada das massas'!I83&lt;=$B$8,'Entrada das massas'!I83&gt;$B$7),'Entrada das massas'!I83-((($C$8-$C$7)*($B$8-'Entrada das massas'!I83)+($B$7*$C$8)-($B$8*$C$8))/($B$7-$B$8)),IF(AND('Entrada das massas'!I83&lt;=$B$7,'Entrada das massas'!I83&gt;$B$6),'Entrada das massas'!I83-((($C$7-$C$6)*($B$7-'Entrada das massas'!I83)+($B$6*$C$7)-($B$7*$C$7))/($B$6-$B$7)),IF(AND('Entrada das massas'!I83&lt;=$B$6,'Entrada das massas'!I83&gt;$B$5),'Entrada das massas'!I83-((($C$6-$C$5)*($B$6-'Entrada das massas'!I83)+($B$5*$C$6)-($B$6*$C$6))/($B$5-$B$6)),IF('Entrada das massas'!I83&lt;=$B$5,'Entrada das massas'!I83-$C$5)))))))))))))))))</f>
        <v/>
      </c>
      <c r="J103" s="117" t="str">
        <f t="shared" ref="J103:J104" si="48">IF(I103="","",(IF(AND(I103&lt;=$B$20,I103&gt;$B$19),$D$19+($B$19-I103)/($B$19-$B$20)*($D$20-$D$19),IF(AND(I103&lt;=$B$19,I103&gt;$B$18),$D$18+($B$18-I103)/($B$18-$B$19)*($D$19-$D$18),IF(AND(I103&lt;=$B$18,I103&gt;$B$17),$D$17+($B$17-I103)/($B$17-$B$18)*($D$18-$D$17),IF(AND(I103&lt;=$B$17,I103&gt;$B$16),$D$16+($B$16-I103)/($B$16-$B$17)*($D$17-$D$16),IF(AND(I103&lt;=$B$16,I103&gt;$B$15),$D$15+($B$15-I103)/($B$15-$B$16)*($D$16-$D$15),IF(AND(I103&lt;=$B$15,I103&gt;$B$14),$D$14+($B$14-I103)/($B$14-$B$15)*($D$15-$D$14),IF(AND(I103&lt;=$B$14,I103&gt;$B$13),$D$13+($B$13-I103)/($B$13-$B$14)*($D$14-$D$13),IF(AND(I103&lt;=$B$13,I103&gt;$B$12),$D$12+($B$12-I103)/($B$12-$B$13)*($D$13-$D$12),IF(AND(I103&lt;=$B$12,I103&gt;$B$11),$D$11+($B$11-I103)/($B$11-$B$12)*($D$12-$D$11),IF(AND(I103&lt;=$B$11,I103&gt;$B$10),$D$10+($B$10-I103)/($B$10-$B$11)*($D$11-$D$10),IF(AND(I103&lt;=$B$10,I103&gt;$B$9),$D$9+($B$9-I103)/($B$9-$B$10)*($D$10-$D$9),IF(AND(I103&lt;=$B$9,I103&gt;$B$8),$D$8+($B$8-I103)/($B$8-$B$9)*($D$9-$D$8),IF(AND(I103&lt;=$B$8,I103&gt;$B$7),$D$7+($B$7-I103)/($B$7-$B$8)*($D$8-$D$7),IF(AND(I103&lt;=$B$7,I103&gt;$B$6),$D$6+($B$6-I103)/($B$6-$B$7)*($D$7-$D$6),IF(I103&lt;=$B$6,$D$6)))))))))))))))))</f>
        <v/>
      </c>
      <c r="K103" s="120" t="str">
        <f>IF(I102="","",I103-I102)</f>
        <v/>
      </c>
      <c r="L103" s="117" t="str">
        <f>IF(J102="","",SQRT(SUMSQ(J102:J103)))</f>
        <v/>
      </c>
      <c r="M103" s="93" t="str">
        <f>IF(I101="","","Amostra")</f>
        <v/>
      </c>
      <c r="N103" s="118"/>
      <c r="O103" s="115" t="str">
        <f>IF(P101="","","Frasco + Amostra")</f>
        <v/>
      </c>
      <c r="P103" s="95" t="str">
        <f>IF('Entrada das massas'!N83="","",IF(AND('Entrada das massas'!N83&lt;=$B$20,'Entrada das massas'!N83&gt;$B$19),'Entrada das massas'!N83-((($C$20-$C$19)*($B$20-'Entrada das massas'!N83)+($B$19*$C$20)-($B$20*$C$20))/($B$19-$B$20)),IF(AND('Entrada das massas'!N83&lt;=$B$19,'Entrada das massas'!N83&gt;$B$18),'Entrada das massas'!N83-((($C$19-$C$18)*($B$19-'Entrada das massas'!N83)+($B$18*$C$19)-($B$19*$C$19))/($B$18-$B$19)),IF(AND('Entrada das massas'!N83&lt;=$B$18,'Entrada das massas'!N83&gt;$B$17),'Entrada das massas'!N83-((($C$18-$C$17)*($B$18-'Entrada das massas'!N83)+($B$17*$C$18)-($B$18*$C$18))/($B$17-$B$18)),IF(AND('Entrada das massas'!N83&lt;=$B$17,'Entrada das massas'!N83&gt;$B$16),'Entrada das massas'!N83-((($C$17-$C$16)*($B$17-'Entrada das massas'!N83)+($B$16*$C$17)-($B$17*$C$17))/($B$16-$B$17)),IF(AND('Entrada das massas'!N83&lt;=$B$16,'Entrada das massas'!N83&gt;$B$15),'Entrada das massas'!N83-((($C$16-$C$15)*($B$16-'Entrada das massas'!N83)+($B$15*$C$16)-($B$16*$C$16))/($B$15-$B$16)),IF(AND('Entrada das massas'!N83&lt;=$B$15,'Entrada das massas'!N83&gt;$B$14),'Entrada das massas'!N83-((($C$15-$C$14)*($B$15-'Entrada das massas'!N83)+($B$14*$C$15)-($B$15*$C$15))/($B$14-$B$15)),IF(AND('Entrada das massas'!N83&lt;=$B$14,'Entrada das massas'!N83&gt;$B$13),'Entrada das massas'!N83-((($C$14-$C$13)*($B$14-'Entrada das massas'!N83)+($B$13*$C$14)-($B$14*$C$14))/($B$13-$B$14)),IF(AND('Entrada das massas'!N83&lt;=$B$13,'Entrada das massas'!N83&gt;$B$12),'Entrada das massas'!N83-((($C$13-$C$12)*($B$13-'Entrada das massas'!N83)+($B$12*$C$13)-($B$13*$C$13))/($B$12-$B$13)),IF(AND('Entrada das massas'!N83&lt;=$B$12,'Entrada das massas'!N83&gt;$B$11),'Entrada das massas'!N83-((($C$12-$C$11)*($B$12-'Entrada das massas'!N83)+($B$11*$C$12)-($B$12*$C$12))/($B$11-$B$12)),IF(AND('Entrada das massas'!N83&lt;=$B$11,'Entrada das massas'!N83&gt;$B$10),'Entrada das massas'!N83-((($C$11-$C$10)*($B$11-'Entrada das massas'!N83)+($B$10*$C$11)-($B$11*$C$11))/($B$10-$B$11)),IF(AND('Entrada das massas'!N83&lt;=$B$10,'Entrada das massas'!N83&gt;$B$9),'Entrada das massas'!N83-((($C$10-$C$9)*($B$10-'Entrada das massas'!N83)+($B$9*$C$10)-($B$10*$C$10))/($B$9-$B$10)),IF(AND('Entrada das massas'!N83&lt;=$B$9,'Entrada das massas'!N83&gt;$B$8),'Entrada das massas'!N83-((($C$9-$C$8)*($B$9-'Entrada das massas'!N83)+($B$8*$C$9)-($B$9*$C$9))/($B$8-$B$9)),IF(AND('Entrada das massas'!N83&lt;=$B$8,'Entrada das massas'!N83&gt;$B$7),'Entrada das massas'!N83-((($C$8-$C$7)*($B$8-'Entrada das massas'!N83)+($B$7*$C$8)-($B$8*$C$8))/($B$7-$B$8)),IF(AND('Entrada das massas'!N83&lt;=$B$7,'Entrada das massas'!N83&gt;$B$6),'Entrada das massas'!N83-((($C$7-$C$6)*($B$7-'Entrada das massas'!N83)+($B$6*$C$7)-($B$7*$C$7))/($B$6-$B$7)),IF(AND('Entrada das massas'!N83&lt;=$B$6,'Entrada das massas'!N83&gt;$B$5),'Entrada das massas'!N83-((($C$6-$C$5)*($B$6-'Entrada das massas'!N83)+($B$5*$C$6)-($B$6*$C$6))/($B$5-$B$6)),IF('Entrada das massas'!N83&lt;=$B$5,'Entrada das massas'!N83-$C$5)))))))))))))))))</f>
        <v/>
      </c>
      <c r="Q103" s="117" t="str">
        <f t="shared" ref="Q103:Q104" si="49">IF(P103="","",(IF(AND(P103&lt;=$B$20,P103&gt;$B$19),$D$19+($B$19-P103)/($B$19-$B$20)*($D$20-$D$19),IF(AND(P103&lt;=$B$19,P103&gt;$B$18),$D$18+($B$18-P103)/($B$18-$B$19)*($D$19-$D$18),IF(AND(P103&lt;=$B$18,P103&gt;$B$17),$D$17+($B$17-P103)/($B$17-$B$18)*($D$18-$D$17),IF(AND(P103&lt;=$B$17,P103&gt;$B$16),$D$16+($B$16-P103)/($B$16-$B$17)*($D$17-$D$16),IF(AND(P103&lt;=$B$16,P103&gt;$B$15),$D$15+($B$15-P103)/($B$15-$B$16)*($D$16-$D$15),IF(AND(P103&lt;=$B$15,P103&gt;$B$14),$D$14+($B$14-P103)/($B$14-$B$15)*($D$15-$D$14),IF(AND(P103&lt;=$B$14,P103&gt;$B$13),$D$13+($B$13-P103)/($B$13-$B$14)*($D$14-$D$13),IF(AND(P103&lt;=$B$13,P103&gt;$B$12),$D$12+($B$12-P103)/($B$12-$B$13)*($D$13-$D$12),IF(AND(P103&lt;=$B$12,P103&gt;$B$11),$D$11+($B$11-P103)/($B$11-$B$12)*($D$12-$D$11),IF(AND(P103&lt;=$B$11,P103&gt;$B$10),$D$10+($B$10-P103)/($B$10-$B$11)*($D$11-$D$10),IF(AND(P103&lt;=$B$10,P103&gt;$B$9),$D$9+($B$9-P103)/($B$9-$B$10)*($D$10-$D$9),IF(AND(P103&lt;=$B$9,P103&gt;$B$8),$D$8+($B$8-P103)/($B$8-$B$9)*($D$9-$D$8),IF(AND(P103&lt;=$B$8,P103&gt;$B$7),$D$7+($B$7-P103)/($B$7-$B$8)*($D$8-$D$7),IF(AND(P103&lt;=$B$7,P103&gt;$B$6),$D$6+($B$6-P103)/($B$6-$B$7)*($D$7-$D$6),IF(P103&lt;=$B$6,$D$6)))))))))))))))))</f>
        <v/>
      </c>
      <c r="R103" s="120" t="str">
        <f>IF(P102="","",P103-P102)</f>
        <v/>
      </c>
      <c r="S103" s="117" t="str">
        <f>IF(Q102="","",SQRT(SUMSQ(Q102:Q103)))</f>
        <v/>
      </c>
      <c r="T103" s="93" t="str">
        <f>IF(P101="","","Amostra")</f>
        <v/>
      </c>
      <c r="U103" s="118"/>
      <c r="V103" s="115" t="str">
        <f>IF(W101="","","Frasco + Amostra")</f>
        <v/>
      </c>
      <c r="W103" s="95" t="str">
        <f>IF('Entrada das massas'!S83="","",IF(AND('Entrada das massas'!S83&lt;=$B$20,'Entrada das massas'!S83&gt;$B$19),'Entrada das massas'!S83-((($C$20-$C$19)*($B$20-'Entrada das massas'!S83)+($B$19*$C$20)-($B$20*$C$20))/($B$19-$B$20)),IF(AND('Entrada das massas'!S83&lt;=$B$19,'Entrada das massas'!S83&gt;$B$18),'Entrada das massas'!S83-((($C$19-$C$18)*($B$19-'Entrada das massas'!S83)+($B$18*$C$19)-($B$19*$C$19))/($B$18-$B$19)),IF(AND('Entrada das massas'!S83&lt;=$B$18,'Entrada das massas'!S83&gt;$B$17),'Entrada das massas'!S83-((($C$18-$C$17)*($B$18-'Entrada das massas'!S83)+($B$17*$C$18)-($B$18*$C$18))/($B$17-$B$18)),IF(AND('Entrada das massas'!S83&lt;=$B$17,'Entrada das massas'!S83&gt;$B$16),'Entrada das massas'!S83-((($C$17-$C$16)*($B$17-'Entrada das massas'!S83)+($B$16*$C$17)-($B$17*$C$17))/($B$16-$B$17)),IF(AND('Entrada das massas'!S83&lt;=$B$16,'Entrada das massas'!S83&gt;$B$15),'Entrada das massas'!S83-((($C$16-$C$15)*($B$16-'Entrada das massas'!S83)+($B$15*$C$16)-($B$16*$C$16))/($B$15-$B$16)),IF(AND('Entrada das massas'!S83&lt;=$B$15,'Entrada das massas'!S83&gt;$B$14),'Entrada das massas'!S83-((($C$15-$C$14)*($B$15-'Entrada das massas'!S83)+($B$14*$C$15)-($B$15*$C$15))/($B$14-$B$15)),IF(AND('Entrada das massas'!S83&lt;=$B$14,'Entrada das massas'!S83&gt;$B$13),'Entrada das massas'!S83-((($C$14-$C$13)*($B$14-'Entrada das massas'!S83)+($B$13*$C$14)-($B$14*$C$14))/($B$13-$B$14)),IF(AND('Entrada das massas'!S83&lt;=$B$13,'Entrada das massas'!S83&gt;$B$12),'Entrada das massas'!S83-((($C$13-$C$12)*($B$13-'Entrada das massas'!S83)+($B$12*$C$13)-($B$13*$C$13))/($B$12-$B$13)),IF(AND('Entrada das massas'!S83&lt;=$B$12,'Entrada das massas'!S83&gt;$B$11),'Entrada das massas'!S83-((($C$12-$C$11)*($B$12-'Entrada das massas'!S83)+($B$11*$C$12)-($B$12*$C$12))/($B$11-$B$12)),IF(AND('Entrada das massas'!S83&lt;=$B$11,'Entrada das massas'!S83&gt;$B$10),'Entrada das massas'!S83-((($C$11-$C$10)*($B$11-'Entrada das massas'!S83)+($B$10*$C$11)-($B$11*$C$11))/($B$10-$B$11)),IF(AND('Entrada das massas'!S83&lt;=$B$10,'Entrada das massas'!S83&gt;$B$9),'Entrada das massas'!S83-((($C$10-$C$9)*($B$10-'Entrada das massas'!S83)+($B$9*$C$10)-($B$10*$C$10))/($B$9-$B$10)),IF(AND('Entrada das massas'!S83&lt;=$B$9,'Entrada das massas'!S83&gt;$B$8),'Entrada das massas'!S83-((($C$9-$C$8)*($B$9-'Entrada das massas'!S83)+($B$8*$C$9)-($B$9*$C$9))/($B$8-$B$9)),IF(AND('Entrada das massas'!S83&lt;=$B$8,'Entrada das massas'!S83&gt;$B$7),'Entrada das massas'!S83-((($C$8-$C$7)*($B$8-'Entrada das massas'!S83)+($B$7*$C$8)-($B$8*$C$8))/($B$7-$B$8)),IF(AND('Entrada das massas'!S83&lt;=$B$7,'Entrada das massas'!S83&gt;$B$6),'Entrada das massas'!S83-((($C$7-$C$6)*($B$7-'Entrada das massas'!S83)+($B$6*$C$7)-($B$7*$C$7))/($B$6-$B$7)),IF(AND('Entrada das massas'!S83&lt;=$B$6,'Entrada das massas'!S83&gt;$B$5),'Entrada das massas'!S83-((($C$6-$C$5)*($B$6-'Entrada das massas'!S83)+($B$5*$C$6)-($B$6*$C$6))/($B$5-$B$6)),IF('Entrada das massas'!S83&lt;=$B$5,'Entrada das massas'!S83-$C$5)))))))))))))))))</f>
        <v/>
      </c>
      <c r="X103" s="117" t="str">
        <f t="shared" ref="X103:X104" si="50">IF(W103="","",(IF(AND(W103&lt;=$B$20,W103&gt;$B$19),$D$19+($B$19-W103)/($B$19-$B$20)*($D$20-$D$19),IF(AND(W103&lt;=$B$19,W103&gt;$B$18),$D$18+($B$18-W103)/($B$18-$B$19)*($D$19-$D$18),IF(AND(W103&lt;=$B$18,W103&gt;$B$17),$D$17+($B$17-W103)/($B$17-$B$18)*($D$18-$D$17),IF(AND(W103&lt;=$B$17,W103&gt;$B$16),$D$16+($B$16-W103)/($B$16-$B$17)*($D$17-$D$16),IF(AND(W103&lt;=$B$16,W103&gt;$B$15),$D$15+($B$15-W103)/($B$15-$B$16)*($D$16-$D$15),IF(AND(W103&lt;=$B$15,W103&gt;$B$14),$D$14+($B$14-W103)/($B$14-$B$15)*($D$15-$D$14),IF(AND(W103&lt;=$B$14,W103&gt;$B$13),$D$13+($B$13-W103)/($B$13-$B$14)*($D$14-$D$13),IF(AND(W103&lt;=$B$13,W103&gt;$B$12),$D$12+($B$12-W103)/($B$12-$B$13)*($D$13-$D$12),IF(AND(W103&lt;=$B$12,W103&gt;$B$11),$D$11+($B$11-W103)/($B$11-$B$12)*($D$12-$D$11),IF(AND(W103&lt;=$B$11,W103&gt;$B$10),$D$10+($B$10-W103)/($B$10-$B$11)*($D$11-$D$10),IF(AND(W103&lt;=$B$10,W103&gt;$B$9),$D$9+($B$9-W103)/($B$9-$B$10)*($D$10-$D$9),IF(AND(W103&lt;=$B$9,W103&gt;$B$8),$D$8+($B$8-W103)/($B$8-$B$9)*($D$9-$D$8),IF(AND(W103&lt;=$B$8,W103&gt;$B$7),$D$7+($B$7-W103)/($B$7-$B$8)*($D$8-$D$7),IF(AND(W103&lt;=$B$7,W103&gt;$B$6),$D$6+($B$6-W103)/($B$6-$B$7)*($D$7-$D$6),IF(W103&lt;=$B$6,$D$6)))))))))))))))))</f>
        <v/>
      </c>
      <c r="Y103" s="120" t="str">
        <f>IF(W102="","",W103-W102)</f>
        <v/>
      </c>
      <c r="Z103" s="117" t="str">
        <f>IF(X102="","",SQRT(SUMSQ(X102:X103)))</f>
        <v/>
      </c>
      <c r="AA103" s="93" t="str">
        <f>IF(W101="","","Amostra")</f>
        <v/>
      </c>
      <c r="AB103" s="104"/>
      <c r="AC103" s="104"/>
      <c r="AE103" s="88"/>
      <c r="AF103" s="160"/>
    </row>
    <row r="104" spans="8:32" x14ac:dyDescent="0.2">
      <c r="H104" s="123" t="str">
        <f>IF(I101="","","Massa final")</f>
        <v/>
      </c>
      <c r="I104" s="116" t="str">
        <f>IF('Entrada das massas'!I84="","",IF(AND('Entrada das massas'!I84&lt;=$B$20,'Entrada das massas'!I84&gt;$B$19),'Entrada das massas'!I84-((($C$20-$C$19)*($B$20-'Entrada das massas'!I84)+($B$19*$C$20)-($B$20*$C$20))/($B$19-$B$20)),IF(AND('Entrada das massas'!I84&lt;=$B$19,'Entrada das massas'!I84&gt;$B$18),'Entrada das massas'!I84-((($C$19-$C$18)*($B$19-'Entrada das massas'!I84)+($B$18*$C$19)-($B$19*$C$19))/($B$18-$B$19)),IF(AND('Entrada das massas'!I84&lt;=$B$18,'Entrada das massas'!I84&gt;$B$17),'Entrada das massas'!I84-((($C$18-$C$17)*($B$18-'Entrada das massas'!I84)+($B$17*$C$18)-($B$18*$C$18))/($B$17-$B$18)),IF(AND('Entrada das massas'!I84&lt;=$B$17,'Entrada das massas'!I84&gt;$B$16),'Entrada das massas'!I84-((($C$17-$C$16)*($B$17-'Entrada das massas'!I84)+($B$16*$C$17)-($B$17*$C$17))/($B$16-$B$17)),IF(AND('Entrada das massas'!I84&lt;=$B$16,'Entrada das massas'!I84&gt;$B$15),'Entrada das massas'!I84-((($C$16-$C$15)*($B$16-'Entrada das massas'!I84)+($B$15*$C$16)-($B$16*$C$16))/($B$15-$B$16)),IF(AND('Entrada das massas'!I84&lt;=$B$15,'Entrada das massas'!I84&gt;$B$14),'Entrada das massas'!I84-((($C$15-$C$14)*($B$15-'Entrada das massas'!I84)+($B$14*$C$15)-($B$15*$C$15))/($B$14-$B$15)),IF(AND('Entrada das massas'!I84&lt;=$B$14,'Entrada das massas'!I84&gt;$B$13),'Entrada das massas'!I84-((($C$14-$C$13)*($B$14-'Entrada das massas'!I84)+($B$13*$C$14)-($B$14*$C$14))/($B$13-$B$14)),IF(AND('Entrada das massas'!I84&lt;=$B$13,'Entrada das massas'!I84&gt;$B$12),'Entrada das massas'!I84-((($C$13-$C$12)*($B$13-'Entrada das massas'!I84)+($B$12*$C$13)-($B$13*$C$13))/($B$12-$B$13)),IF(AND('Entrada das massas'!I84&lt;=$B$12,'Entrada das massas'!I84&gt;$B$11),'Entrada das massas'!I84-((($C$12-$C$11)*($B$12-'Entrada das massas'!I84)+($B$11*$C$12)-($B$12*$C$12))/($B$11-$B$12)),IF(AND('Entrada das massas'!I84&lt;=$B$11,'Entrada das massas'!I84&gt;$B$10),'Entrada das massas'!I84-((($C$11-$C$10)*($B$11-'Entrada das massas'!I84)+($B$10*$C$11)-($B$11*$C$11))/($B$10-$B$11)),IF(AND('Entrada das massas'!I84&lt;=$B$10,'Entrada das massas'!I84&gt;$B$9),'Entrada das massas'!I84-((($C$10-$C$9)*($B$10-'Entrada das massas'!I84)+($B$9*$C$10)-($B$10*$C$10))/($B$9-$B$10)),IF(AND('Entrada das massas'!I84&lt;=$B$9,'Entrada das massas'!I84&gt;$B$8),'Entrada das massas'!I84-((($C$9-$C$8)*($B$9-'Entrada das massas'!I84)+($B$8*$C$9)-($B$9*$C$9))/($B$8-$B$9)),IF(AND('Entrada das massas'!I84&lt;=$B$8,'Entrada das massas'!I84&gt;$B$7),'Entrada das massas'!I84-((($C$8-$C$7)*($B$8-'Entrada das massas'!I84)+($B$7*$C$8)-($B$8*$C$8))/($B$7-$B$8)),IF(AND('Entrada das massas'!I84&lt;=$B$7,'Entrada das massas'!I84&gt;$B$6),'Entrada das massas'!I84-((($C$7-$C$6)*($B$7-'Entrada das massas'!I84)+($B$6*$C$7)-($B$7*$C$7))/($B$6-$B$7)),IF(AND('Entrada das massas'!I84&lt;=$B$6,'Entrada das massas'!I84&gt;$B$5),'Entrada das massas'!I84-((($C$6-$C$5)*($B$6-'Entrada das massas'!I84)+($B$5*$C$6)-($B$6*$C$6))/($B$5-$B$6)),IF('Entrada das massas'!I84&lt;=$B$5,'Entrada das massas'!I84-$C$5)))))))))))))))))</f>
        <v/>
      </c>
      <c r="J104" s="117" t="str">
        <f t="shared" si="48"/>
        <v/>
      </c>
      <c r="K104" s="120" t="str">
        <f>IF(I102="","",I104-I102)</f>
        <v/>
      </c>
      <c r="L104" s="117" t="str">
        <f>IF(J102="","",SQRT(SUMSQ(J102,J104)))</f>
        <v/>
      </c>
      <c r="M104" s="93" t="str">
        <f>IF(I101="","","Solução")</f>
        <v/>
      </c>
      <c r="N104" s="93"/>
      <c r="O104" s="123" t="str">
        <f>IF(P101="","","Massa final")</f>
        <v/>
      </c>
      <c r="P104" s="95" t="str">
        <f>IF('Entrada das massas'!N84="","",IF(AND('Entrada das massas'!N84&lt;=$B$20,'Entrada das massas'!N84&gt;$B$19),'Entrada das massas'!N84-((($C$20-$C$19)*($B$20-'Entrada das massas'!N84)+($B$19*$C$20)-($B$20*$C$20))/($B$19-$B$20)),IF(AND('Entrada das massas'!N84&lt;=$B$19,'Entrada das massas'!N84&gt;$B$18),'Entrada das massas'!N84-((($C$19-$C$18)*($B$19-'Entrada das massas'!N84)+($B$18*$C$19)-($B$19*$C$19))/($B$18-$B$19)),IF(AND('Entrada das massas'!N84&lt;=$B$18,'Entrada das massas'!N84&gt;$B$17),'Entrada das massas'!N84-((($C$18-$C$17)*($B$18-'Entrada das massas'!N84)+($B$17*$C$18)-($B$18*$C$18))/($B$17-$B$18)),IF(AND('Entrada das massas'!N84&lt;=$B$17,'Entrada das massas'!N84&gt;$B$16),'Entrada das massas'!N84-((($C$17-$C$16)*($B$17-'Entrada das massas'!N84)+($B$16*$C$17)-($B$17*$C$17))/($B$16-$B$17)),IF(AND('Entrada das massas'!N84&lt;=$B$16,'Entrada das massas'!N84&gt;$B$15),'Entrada das massas'!N84-((($C$16-$C$15)*($B$16-'Entrada das massas'!N84)+($B$15*$C$16)-($B$16*$C$16))/($B$15-$B$16)),IF(AND('Entrada das massas'!N84&lt;=$B$15,'Entrada das massas'!N84&gt;$B$14),'Entrada das massas'!N84-((($C$15-$C$14)*($B$15-'Entrada das massas'!N84)+($B$14*$C$15)-($B$15*$C$15))/($B$14-$B$15)),IF(AND('Entrada das massas'!N84&lt;=$B$14,'Entrada das massas'!N84&gt;$B$13),'Entrada das massas'!N84-((($C$14-$C$13)*($B$14-'Entrada das massas'!N84)+($B$13*$C$14)-($B$14*$C$14))/($B$13-$B$14)),IF(AND('Entrada das massas'!N84&lt;=$B$13,'Entrada das massas'!N84&gt;$B$12),'Entrada das massas'!N84-((($C$13-$C$12)*($B$13-'Entrada das massas'!N84)+($B$12*$C$13)-($B$13*$C$13))/($B$12-$B$13)),IF(AND('Entrada das massas'!N84&lt;=$B$12,'Entrada das massas'!N84&gt;$B$11),'Entrada das massas'!N84-((($C$12-$C$11)*($B$12-'Entrada das massas'!N84)+($B$11*$C$12)-($B$12*$C$12))/($B$11-$B$12)),IF(AND('Entrada das massas'!N84&lt;=$B$11,'Entrada das massas'!N84&gt;$B$10),'Entrada das massas'!N84-((($C$11-$C$10)*($B$11-'Entrada das massas'!N84)+($B$10*$C$11)-($B$11*$C$11))/($B$10-$B$11)),IF(AND('Entrada das massas'!N84&lt;=$B$10,'Entrada das massas'!N84&gt;$B$9),'Entrada das massas'!N84-((($C$10-$C$9)*($B$10-'Entrada das massas'!N84)+($B$9*$C$10)-($B$10*$C$10))/($B$9-$B$10)),IF(AND('Entrada das massas'!N84&lt;=$B$9,'Entrada das massas'!N84&gt;$B$8),'Entrada das massas'!N84-((($C$9-$C$8)*($B$9-'Entrada das massas'!N84)+($B$8*$C$9)-($B$9*$C$9))/($B$8-$B$9)),IF(AND('Entrada das massas'!N84&lt;=$B$8,'Entrada das massas'!N84&gt;$B$7),'Entrada das massas'!N84-((($C$8-$C$7)*($B$8-'Entrada das massas'!N84)+($B$7*$C$8)-($B$8*$C$8))/($B$7-$B$8)),IF(AND('Entrada das massas'!N84&lt;=$B$7,'Entrada das massas'!N84&gt;$B$6),'Entrada das massas'!N84-((($C$7-$C$6)*($B$7-'Entrada das massas'!N84)+($B$6*$C$7)-($B$7*$C$7))/($B$6-$B$7)),IF(AND('Entrada das massas'!N84&lt;=$B$6,'Entrada das massas'!N84&gt;$B$5),'Entrada das massas'!N84-((($C$6-$C$5)*($B$6-'Entrada das massas'!N84)+($B$5*$C$6)-($B$6*$C$6))/($B$5-$B$6)),IF('Entrada das massas'!N84&lt;=$B$5,'Entrada das massas'!N84-$C$5)))))))))))))))))</f>
        <v/>
      </c>
      <c r="Q104" s="117" t="str">
        <f t="shared" si="49"/>
        <v/>
      </c>
      <c r="R104" s="120" t="str">
        <f>IF(P102="","",P104-P102)</f>
        <v/>
      </c>
      <c r="S104" s="117" t="str">
        <f>IF(Q102="","",SQRT(SUMSQ(Q102,Q104)))</f>
        <v/>
      </c>
      <c r="T104" s="93" t="str">
        <f>IF(P101="","","Solução")</f>
        <v/>
      </c>
      <c r="U104" s="93"/>
      <c r="V104" s="123" t="str">
        <f>IF(W101="","","Massa final")</f>
        <v/>
      </c>
      <c r="W104" s="95" t="str">
        <f>IF('Entrada das massas'!S84="","",IF(AND('Entrada das massas'!S84&lt;=$B$20,'Entrada das massas'!S84&gt;$B$19),'Entrada das massas'!S84-((($C$20-$C$19)*($B$20-'Entrada das massas'!S84)+($B$19*$C$20)-($B$20*$C$20))/($B$19-$B$20)),IF(AND('Entrada das massas'!S84&lt;=$B$19,'Entrada das massas'!S84&gt;$B$18),'Entrada das massas'!S84-((($C$19-$C$18)*($B$19-'Entrada das massas'!S84)+($B$18*$C$19)-($B$19*$C$19))/($B$18-$B$19)),IF(AND('Entrada das massas'!S84&lt;=$B$18,'Entrada das massas'!S84&gt;$B$17),'Entrada das massas'!S84-((($C$18-$C$17)*($B$18-'Entrada das massas'!S84)+($B$17*$C$18)-($B$18*$C$18))/($B$17-$B$18)),IF(AND('Entrada das massas'!S84&lt;=$B$17,'Entrada das massas'!S84&gt;$B$16),'Entrada das massas'!S84-((($C$17-$C$16)*($B$17-'Entrada das massas'!S84)+($B$16*$C$17)-($B$17*$C$17))/($B$16-$B$17)),IF(AND('Entrada das massas'!S84&lt;=$B$16,'Entrada das massas'!S84&gt;$B$15),'Entrada das massas'!S84-((($C$16-$C$15)*($B$16-'Entrada das massas'!S84)+($B$15*$C$16)-($B$16*$C$16))/($B$15-$B$16)),IF(AND('Entrada das massas'!S84&lt;=$B$15,'Entrada das massas'!S84&gt;$B$14),'Entrada das massas'!S84-((($C$15-$C$14)*($B$15-'Entrada das massas'!S84)+($B$14*$C$15)-($B$15*$C$15))/($B$14-$B$15)),IF(AND('Entrada das massas'!S84&lt;=$B$14,'Entrada das massas'!S84&gt;$B$13),'Entrada das massas'!S84-((($C$14-$C$13)*($B$14-'Entrada das massas'!S84)+($B$13*$C$14)-($B$14*$C$14))/($B$13-$B$14)),IF(AND('Entrada das massas'!S84&lt;=$B$13,'Entrada das massas'!S84&gt;$B$12),'Entrada das massas'!S84-((($C$13-$C$12)*($B$13-'Entrada das massas'!S84)+($B$12*$C$13)-($B$13*$C$13))/($B$12-$B$13)),IF(AND('Entrada das massas'!S84&lt;=$B$12,'Entrada das massas'!S84&gt;$B$11),'Entrada das massas'!S84-((($C$12-$C$11)*($B$12-'Entrada das massas'!S84)+($B$11*$C$12)-($B$12*$C$12))/($B$11-$B$12)),IF(AND('Entrada das massas'!S84&lt;=$B$11,'Entrada das massas'!S84&gt;$B$10),'Entrada das massas'!S84-((($C$11-$C$10)*($B$11-'Entrada das massas'!S84)+($B$10*$C$11)-($B$11*$C$11))/($B$10-$B$11)),IF(AND('Entrada das massas'!S84&lt;=$B$10,'Entrada das massas'!S84&gt;$B$9),'Entrada das massas'!S84-((($C$10-$C$9)*($B$10-'Entrada das massas'!S84)+($B$9*$C$10)-($B$10*$C$10))/($B$9-$B$10)),IF(AND('Entrada das massas'!S84&lt;=$B$9,'Entrada das massas'!S84&gt;$B$8),'Entrada das massas'!S84-((($C$9-$C$8)*($B$9-'Entrada das massas'!S84)+($B$8*$C$9)-($B$9*$C$9))/($B$8-$B$9)),IF(AND('Entrada das massas'!S84&lt;=$B$8,'Entrada das massas'!S84&gt;$B$7),'Entrada das massas'!S84-((($C$8-$C$7)*($B$8-'Entrada das massas'!S84)+($B$7*$C$8)-($B$8*$C$8))/($B$7-$B$8)),IF(AND('Entrada das massas'!S84&lt;=$B$7,'Entrada das massas'!S84&gt;$B$6),'Entrada das massas'!S84-((($C$7-$C$6)*($B$7-'Entrada das massas'!S84)+($B$6*$C$7)-($B$7*$C$7))/($B$6-$B$7)),IF(AND('Entrada das massas'!S84&lt;=$B$6,'Entrada das massas'!S84&gt;$B$5),'Entrada das massas'!S84-((($C$6-$C$5)*($B$6-'Entrada das massas'!S84)+($B$5*$C$6)-($B$6*$C$6))/($B$5-$B$6)),IF('Entrada das massas'!S84&lt;=$B$5,'Entrada das massas'!S84-$C$5)))))))))))))))))</f>
        <v/>
      </c>
      <c r="X104" s="117" t="str">
        <f t="shared" si="50"/>
        <v/>
      </c>
      <c r="Y104" s="120" t="str">
        <f>IF(W102="","",W104-W102)</f>
        <v/>
      </c>
      <c r="Z104" s="117" t="str">
        <f>IF(X102="","",SQRT(SUMSQ(X102,X104)))</f>
        <v/>
      </c>
      <c r="AA104" s="93" t="str">
        <f>IF(W101="","","Solução")</f>
        <v/>
      </c>
      <c r="AB104" s="104"/>
      <c r="AC104" s="104"/>
      <c r="AE104" s="88"/>
      <c r="AF104" s="160"/>
    </row>
    <row r="105" spans="8:32" x14ac:dyDescent="0.2">
      <c r="H105" s="98"/>
      <c r="I105" s="93"/>
      <c r="J105" s="139"/>
      <c r="K105" s="139"/>
      <c r="L105" s="139"/>
      <c r="M105" s="98"/>
      <c r="N105" s="98"/>
      <c r="O105" s="98"/>
      <c r="P105" s="93"/>
      <c r="Q105" s="120"/>
      <c r="R105" s="120"/>
      <c r="S105" s="120"/>
      <c r="T105" s="98"/>
      <c r="U105" s="98"/>
      <c r="V105" s="98"/>
      <c r="W105" s="93"/>
      <c r="X105" s="120"/>
      <c r="Y105" s="120"/>
      <c r="Z105" s="120"/>
      <c r="AA105" s="98"/>
      <c r="AB105" s="104"/>
      <c r="AC105" s="104"/>
      <c r="AE105" s="88"/>
      <c r="AF105" s="160"/>
    </row>
    <row r="106" spans="8:32" x14ac:dyDescent="0.2">
      <c r="H106" s="126" t="str">
        <f>IF(I101="","","Amostra")</f>
        <v/>
      </c>
      <c r="I106" s="127" t="str">
        <f>IF('Entrada das massas'!I86="","",'Entrada das massas'!I86)</f>
        <v/>
      </c>
      <c r="J106" s="120" t="str">
        <f>IF(I106="","","uc(g)")</f>
        <v/>
      </c>
      <c r="K106" s="120" t="str">
        <f>IF(J106="","","Massa (g)")</f>
        <v/>
      </c>
      <c r="L106" s="120" t="str">
        <f>IF(K106="","","ucomb (g)")</f>
        <v/>
      </c>
      <c r="M106" s="98" t="str">
        <f>IF(I106="","","Fdiluição")</f>
        <v/>
      </c>
      <c r="N106" s="98"/>
      <c r="O106" s="126" t="str">
        <f>IF(M107="","","Amostra")</f>
        <v/>
      </c>
      <c r="P106" s="127" t="str">
        <f>IF('Entrada das massas'!N86="","",'Entrada das massas'!N86)</f>
        <v/>
      </c>
      <c r="Q106" s="120" t="str">
        <f>IF(P106="","","uc(g)")</f>
        <v/>
      </c>
      <c r="R106" s="120" t="str">
        <f>IF(Q106="","","Massa (g)")</f>
        <v/>
      </c>
      <c r="S106" s="120" t="str">
        <f>IF(R106="","","ucomb (g)")</f>
        <v/>
      </c>
      <c r="T106" s="98" t="str">
        <f>IF(P106="","","Fdiluição")</f>
        <v/>
      </c>
      <c r="U106" s="98"/>
      <c r="V106" s="126" t="str">
        <f>IF(T107="","","Amostra")</f>
        <v/>
      </c>
      <c r="W106" s="127" t="str">
        <f>IF('Entrada das massas'!S86="","",'Entrada das massas'!S86)</f>
        <v/>
      </c>
      <c r="X106" s="120" t="str">
        <f>IF(W106="","","uc(g)")</f>
        <v/>
      </c>
      <c r="Y106" s="120" t="str">
        <f>IF(X106="","","Massa (g)")</f>
        <v/>
      </c>
      <c r="Z106" s="120" t="str">
        <f>IF(Y106="","","ucomb (g)")</f>
        <v/>
      </c>
      <c r="AA106" s="98" t="str">
        <f>IF(W106="","","Fdiluição")</f>
        <v/>
      </c>
      <c r="AB106" s="104"/>
      <c r="AC106" s="104"/>
      <c r="AE106" s="88"/>
      <c r="AF106" s="160"/>
    </row>
    <row r="107" spans="8:32" x14ac:dyDescent="0.2">
      <c r="H107" s="115" t="str">
        <f>IF(I106="","","Frasco")</f>
        <v/>
      </c>
      <c r="I107" s="116" t="str">
        <f>IF('Entrada das massas'!I87="","",IF(AND('Entrada das massas'!I87&lt;=$B$20,'Entrada das massas'!I87&gt;$B$19),'Entrada das massas'!I87-((($C$20-$C$19)*($B$20-'Entrada das massas'!I87)+($B$19*$C$20)-($B$20*$C$20))/($B$19-$B$20)),IF(AND('Entrada das massas'!I87&lt;=$B$19,'Entrada das massas'!I87&gt;$B$18),'Entrada das massas'!I87-((($C$19-$C$18)*($B$19-'Entrada das massas'!I87)+($B$18*$C$19)-($B$19*$C$19))/($B$18-$B$19)),IF(AND('Entrada das massas'!I87&lt;=$B$18,'Entrada das massas'!I87&gt;$B$17),'Entrada das massas'!I87-((($C$18-$C$17)*($B$18-'Entrada das massas'!I87)+($B$17*$C$18)-($B$18*$C$18))/($B$17-$B$18)),IF(AND('Entrada das massas'!I87&lt;=$B$17,'Entrada das massas'!I87&gt;$B$16),'Entrada das massas'!I87-((($C$17-$C$16)*($B$17-'Entrada das massas'!I87)+($B$16*$C$17)-($B$17*$C$17))/($B$16-$B$17)),IF(AND('Entrada das massas'!I87&lt;=$B$16,'Entrada das massas'!I87&gt;$B$15),'Entrada das massas'!I87-((($C$16-$C$15)*($B$16-'Entrada das massas'!I87)+($B$15*$C$16)-($B$16*$C$16))/($B$15-$B$16)),IF(AND('Entrada das massas'!I87&lt;=$B$15,'Entrada das massas'!I87&gt;$B$14),'Entrada das massas'!I87-((($C$15-$C$14)*($B$15-'Entrada das massas'!I87)+($B$14*$C$15)-($B$15*$C$15))/($B$14-$B$15)),IF(AND('Entrada das massas'!I87&lt;=$B$14,'Entrada das massas'!I87&gt;$B$13),'Entrada das massas'!I87-((($C$14-$C$13)*($B$14-'Entrada das massas'!I87)+($B$13*$C$14)-($B$14*$C$14))/($B$13-$B$14)),IF(AND('Entrada das massas'!I87&lt;=$B$13,'Entrada das massas'!I87&gt;$B$12),'Entrada das massas'!I87-((($C$13-$C$12)*($B$13-'Entrada das massas'!I87)+($B$12*$C$13)-($B$13*$C$13))/($B$12-$B$13)),IF(AND('Entrada das massas'!I87&lt;=$B$12,'Entrada das massas'!I87&gt;$B$11),'Entrada das massas'!I87-((($C$12-$C$11)*($B$12-'Entrada das massas'!I87)+($B$11*$C$12)-($B$12*$C$12))/($B$11-$B$12)),IF(AND('Entrada das massas'!I87&lt;=$B$11,'Entrada das massas'!I87&gt;$B$10),'Entrada das massas'!I87-((($C$11-$C$10)*($B$11-'Entrada das massas'!I87)+($B$10*$C$11)-($B$11*$C$11))/($B$10-$B$11)),IF(AND('Entrada das massas'!I87&lt;=$B$10,'Entrada das massas'!I87&gt;$B$9),'Entrada das massas'!I87-((($C$10-$C$9)*($B$10-'Entrada das massas'!I87)+($B$9*$C$10)-($B$10*$C$10))/($B$9-$B$10)),IF(AND('Entrada das massas'!I87&lt;=$B$9,'Entrada das massas'!I87&gt;$B$8),'Entrada das massas'!I87-((($C$9-$C$8)*($B$9-'Entrada das massas'!I87)+($B$8*$C$9)-($B$9*$C$9))/($B$8-$B$9)),IF(AND('Entrada das massas'!I87&lt;=$B$8,'Entrada das massas'!I87&gt;$B$7),'Entrada das massas'!I87-((($C$8-$C$7)*($B$8-'Entrada das massas'!I87)+($B$7*$C$8)-($B$8*$C$8))/($B$7-$B$8)),IF(AND('Entrada das massas'!I87&lt;=$B$7,'Entrada das massas'!I87&gt;$B$6),'Entrada das massas'!I87-((($C$7-$C$6)*($B$7-'Entrada das massas'!I87)+($B$6*$C$7)-($B$7*$C$7))/($B$6-$B$7)),IF(AND('Entrada das massas'!I87&lt;=$B$6,'Entrada das massas'!I87&gt;$B$5),'Entrada das massas'!I87-((($C$6-$C$5)*($B$6-'Entrada das massas'!I87)+($B$5*$C$6)-($B$6*$C$6))/($B$5-$B$6)),IF('Entrada das massas'!I87&lt;=$B$5,'Entrada das massas'!I87-$C$5)))))))))))))))))</f>
        <v/>
      </c>
      <c r="J107" s="117" t="str">
        <f>IF(I107="","",(IF(AND(I107&lt;=$B$20,I107&gt;$B$19),$D$19+($B$19-I107)/($B$19-$B$20)*($D$20-$D$19),IF(AND(I107&lt;=$B$19,I107&gt;$B$18),$D$18+($B$18-I107)/($B$18-$B$19)*($D$19-$D$18),IF(AND(I107&lt;=$B$18,I107&gt;$B$17),$D$17+($B$17-I107)/($B$17-$B$18)*($D$18-$D$17),IF(AND(I107&lt;=$B$17,I107&gt;$B$16),$D$16+($B$16-I107)/($B$16-$B$17)*($D$17-$D$16),IF(AND(I107&lt;=$B$16,I107&gt;$B$15),$D$15+($B$15-I107)/($B$15-$B$16)*($D$16-$D$15),IF(AND(I107&lt;=$B$15,I107&gt;$B$14),$D$14+($B$14-I107)/($B$14-$B$15)*($D$15-$D$14),IF(AND(I107&lt;=$B$14,I107&gt;$B$13),$D$13+($B$13-I107)/($B$13-$B$14)*($D$14-$D$13),IF(AND(I107&lt;=$B$13,I107&gt;$B$12),$D$12+($B$12-I107)/($B$12-$B$13)*($D$13-$D$12),IF(AND(I107&lt;=$B$12,I107&gt;$B$11),$D$11+($B$11-I107)/($B$11-$B$12)*($D$12-$D$11),IF(AND(I107&lt;=$B$11,I107&gt;$B$10),$D$10+($B$10-I107)/($B$10-$B$11)*($D$11-$D$10),IF(AND(I107&lt;=$B$10,I107&gt;$B$9),$D$9+($B$9-I107)/($B$9-$B$10)*($D$10-$D$9),IF(AND(I107&lt;=$B$9,I107&gt;$B$8),$D$8+($B$8-I107)/($B$8-$B$9)*($D$9-$D$8),IF(AND(I107&lt;=$B$8,I107&gt;$B$7),$D$7+($B$7-I107)/($B$7-$B$8)*($D$8-$D$7),IF(AND(I107&lt;=$B$7,I107&gt;$B$6),$D$6+($B$6-I107)/($B$6-$B$7)*($D$7-$D$6),IF(I107&lt;=$B$6,$D$6)))))))))))))))))</f>
        <v/>
      </c>
      <c r="K107" s="117"/>
      <c r="L107" s="117"/>
      <c r="M107" s="118" t="str">
        <f>IFERROR(K109/K108,"")</f>
        <v/>
      </c>
      <c r="N107" s="93"/>
      <c r="O107" s="115" t="str">
        <f>IF(P106="","","Frasco")</f>
        <v/>
      </c>
      <c r="P107" s="95" t="str">
        <f>IF('Entrada das massas'!N87="","",IF(AND('Entrada das massas'!N87&lt;=$B$20,'Entrada das massas'!N87&gt;$B$19),'Entrada das massas'!N87-((($C$20-$C$19)*($B$20-'Entrada das massas'!N87)+($B$19*$C$20)-($B$20*$C$20))/($B$19-$B$20)),IF(AND('Entrada das massas'!N87&lt;=$B$19,'Entrada das massas'!N87&gt;$B$18),'Entrada das massas'!N87-((($C$19-$C$18)*($B$19-'Entrada das massas'!N87)+($B$18*$C$19)-($B$19*$C$19))/($B$18-$B$19)),IF(AND('Entrada das massas'!N87&lt;=$B$18,'Entrada das massas'!N87&gt;$B$17),'Entrada das massas'!N87-((($C$18-$C$17)*($B$18-'Entrada das massas'!N87)+($B$17*$C$18)-($B$18*$C$18))/($B$17-$B$18)),IF(AND('Entrada das massas'!N87&lt;=$B$17,'Entrada das massas'!N87&gt;$B$16),'Entrada das massas'!N87-((($C$17-$C$16)*($B$17-'Entrada das massas'!N87)+($B$16*$C$17)-($B$17*$C$17))/($B$16-$B$17)),IF(AND('Entrada das massas'!N87&lt;=$B$16,'Entrada das massas'!N87&gt;$B$15),'Entrada das massas'!N87-((($C$16-$C$15)*($B$16-'Entrada das massas'!N87)+($B$15*$C$16)-($B$16*$C$16))/($B$15-$B$16)),IF(AND('Entrada das massas'!N87&lt;=$B$15,'Entrada das massas'!N87&gt;$B$14),'Entrada das massas'!N87-((($C$15-$C$14)*($B$15-'Entrada das massas'!N87)+($B$14*$C$15)-($B$15*$C$15))/($B$14-$B$15)),IF(AND('Entrada das massas'!N87&lt;=$B$14,'Entrada das massas'!N87&gt;$B$13),'Entrada das massas'!N87-((($C$14-$C$13)*($B$14-'Entrada das massas'!N87)+($B$13*$C$14)-($B$14*$C$14))/($B$13-$B$14)),IF(AND('Entrada das massas'!N87&lt;=$B$13,'Entrada das massas'!N87&gt;$B$12),'Entrada das massas'!N87-((($C$13-$C$12)*($B$13-'Entrada das massas'!N87)+($B$12*$C$13)-($B$13*$C$13))/($B$12-$B$13)),IF(AND('Entrada das massas'!N87&lt;=$B$12,'Entrada das massas'!N87&gt;$B$11),'Entrada das massas'!N87-((($C$12-$C$11)*($B$12-'Entrada das massas'!N87)+($B$11*$C$12)-($B$12*$C$12))/($B$11-$B$12)),IF(AND('Entrada das massas'!N87&lt;=$B$11,'Entrada das massas'!N87&gt;$B$10),'Entrada das massas'!N87-((($C$11-$C$10)*($B$11-'Entrada das massas'!N87)+($B$10*$C$11)-($B$11*$C$11))/($B$10-$B$11)),IF(AND('Entrada das massas'!N87&lt;=$B$10,'Entrada das massas'!N87&gt;$B$9),'Entrada das massas'!N87-((($C$10-$C$9)*($B$10-'Entrada das massas'!N87)+($B$9*$C$10)-($B$10*$C$10))/($B$9-$B$10)),IF(AND('Entrada das massas'!N87&lt;=$B$9,'Entrada das massas'!N87&gt;$B$8),'Entrada das massas'!N87-((($C$9-$C$8)*($B$9-'Entrada das massas'!N87)+($B$8*$C$9)-($B$9*$C$9))/($B$8-$B$9)),IF(AND('Entrada das massas'!N87&lt;=$B$8,'Entrada das massas'!N87&gt;$B$7),'Entrada das massas'!N87-((($C$8-$C$7)*($B$8-'Entrada das massas'!N87)+($B$7*$C$8)-($B$8*$C$8))/($B$7-$B$8)),IF(AND('Entrada das massas'!N87&lt;=$B$7,'Entrada das massas'!N87&gt;$B$6),'Entrada das massas'!N87-((($C$7-$C$6)*($B$7-'Entrada das massas'!N87)+($B$6*$C$7)-($B$7*$C$7))/($B$6-$B$7)),IF(AND('Entrada das massas'!N87&lt;=$B$6,'Entrada das massas'!N87&gt;$B$5),'Entrada das massas'!N87-((($C$6-$C$5)*($B$6-'Entrada das massas'!N87)+($B$5*$C$6)-($B$6*$C$6))/($B$5-$B$6)),IF('Entrada das massas'!N87&lt;=$B$5,'Entrada das massas'!N87-$C$5)))))))))))))))))</f>
        <v/>
      </c>
      <c r="Q107" s="117" t="str">
        <f>IF(P107="","",(IF(AND(P107&lt;=$B$20,P107&gt;$B$19),$D$19+($B$19-P107)/($B$19-$B$20)*($D$20-$D$19),IF(AND(P107&lt;=$B$19,P107&gt;$B$18),$D$18+($B$18-P107)/($B$18-$B$19)*($D$19-$D$18),IF(AND(P107&lt;=$B$18,P107&gt;$B$17),$D$17+($B$17-P107)/($B$17-$B$18)*($D$18-$D$17),IF(AND(P107&lt;=$B$17,P107&gt;$B$16),$D$16+($B$16-P107)/($B$16-$B$17)*($D$17-$D$16),IF(AND(P107&lt;=$B$16,P107&gt;$B$15),$D$15+($B$15-P107)/($B$15-$B$16)*($D$16-$D$15),IF(AND(P107&lt;=$B$15,P107&gt;$B$14),$D$14+($B$14-P107)/($B$14-$B$15)*($D$15-$D$14),IF(AND(P107&lt;=$B$14,P107&gt;$B$13),$D$13+($B$13-P107)/($B$13-$B$14)*($D$14-$D$13),IF(AND(P107&lt;=$B$13,P107&gt;$B$12),$D$12+($B$12-P107)/($B$12-$B$13)*($D$13-$D$12),IF(AND(P107&lt;=$B$12,P107&gt;$B$11),$D$11+($B$11-P107)/($B$11-$B$12)*($D$12-$D$11),IF(AND(P107&lt;=$B$11,P107&gt;$B$10),$D$10+($B$10-P107)/($B$10-$B$11)*($D$11-$D$10),IF(AND(P107&lt;=$B$10,P107&gt;$B$9),$D$9+($B$9-P107)/($B$9-$B$10)*($D$10-$D$9),IF(AND(P107&lt;=$B$9,P107&gt;$B$8),$D$8+($B$8-P107)/($B$8-$B$9)*($D$9-$D$8),IF(AND(P107&lt;=$B$8,P107&gt;$B$7),$D$7+($B$7-P107)/($B$7-$B$8)*($D$8-$D$7),IF(AND(P107&lt;=$B$7,P107&gt;$B$6),$D$6+($B$6-P107)/($B$6-$B$7)*($D$7-$D$6),IF(P107&lt;=$B$6,$D$6)))))))))))))))))</f>
        <v/>
      </c>
      <c r="R107" s="117"/>
      <c r="S107" s="117"/>
      <c r="T107" s="118" t="str">
        <f>IFERROR(R109/R108,"")</f>
        <v/>
      </c>
      <c r="U107" s="93"/>
      <c r="V107" s="115" t="str">
        <f>IF(W106="","","Frasco")</f>
        <v/>
      </c>
      <c r="W107" s="95" t="str">
        <f>IF('Entrada das massas'!S87="","",IF(AND('Entrada das massas'!S87&lt;=$B$20,'Entrada das massas'!S87&gt;$B$19),'Entrada das massas'!S87-((($C$20-$C$19)*($B$20-'Entrada das massas'!S87)+($B$19*$C$20)-($B$20*$C$20))/($B$19-$B$20)),IF(AND('Entrada das massas'!S87&lt;=$B$19,'Entrada das massas'!S87&gt;$B$18),'Entrada das massas'!S87-((($C$19-$C$18)*($B$19-'Entrada das massas'!S87)+($B$18*$C$19)-($B$19*$C$19))/($B$18-$B$19)),IF(AND('Entrada das massas'!S87&lt;=$B$18,'Entrada das massas'!S87&gt;$B$17),'Entrada das massas'!S87-((($C$18-$C$17)*($B$18-'Entrada das massas'!S87)+($B$17*$C$18)-($B$18*$C$18))/($B$17-$B$18)),IF(AND('Entrada das massas'!S87&lt;=$B$17,'Entrada das massas'!S87&gt;$B$16),'Entrada das massas'!S87-((($C$17-$C$16)*($B$17-'Entrada das massas'!S87)+($B$16*$C$17)-($B$17*$C$17))/($B$16-$B$17)),IF(AND('Entrada das massas'!S87&lt;=$B$16,'Entrada das massas'!S87&gt;$B$15),'Entrada das massas'!S87-((($C$16-$C$15)*($B$16-'Entrada das massas'!S87)+($B$15*$C$16)-($B$16*$C$16))/($B$15-$B$16)),IF(AND('Entrada das massas'!S87&lt;=$B$15,'Entrada das massas'!S87&gt;$B$14),'Entrada das massas'!S87-((($C$15-$C$14)*($B$15-'Entrada das massas'!S87)+($B$14*$C$15)-($B$15*$C$15))/($B$14-$B$15)),IF(AND('Entrada das massas'!S87&lt;=$B$14,'Entrada das massas'!S87&gt;$B$13),'Entrada das massas'!S87-((($C$14-$C$13)*($B$14-'Entrada das massas'!S87)+($B$13*$C$14)-($B$14*$C$14))/($B$13-$B$14)),IF(AND('Entrada das massas'!S87&lt;=$B$13,'Entrada das massas'!S87&gt;$B$12),'Entrada das massas'!S87-((($C$13-$C$12)*($B$13-'Entrada das massas'!S87)+($B$12*$C$13)-($B$13*$C$13))/($B$12-$B$13)),IF(AND('Entrada das massas'!S87&lt;=$B$12,'Entrada das massas'!S87&gt;$B$11),'Entrada das massas'!S87-((($C$12-$C$11)*($B$12-'Entrada das massas'!S87)+($B$11*$C$12)-($B$12*$C$12))/($B$11-$B$12)),IF(AND('Entrada das massas'!S87&lt;=$B$11,'Entrada das massas'!S87&gt;$B$10),'Entrada das massas'!S87-((($C$11-$C$10)*($B$11-'Entrada das massas'!S87)+($B$10*$C$11)-($B$11*$C$11))/($B$10-$B$11)),IF(AND('Entrada das massas'!S87&lt;=$B$10,'Entrada das massas'!S87&gt;$B$9),'Entrada das massas'!S87-((($C$10-$C$9)*($B$10-'Entrada das massas'!S87)+($B$9*$C$10)-($B$10*$C$10))/($B$9-$B$10)),IF(AND('Entrada das massas'!S87&lt;=$B$9,'Entrada das massas'!S87&gt;$B$8),'Entrada das massas'!S87-((($C$9-$C$8)*($B$9-'Entrada das massas'!S87)+($B$8*$C$9)-($B$9*$C$9))/($B$8-$B$9)),IF(AND('Entrada das massas'!S87&lt;=$B$8,'Entrada das massas'!S87&gt;$B$7),'Entrada das massas'!S87-((($C$8-$C$7)*($B$8-'Entrada das massas'!S87)+($B$7*$C$8)-($B$8*$C$8))/($B$7-$B$8)),IF(AND('Entrada das massas'!S87&lt;=$B$7,'Entrada das massas'!S87&gt;$B$6),'Entrada das massas'!S87-((($C$7-$C$6)*($B$7-'Entrada das massas'!S87)+($B$6*$C$7)-($B$7*$C$7))/($B$6-$B$7)),IF(AND('Entrada das massas'!S87&lt;=$B$6,'Entrada das massas'!S87&gt;$B$5),'Entrada das massas'!S87-((($C$6-$C$5)*($B$6-'Entrada das massas'!S87)+($B$5*$C$6)-($B$6*$C$6))/($B$5-$B$6)),IF('Entrada das massas'!S87&lt;=$B$5,'Entrada das massas'!S87-$C$5)))))))))))))))))</f>
        <v/>
      </c>
      <c r="X107" s="117" t="str">
        <f>IF(W107="","",(IF(AND(W107&lt;=$B$20,W107&gt;$B$19),$D$19+($B$19-W107)/($B$19-$B$20)*($D$20-$D$19),IF(AND(W107&lt;=$B$19,W107&gt;$B$18),$D$18+($B$18-W107)/($B$18-$B$19)*($D$19-$D$18),IF(AND(W107&lt;=$B$18,W107&gt;$B$17),$D$17+($B$17-W107)/($B$17-$B$18)*($D$18-$D$17),IF(AND(W107&lt;=$B$17,W107&gt;$B$16),$D$16+($B$16-W107)/($B$16-$B$17)*($D$17-$D$16),IF(AND(W107&lt;=$B$16,W107&gt;$B$15),$D$15+($B$15-W107)/($B$15-$B$16)*($D$16-$D$15),IF(AND(W107&lt;=$B$15,W107&gt;$B$14),$D$14+($B$14-W107)/($B$14-$B$15)*($D$15-$D$14),IF(AND(W107&lt;=$B$14,W107&gt;$B$13),$D$13+($B$13-W107)/($B$13-$B$14)*($D$14-$D$13),IF(AND(W107&lt;=$B$13,W107&gt;$B$12),$D$12+($B$12-W107)/($B$12-$B$13)*($D$13-$D$12),IF(AND(W107&lt;=$B$12,W107&gt;$B$11),$D$11+($B$11-W107)/($B$11-$B$12)*($D$12-$D$11),IF(AND(W107&lt;=$B$11,W107&gt;$B$10),$D$10+($B$10-W107)/($B$10-$B$11)*($D$11-$D$10),IF(AND(W107&lt;=$B$10,W107&gt;$B$9),$D$9+($B$9-W107)/($B$9-$B$10)*($D$10-$D$9),IF(AND(W107&lt;=$B$9,W107&gt;$B$8),$D$8+($B$8-W107)/($B$8-$B$9)*($D$9-$D$8),IF(AND(W107&lt;=$B$8,W107&gt;$B$7),$D$7+($B$7-W107)/($B$7-$B$8)*($D$8-$D$7),IF(AND(W107&lt;=$B$7,W107&gt;$B$6),$D$6+($B$6-W107)/($B$6-$B$7)*($D$7-$D$6),IF(W107&lt;=$B$6,$D$6)))))))))))))))))</f>
        <v/>
      </c>
      <c r="Y107" s="117"/>
      <c r="Z107" s="117"/>
      <c r="AA107" s="118" t="str">
        <f>IFERROR(Y109/Y108,"")</f>
        <v/>
      </c>
      <c r="AB107" s="104"/>
      <c r="AC107" s="104"/>
      <c r="AE107" s="88"/>
      <c r="AF107" s="160"/>
    </row>
    <row r="108" spans="8:32" x14ac:dyDescent="0.2">
      <c r="H108" s="115" t="str">
        <f>IF(I106="","","Frasco + Amostra")</f>
        <v/>
      </c>
      <c r="I108" s="116" t="str">
        <f>IF('Entrada das massas'!I88="","",IF(AND('Entrada das massas'!I88&lt;=$B$20,'Entrada das massas'!I88&gt;$B$19),'Entrada das massas'!I88-((($C$20-$C$19)*($B$20-'Entrada das massas'!I88)+($B$19*$C$20)-($B$20*$C$20))/($B$19-$B$20)),IF(AND('Entrada das massas'!I88&lt;=$B$19,'Entrada das massas'!I88&gt;$B$18),'Entrada das massas'!I88-((($C$19-$C$18)*($B$19-'Entrada das massas'!I88)+($B$18*$C$19)-($B$19*$C$19))/($B$18-$B$19)),IF(AND('Entrada das massas'!I88&lt;=$B$18,'Entrada das massas'!I88&gt;$B$17),'Entrada das massas'!I88-((($C$18-$C$17)*($B$18-'Entrada das massas'!I88)+($B$17*$C$18)-($B$18*$C$18))/($B$17-$B$18)),IF(AND('Entrada das massas'!I88&lt;=$B$17,'Entrada das massas'!I88&gt;$B$16),'Entrada das massas'!I88-((($C$17-$C$16)*($B$17-'Entrada das massas'!I88)+($B$16*$C$17)-($B$17*$C$17))/($B$16-$B$17)),IF(AND('Entrada das massas'!I88&lt;=$B$16,'Entrada das massas'!I88&gt;$B$15),'Entrada das massas'!I88-((($C$16-$C$15)*($B$16-'Entrada das massas'!I88)+($B$15*$C$16)-($B$16*$C$16))/($B$15-$B$16)),IF(AND('Entrada das massas'!I88&lt;=$B$15,'Entrada das massas'!I88&gt;$B$14),'Entrada das massas'!I88-((($C$15-$C$14)*($B$15-'Entrada das massas'!I88)+($B$14*$C$15)-($B$15*$C$15))/($B$14-$B$15)),IF(AND('Entrada das massas'!I88&lt;=$B$14,'Entrada das massas'!I88&gt;$B$13),'Entrada das massas'!I88-((($C$14-$C$13)*($B$14-'Entrada das massas'!I88)+($B$13*$C$14)-($B$14*$C$14))/($B$13-$B$14)),IF(AND('Entrada das massas'!I88&lt;=$B$13,'Entrada das massas'!I88&gt;$B$12),'Entrada das massas'!I88-((($C$13-$C$12)*($B$13-'Entrada das massas'!I88)+($B$12*$C$13)-($B$13*$C$13))/($B$12-$B$13)),IF(AND('Entrada das massas'!I88&lt;=$B$12,'Entrada das massas'!I88&gt;$B$11),'Entrada das massas'!I88-((($C$12-$C$11)*($B$12-'Entrada das massas'!I88)+($B$11*$C$12)-($B$12*$C$12))/($B$11-$B$12)),IF(AND('Entrada das massas'!I88&lt;=$B$11,'Entrada das massas'!I88&gt;$B$10),'Entrada das massas'!I88-((($C$11-$C$10)*($B$11-'Entrada das massas'!I88)+($B$10*$C$11)-($B$11*$C$11))/($B$10-$B$11)),IF(AND('Entrada das massas'!I88&lt;=$B$10,'Entrada das massas'!I88&gt;$B$9),'Entrada das massas'!I88-((($C$10-$C$9)*($B$10-'Entrada das massas'!I88)+($B$9*$C$10)-($B$10*$C$10))/($B$9-$B$10)),IF(AND('Entrada das massas'!I88&lt;=$B$9,'Entrada das massas'!I88&gt;$B$8),'Entrada das massas'!I88-((($C$9-$C$8)*($B$9-'Entrada das massas'!I88)+($B$8*$C$9)-($B$9*$C$9))/($B$8-$B$9)),IF(AND('Entrada das massas'!I88&lt;=$B$8,'Entrada das massas'!I88&gt;$B$7),'Entrada das massas'!I88-((($C$8-$C$7)*($B$8-'Entrada das massas'!I88)+($B$7*$C$8)-($B$8*$C$8))/($B$7-$B$8)),IF(AND('Entrada das massas'!I88&lt;=$B$7,'Entrada das massas'!I88&gt;$B$6),'Entrada das massas'!I88-((($C$7-$C$6)*($B$7-'Entrada das massas'!I88)+($B$6*$C$7)-($B$7*$C$7))/($B$6-$B$7)),IF(AND('Entrada das massas'!I88&lt;=$B$6,'Entrada das massas'!I88&gt;$B$5),'Entrada das massas'!I88-((($C$6-$C$5)*($B$6-'Entrada das massas'!I88)+($B$5*$C$6)-($B$6*$C$6))/($B$5-$B$6)),IF('Entrada das massas'!I88&lt;=$B$5,'Entrada das massas'!I88-$C$5)))))))))))))))))</f>
        <v/>
      </c>
      <c r="J108" s="117" t="str">
        <f t="shared" ref="J108:J109" si="51">IF(I108="","",(IF(AND(I108&lt;=$B$20,I108&gt;$B$19),$D$19+($B$19-I108)/($B$19-$B$20)*($D$20-$D$19),IF(AND(I108&lt;=$B$19,I108&gt;$B$18),$D$18+($B$18-I108)/($B$18-$B$19)*($D$19-$D$18),IF(AND(I108&lt;=$B$18,I108&gt;$B$17),$D$17+($B$17-I108)/($B$17-$B$18)*($D$18-$D$17),IF(AND(I108&lt;=$B$17,I108&gt;$B$16),$D$16+($B$16-I108)/($B$16-$B$17)*($D$17-$D$16),IF(AND(I108&lt;=$B$16,I108&gt;$B$15),$D$15+($B$15-I108)/($B$15-$B$16)*($D$16-$D$15),IF(AND(I108&lt;=$B$15,I108&gt;$B$14),$D$14+($B$14-I108)/($B$14-$B$15)*($D$15-$D$14),IF(AND(I108&lt;=$B$14,I108&gt;$B$13),$D$13+($B$13-I108)/($B$13-$B$14)*($D$14-$D$13),IF(AND(I108&lt;=$B$13,I108&gt;$B$12),$D$12+($B$12-I108)/($B$12-$B$13)*($D$13-$D$12),IF(AND(I108&lt;=$B$12,I108&gt;$B$11),$D$11+($B$11-I108)/($B$11-$B$12)*($D$12-$D$11),IF(AND(I108&lt;=$B$11,I108&gt;$B$10),$D$10+($B$10-I108)/($B$10-$B$11)*($D$11-$D$10),IF(AND(I108&lt;=$B$10,I108&gt;$B$9),$D$9+($B$9-I108)/($B$9-$B$10)*($D$10-$D$9),IF(AND(I108&lt;=$B$9,I108&gt;$B$8),$D$8+($B$8-I108)/($B$8-$B$9)*($D$9-$D$8),IF(AND(I108&lt;=$B$8,I108&gt;$B$7),$D$7+($B$7-I108)/($B$7-$B$8)*($D$8-$D$7),IF(AND(I108&lt;=$B$7,I108&gt;$B$6),$D$6+($B$6-I108)/($B$6-$B$7)*($D$7-$D$6),IF(I108&lt;=$B$6,$D$6)))))))))))))))))</f>
        <v/>
      </c>
      <c r="K108" s="120" t="str">
        <f>IF(I107="","",I108-I107)</f>
        <v/>
      </c>
      <c r="L108" s="117" t="str">
        <f>IF(J107="","",SQRT(SUMSQ(J107:J108)))</f>
        <v/>
      </c>
      <c r="M108" s="93" t="str">
        <f>IF(I106="","","Amostra")</f>
        <v/>
      </c>
      <c r="N108" s="118"/>
      <c r="O108" s="115" t="str">
        <f>IF(P106="","","Frasco + Amostra")</f>
        <v/>
      </c>
      <c r="P108" s="95" t="str">
        <f>IF('Entrada das massas'!N88="","",IF(AND('Entrada das massas'!N88&lt;=$B$20,'Entrada das massas'!N88&gt;$B$19),'Entrada das massas'!N88-((($C$20-$C$19)*($B$20-'Entrada das massas'!N88)+($B$19*$C$20)-($B$20*$C$20))/($B$19-$B$20)),IF(AND('Entrada das massas'!N88&lt;=$B$19,'Entrada das massas'!N88&gt;$B$18),'Entrada das massas'!N88-((($C$19-$C$18)*($B$19-'Entrada das massas'!N88)+($B$18*$C$19)-($B$19*$C$19))/($B$18-$B$19)),IF(AND('Entrada das massas'!N88&lt;=$B$18,'Entrada das massas'!N88&gt;$B$17),'Entrada das massas'!N88-((($C$18-$C$17)*($B$18-'Entrada das massas'!N88)+($B$17*$C$18)-($B$18*$C$18))/($B$17-$B$18)),IF(AND('Entrada das massas'!N88&lt;=$B$17,'Entrada das massas'!N88&gt;$B$16),'Entrada das massas'!N88-((($C$17-$C$16)*($B$17-'Entrada das massas'!N88)+($B$16*$C$17)-($B$17*$C$17))/($B$16-$B$17)),IF(AND('Entrada das massas'!N88&lt;=$B$16,'Entrada das massas'!N88&gt;$B$15),'Entrada das massas'!N88-((($C$16-$C$15)*($B$16-'Entrada das massas'!N88)+($B$15*$C$16)-($B$16*$C$16))/($B$15-$B$16)),IF(AND('Entrada das massas'!N88&lt;=$B$15,'Entrada das massas'!N88&gt;$B$14),'Entrada das massas'!N88-((($C$15-$C$14)*($B$15-'Entrada das massas'!N88)+($B$14*$C$15)-($B$15*$C$15))/($B$14-$B$15)),IF(AND('Entrada das massas'!N88&lt;=$B$14,'Entrada das massas'!N88&gt;$B$13),'Entrada das massas'!N88-((($C$14-$C$13)*($B$14-'Entrada das massas'!N88)+($B$13*$C$14)-($B$14*$C$14))/($B$13-$B$14)),IF(AND('Entrada das massas'!N88&lt;=$B$13,'Entrada das massas'!N88&gt;$B$12),'Entrada das massas'!N88-((($C$13-$C$12)*($B$13-'Entrada das massas'!N88)+($B$12*$C$13)-($B$13*$C$13))/($B$12-$B$13)),IF(AND('Entrada das massas'!N88&lt;=$B$12,'Entrada das massas'!N88&gt;$B$11),'Entrada das massas'!N88-((($C$12-$C$11)*($B$12-'Entrada das massas'!N88)+($B$11*$C$12)-($B$12*$C$12))/($B$11-$B$12)),IF(AND('Entrada das massas'!N88&lt;=$B$11,'Entrada das massas'!N88&gt;$B$10),'Entrada das massas'!N88-((($C$11-$C$10)*($B$11-'Entrada das massas'!N88)+($B$10*$C$11)-($B$11*$C$11))/($B$10-$B$11)),IF(AND('Entrada das massas'!N88&lt;=$B$10,'Entrada das massas'!N88&gt;$B$9),'Entrada das massas'!N88-((($C$10-$C$9)*($B$10-'Entrada das massas'!N88)+($B$9*$C$10)-($B$10*$C$10))/($B$9-$B$10)),IF(AND('Entrada das massas'!N88&lt;=$B$9,'Entrada das massas'!N88&gt;$B$8),'Entrada das massas'!N88-((($C$9-$C$8)*($B$9-'Entrada das massas'!N88)+($B$8*$C$9)-($B$9*$C$9))/($B$8-$B$9)),IF(AND('Entrada das massas'!N88&lt;=$B$8,'Entrada das massas'!N88&gt;$B$7),'Entrada das massas'!N88-((($C$8-$C$7)*($B$8-'Entrada das massas'!N88)+($B$7*$C$8)-($B$8*$C$8))/($B$7-$B$8)),IF(AND('Entrada das massas'!N88&lt;=$B$7,'Entrada das massas'!N88&gt;$B$6),'Entrada das massas'!N88-((($C$7-$C$6)*($B$7-'Entrada das massas'!N88)+($B$6*$C$7)-($B$7*$C$7))/($B$6-$B$7)),IF(AND('Entrada das massas'!N88&lt;=$B$6,'Entrada das massas'!N88&gt;$B$5),'Entrada das massas'!N88-((($C$6-$C$5)*($B$6-'Entrada das massas'!N88)+($B$5*$C$6)-($B$6*$C$6))/($B$5-$B$6)),IF('Entrada das massas'!N88&lt;=$B$5,'Entrada das massas'!N88-$C$5)))))))))))))))))</f>
        <v/>
      </c>
      <c r="Q108" s="117" t="str">
        <f t="shared" ref="Q108:Q109" si="52">IF(P108="","",(IF(AND(P108&lt;=$B$20,P108&gt;$B$19),$D$19+($B$19-P108)/($B$19-$B$20)*($D$20-$D$19),IF(AND(P108&lt;=$B$19,P108&gt;$B$18),$D$18+($B$18-P108)/($B$18-$B$19)*($D$19-$D$18),IF(AND(P108&lt;=$B$18,P108&gt;$B$17),$D$17+($B$17-P108)/($B$17-$B$18)*($D$18-$D$17),IF(AND(P108&lt;=$B$17,P108&gt;$B$16),$D$16+($B$16-P108)/($B$16-$B$17)*($D$17-$D$16),IF(AND(P108&lt;=$B$16,P108&gt;$B$15),$D$15+($B$15-P108)/($B$15-$B$16)*($D$16-$D$15),IF(AND(P108&lt;=$B$15,P108&gt;$B$14),$D$14+($B$14-P108)/($B$14-$B$15)*($D$15-$D$14),IF(AND(P108&lt;=$B$14,P108&gt;$B$13),$D$13+($B$13-P108)/($B$13-$B$14)*($D$14-$D$13),IF(AND(P108&lt;=$B$13,P108&gt;$B$12),$D$12+($B$12-P108)/($B$12-$B$13)*($D$13-$D$12),IF(AND(P108&lt;=$B$12,P108&gt;$B$11),$D$11+($B$11-P108)/($B$11-$B$12)*($D$12-$D$11),IF(AND(P108&lt;=$B$11,P108&gt;$B$10),$D$10+($B$10-P108)/($B$10-$B$11)*($D$11-$D$10),IF(AND(P108&lt;=$B$10,P108&gt;$B$9),$D$9+($B$9-P108)/($B$9-$B$10)*($D$10-$D$9),IF(AND(P108&lt;=$B$9,P108&gt;$B$8),$D$8+($B$8-P108)/($B$8-$B$9)*($D$9-$D$8),IF(AND(P108&lt;=$B$8,P108&gt;$B$7),$D$7+($B$7-P108)/($B$7-$B$8)*($D$8-$D$7),IF(AND(P108&lt;=$B$7,P108&gt;$B$6),$D$6+($B$6-P108)/($B$6-$B$7)*($D$7-$D$6),IF(P108&lt;=$B$6,$D$6)))))))))))))))))</f>
        <v/>
      </c>
      <c r="R108" s="120" t="str">
        <f>IF(P107="","",P108-P107)</f>
        <v/>
      </c>
      <c r="S108" s="117" t="str">
        <f>IF(Q107="","",SQRT(SUMSQ(Q107:Q108)))</f>
        <v/>
      </c>
      <c r="T108" s="93" t="str">
        <f>IF(P106="","","Amostra")</f>
        <v/>
      </c>
      <c r="U108" s="118"/>
      <c r="V108" s="115" t="str">
        <f>IF(W106="","","Frasco + Amostra")</f>
        <v/>
      </c>
      <c r="W108" s="95" t="str">
        <f>IF('Entrada das massas'!S88="","",IF(AND('Entrada das massas'!S88&lt;=$B$20,'Entrada das massas'!S88&gt;$B$19),'Entrada das massas'!S88-((($C$20-$C$19)*($B$20-'Entrada das massas'!S88)+($B$19*$C$20)-($B$20*$C$20))/($B$19-$B$20)),IF(AND('Entrada das massas'!S88&lt;=$B$19,'Entrada das massas'!S88&gt;$B$18),'Entrada das massas'!S88-((($C$19-$C$18)*($B$19-'Entrada das massas'!S88)+($B$18*$C$19)-($B$19*$C$19))/($B$18-$B$19)),IF(AND('Entrada das massas'!S88&lt;=$B$18,'Entrada das massas'!S88&gt;$B$17),'Entrada das massas'!S88-((($C$18-$C$17)*($B$18-'Entrada das massas'!S88)+($B$17*$C$18)-($B$18*$C$18))/($B$17-$B$18)),IF(AND('Entrada das massas'!S88&lt;=$B$17,'Entrada das massas'!S88&gt;$B$16),'Entrada das massas'!S88-((($C$17-$C$16)*($B$17-'Entrada das massas'!S88)+($B$16*$C$17)-($B$17*$C$17))/($B$16-$B$17)),IF(AND('Entrada das massas'!S88&lt;=$B$16,'Entrada das massas'!S88&gt;$B$15),'Entrada das massas'!S88-((($C$16-$C$15)*($B$16-'Entrada das massas'!S88)+($B$15*$C$16)-($B$16*$C$16))/($B$15-$B$16)),IF(AND('Entrada das massas'!S88&lt;=$B$15,'Entrada das massas'!S88&gt;$B$14),'Entrada das massas'!S88-((($C$15-$C$14)*($B$15-'Entrada das massas'!S88)+($B$14*$C$15)-($B$15*$C$15))/($B$14-$B$15)),IF(AND('Entrada das massas'!S88&lt;=$B$14,'Entrada das massas'!S88&gt;$B$13),'Entrada das massas'!S88-((($C$14-$C$13)*($B$14-'Entrada das massas'!S88)+($B$13*$C$14)-($B$14*$C$14))/($B$13-$B$14)),IF(AND('Entrada das massas'!S88&lt;=$B$13,'Entrada das massas'!S88&gt;$B$12),'Entrada das massas'!S88-((($C$13-$C$12)*($B$13-'Entrada das massas'!S88)+($B$12*$C$13)-($B$13*$C$13))/($B$12-$B$13)),IF(AND('Entrada das massas'!S88&lt;=$B$12,'Entrada das massas'!S88&gt;$B$11),'Entrada das massas'!S88-((($C$12-$C$11)*($B$12-'Entrada das massas'!S88)+($B$11*$C$12)-($B$12*$C$12))/($B$11-$B$12)),IF(AND('Entrada das massas'!S88&lt;=$B$11,'Entrada das massas'!S88&gt;$B$10),'Entrada das massas'!S88-((($C$11-$C$10)*($B$11-'Entrada das massas'!S88)+($B$10*$C$11)-($B$11*$C$11))/($B$10-$B$11)),IF(AND('Entrada das massas'!S88&lt;=$B$10,'Entrada das massas'!S88&gt;$B$9),'Entrada das massas'!S88-((($C$10-$C$9)*($B$10-'Entrada das massas'!S88)+($B$9*$C$10)-($B$10*$C$10))/($B$9-$B$10)),IF(AND('Entrada das massas'!S88&lt;=$B$9,'Entrada das massas'!S88&gt;$B$8),'Entrada das massas'!S88-((($C$9-$C$8)*($B$9-'Entrada das massas'!S88)+($B$8*$C$9)-($B$9*$C$9))/($B$8-$B$9)),IF(AND('Entrada das massas'!S88&lt;=$B$8,'Entrada das massas'!S88&gt;$B$7),'Entrada das massas'!S88-((($C$8-$C$7)*($B$8-'Entrada das massas'!S88)+($B$7*$C$8)-($B$8*$C$8))/($B$7-$B$8)),IF(AND('Entrada das massas'!S88&lt;=$B$7,'Entrada das massas'!S88&gt;$B$6),'Entrada das massas'!S88-((($C$7-$C$6)*($B$7-'Entrada das massas'!S88)+($B$6*$C$7)-($B$7*$C$7))/($B$6-$B$7)),IF(AND('Entrada das massas'!S88&lt;=$B$6,'Entrada das massas'!S88&gt;$B$5),'Entrada das massas'!S88-((($C$6-$C$5)*($B$6-'Entrada das massas'!S88)+($B$5*$C$6)-($B$6*$C$6))/($B$5-$B$6)),IF('Entrada das massas'!S88&lt;=$B$5,'Entrada das massas'!S88-$C$5)))))))))))))))))</f>
        <v/>
      </c>
      <c r="X108" s="117" t="str">
        <f t="shared" ref="X108:X109" si="53">IF(W108="","",(IF(AND(W108&lt;=$B$20,W108&gt;$B$19),$D$19+($B$19-W108)/($B$19-$B$20)*($D$20-$D$19),IF(AND(W108&lt;=$B$19,W108&gt;$B$18),$D$18+($B$18-W108)/($B$18-$B$19)*($D$19-$D$18),IF(AND(W108&lt;=$B$18,W108&gt;$B$17),$D$17+($B$17-W108)/($B$17-$B$18)*($D$18-$D$17),IF(AND(W108&lt;=$B$17,W108&gt;$B$16),$D$16+($B$16-W108)/($B$16-$B$17)*($D$17-$D$16),IF(AND(W108&lt;=$B$16,W108&gt;$B$15),$D$15+($B$15-W108)/($B$15-$B$16)*($D$16-$D$15),IF(AND(W108&lt;=$B$15,W108&gt;$B$14),$D$14+($B$14-W108)/($B$14-$B$15)*($D$15-$D$14),IF(AND(W108&lt;=$B$14,W108&gt;$B$13),$D$13+($B$13-W108)/($B$13-$B$14)*($D$14-$D$13),IF(AND(W108&lt;=$B$13,W108&gt;$B$12),$D$12+($B$12-W108)/($B$12-$B$13)*($D$13-$D$12),IF(AND(W108&lt;=$B$12,W108&gt;$B$11),$D$11+($B$11-W108)/($B$11-$B$12)*($D$12-$D$11),IF(AND(W108&lt;=$B$11,W108&gt;$B$10),$D$10+($B$10-W108)/($B$10-$B$11)*($D$11-$D$10),IF(AND(W108&lt;=$B$10,W108&gt;$B$9),$D$9+($B$9-W108)/($B$9-$B$10)*($D$10-$D$9),IF(AND(W108&lt;=$B$9,W108&gt;$B$8),$D$8+($B$8-W108)/($B$8-$B$9)*($D$9-$D$8),IF(AND(W108&lt;=$B$8,W108&gt;$B$7),$D$7+($B$7-W108)/($B$7-$B$8)*($D$8-$D$7),IF(AND(W108&lt;=$B$7,W108&gt;$B$6),$D$6+($B$6-W108)/($B$6-$B$7)*($D$7-$D$6),IF(W108&lt;=$B$6,$D$6)))))))))))))))))</f>
        <v/>
      </c>
      <c r="Y108" s="120" t="str">
        <f>IF(W107="","",W108-W107)</f>
        <v/>
      </c>
      <c r="Z108" s="117" t="str">
        <f>IF(X107="","",SQRT(SUMSQ(X107:X108)))</f>
        <v/>
      </c>
      <c r="AA108" s="93" t="str">
        <f>IF(W106="","","Amostra")</f>
        <v/>
      </c>
      <c r="AB108" s="104"/>
      <c r="AC108" s="104"/>
      <c r="AE108" s="88"/>
      <c r="AF108" s="160"/>
    </row>
    <row r="109" spans="8:32" x14ac:dyDescent="0.2">
      <c r="H109" s="123" t="str">
        <f>IF(I106="","","Massa final")</f>
        <v/>
      </c>
      <c r="I109" s="116" t="str">
        <f>IF('Entrada das massas'!I89="","",IF(AND('Entrada das massas'!I89&lt;=$B$20,'Entrada das massas'!I89&gt;$B$19),'Entrada das massas'!I89-((($C$20-$C$19)*($B$20-'Entrada das massas'!I89)+($B$19*$C$20)-($B$20*$C$20))/($B$19-$B$20)),IF(AND('Entrada das massas'!I89&lt;=$B$19,'Entrada das massas'!I89&gt;$B$18),'Entrada das massas'!I89-((($C$19-$C$18)*($B$19-'Entrada das massas'!I89)+($B$18*$C$19)-($B$19*$C$19))/($B$18-$B$19)),IF(AND('Entrada das massas'!I89&lt;=$B$18,'Entrada das massas'!I89&gt;$B$17),'Entrada das massas'!I89-((($C$18-$C$17)*($B$18-'Entrada das massas'!I89)+($B$17*$C$18)-($B$18*$C$18))/($B$17-$B$18)),IF(AND('Entrada das massas'!I89&lt;=$B$17,'Entrada das massas'!I89&gt;$B$16),'Entrada das massas'!I89-((($C$17-$C$16)*($B$17-'Entrada das massas'!I89)+($B$16*$C$17)-($B$17*$C$17))/($B$16-$B$17)),IF(AND('Entrada das massas'!I89&lt;=$B$16,'Entrada das massas'!I89&gt;$B$15),'Entrada das massas'!I89-((($C$16-$C$15)*($B$16-'Entrada das massas'!I89)+($B$15*$C$16)-($B$16*$C$16))/($B$15-$B$16)),IF(AND('Entrada das massas'!I89&lt;=$B$15,'Entrada das massas'!I89&gt;$B$14),'Entrada das massas'!I89-((($C$15-$C$14)*($B$15-'Entrada das massas'!I89)+($B$14*$C$15)-($B$15*$C$15))/($B$14-$B$15)),IF(AND('Entrada das massas'!I89&lt;=$B$14,'Entrada das massas'!I89&gt;$B$13),'Entrada das massas'!I89-((($C$14-$C$13)*($B$14-'Entrada das massas'!I89)+($B$13*$C$14)-($B$14*$C$14))/($B$13-$B$14)),IF(AND('Entrada das massas'!I89&lt;=$B$13,'Entrada das massas'!I89&gt;$B$12),'Entrada das massas'!I89-((($C$13-$C$12)*($B$13-'Entrada das massas'!I89)+($B$12*$C$13)-($B$13*$C$13))/($B$12-$B$13)),IF(AND('Entrada das massas'!I89&lt;=$B$12,'Entrada das massas'!I89&gt;$B$11),'Entrada das massas'!I89-((($C$12-$C$11)*($B$12-'Entrada das massas'!I89)+($B$11*$C$12)-($B$12*$C$12))/($B$11-$B$12)),IF(AND('Entrada das massas'!I89&lt;=$B$11,'Entrada das massas'!I89&gt;$B$10),'Entrada das massas'!I89-((($C$11-$C$10)*($B$11-'Entrada das massas'!I89)+($B$10*$C$11)-($B$11*$C$11))/($B$10-$B$11)),IF(AND('Entrada das massas'!I89&lt;=$B$10,'Entrada das massas'!I89&gt;$B$9),'Entrada das massas'!I89-((($C$10-$C$9)*($B$10-'Entrada das massas'!I89)+($B$9*$C$10)-($B$10*$C$10))/($B$9-$B$10)),IF(AND('Entrada das massas'!I89&lt;=$B$9,'Entrada das massas'!I89&gt;$B$8),'Entrada das massas'!I89-((($C$9-$C$8)*($B$9-'Entrada das massas'!I89)+($B$8*$C$9)-($B$9*$C$9))/($B$8-$B$9)),IF(AND('Entrada das massas'!I89&lt;=$B$8,'Entrada das massas'!I89&gt;$B$7),'Entrada das massas'!I89-((($C$8-$C$7)*($B$8-'Entrada das massas'!I89)+($B$7*$C$8)-($B$8*$C$8))/($B$7-$B$8)),IF(AND('Entrada das massas'!I89&lt;=$B$7,'Entrada das massas'!I89&gt;$B$6),'Entrada das massas'!I89-((($C$7-$C$6)*($B$7-'Entrada das massas'!I89)+($B$6*$C$7)-($B$7*$C$7))/($B$6-$B$7)),IF(AND('Entrada das massas'!I89&lt;=$B$6,'Entrada das massas'!I89&gt;$B$5),'Entrada das massas'!I89-((($C$6-$C$5)*($B$6-'Entrada das massas'!I89)+($B$5*$C$6)-($B$6*$C$6))/($B$5-$B$6)),IF('Entrada das massas'!I89&lt;=$B$5,'Entrada das massas'!I89-$C$5)))))))))))))))))</f>
        <v/>
      </c>
      <c r="J109" s="117" t="str">
        <f t="shared" si="51"/>
        <v/>
      </c>
      <c r="K109" s="120" t="str">
        <f>IF(I107="","",I109-I107)</f>
        <v/>
      </c>
      <c r="L109" s="117" t="str">
        <f>IF(J107="","",SQRT(SUMSQ(J107,J109)))</f>
        <v/>
      </c>
      <c r="M109" s="93" t="str">
        <f>IF(I106="","","Solução")</f>
        <v/>
      </c>
      <c r="N109" s="93"/>
      <c r="O109" s="123" t="str">
        <f>IF(P106="","","Massa final")</f>
        <v/>
      </c>
      <c r="P109" s="95" t="str">
        <f>IF('Entrada das massas'!N89="","",IF(AND('Entrada das massas'!N89&lt;=$B$20,'Entrada das massas'!N89&gt;$B$19),'Entrada das massas'!N89-((($C$20-$C$19)*($B$20-'Entrada das massas'!N89)+($B$19*$C$20)-($B$20*$C$20))/($B$19-$B$20)),IF(AND('Entrada das massas'!N89&lt;=$B$19,'Entrada das massas'!N89&gt;$B$18),'Entrada das massas'!N89-((($C$19-$C$18)*($B$19-'Entrada das massas'!N89)+($B$18*$C$19)-($B$19*$C$19))/($B$18-$B$19)),IF(AND('Entrada das massas'!N89&lt;=$B$18,'Entrada das massas'!N89&gt;$B$17),'Entrada das massas'!N89-((($C$18-$C$17)*($B$18-'Entrada das massas'!N89)+($B$17*$C$18)-($B$18*$C$18))/($B$17-$B$18)),IF(AND('Entrada das massas'!N89&lt;=$B$17,'Entrada das massas'!N89&gt;$B$16),'Entrada das massas'!N89-((($C$17-$C$16)*($B$17-'Entrada das massas'!N89)+($B$16*$C$17)-($B$17*$C$17))/($B$16-$B$17)),IF(AND('Entrada das massas'!N89&lt;=$B$16,'Entrada das massas'!N89&gt;$B$15),'Entrada das massas'!N89-((($C$16-$C$15)*($B$16-'Entrada das massas'!N89)+($B$15*$C$16)-($B$16*$C$16))/($B$15-$B$16)),IF(AND('Entrada das massas'!N89&lt;=$B$15,'Entrada das massas'!N89&gt;$B$14),'Entrada das massas'!N89-((($C$15-$C$14)*($B$15-'Entrada das massas'!N89)+($B$14*$C$15)-($B$15*$C$15))/($B$14-$B$15)),IF(AND('Entrada das massas'!N89&lt;=$B$14,'Entrada das massas'!N89&gt;$B$13),'Entrada das massas'!N89-((($C$14-$C$13)*($B$14-'Entrada das massas'!N89)+($B$13*$C$14)-($B$14*$C$14))/($B$13-$B$14)),IF(AND('Entrada das massas'!N89&lt;=$B$13,'Entrada das massas'!N89&gt;$B$12),'Entrada das massas'!N89-((($C$13-$C$12)*($B$13-'Entrada das massas'!N89)+($B$12*$C$13)-($B$13*$C$13))/($B$12-$B$13)),IF(AND('Entrada das massas'!N89&lt;=$B$12,'Entrada das massas'!N89&gt;$B$11),'Entrada das massas'!N89-((($C$12-$C$11)*($B$12-'Entrada das massas'!N89)+($B$11*$C$12)-($B$12*$C$12))/($B$11-$B$12)),IF(AND('Entrada das massas'!N89&lt;=$B$11,'Entrada das massas'!N89&gt;$B$10),'Entrada das massas'!N89-((($C$11-$C$10)*($B$11-'Entrada das massas'!N89)+($B$10*$C$11)-($B$11*$C$11))/($B$10-$B$11)),IF(AND('Entrada das massas'!N89&lt;=$B$10,'Entrada das massas'!N89&gt;$B$9),'Entrada das massas'!N89-((($C$10-$C$9)*($B$10-'Entrada das massas'!N89)+($B$9*$C$10)-($B$10*$C$10))/($B$9-$B$10)),IF(AND('Entrada das massas'!N89&lt;=$B$9,'Entrada das massas'!N89&gt;$B$8),'Entrada das massas'!N89-((($C$9-$C$8)*($B$9-'Entrada das massas'!N89)+($B$8*$C$9)-($B$9*$C$9))/($B$8-$B$9)),IF(AND('Entrada das massas'!N89&lt;=$B$8,'Entrada das massas'!N89&gt;$B$7),'Entrada das massas'!N89-((($C$8-$C$7)*($B$8-'Entrada das massas'!N89)+($B$7*$C$8)-($B$8*$C$8))/($B$7-$B$8)),IF(AND('Entrada das massas'!N89&lt;=$B$7,'Entrada das massas'!N89&gt;$B$6),'Entrada das massas'!N89-((($C$7-$C$6)*($B$7-'Entrada das massas'!N89)+($B$6*$C$7)-($B$7*$C$7))/($B$6-$B$7)),IF(AND('Entrada das massas'!N89&lt;=$B$6,'Entrada das massas'!N89&gt;$B$5),'Entrada das massas'!N89-((($C$6-$C$5)*($B$6-'Entrada das massas'!N89)+($B$5*$C$6)-($B$6*$C$6))/($B$5-$B$6)),IF('Entrada das massas'!N89&lt;=$B$5,'Entrada das massas'!N89-$C$5)))))))))))))))))</f>
        <v/>
      </c>
      <c r="Q109" s="117" t="str">
        <f t="shared" si="52"/>
        <v/>
      </c>
      <c r="R109" s="120" t="str">
        <f>IF(P107="","",P109-P107)</f>
        <v/>
      </c>
      <c r="S109" s="117" t="str">
        <f>IF(Q107="","",SQRT(SUMSQ(Q107,Q109)))</f>
        <v/>
      </c>
      <c r="T109" s="93" t="str">
        <f>IF(P106="","","Solução")</f>
        <v/>
      </c>
      <c r="U109" s="93"/>
      <c r="V109" s="123" t="str">
        <f>IF(W106="","","Massa final")</f>
        <v/>
      </c>
      <c r="W109" s="95" t="str">
        <f>IF('Entrada das massas'!S89="","",IF(AND('Entrada das massas'!S89&lt;=$B$20,'Entrada das massas'!S89&gt;$B$19),'Entrada das massas'!S89-((($C$20-$C$19)*($B$20-'Entrada das massas'!S89)+($B$19*$C$20)-($B$20*$C$20))/($B$19-$B$20)),IF(AND('Entrada das massas'!S89&lt;=$B$19,'Entrada das massas'!S89&gt;$B$18),'Entrada das massas'!S89-((($C$19-$C$18)*($B$19-'Entrada das massas'!S89)+($B$18*$C$19)-($B$19*$C$19))/($B$18-$B$19)),IF(AND('Entrada das massas'!S89&lt;=$B$18,'Entrada das massas'!S89&gt;$B$17),'Entrada das massas'!S89-((($C$18-$C$17)*($B$18-'Entrada das massas'!S89)+($B$17*$C$18)-($B$18*$C$18))/($B$17-$B$18)),IF(AND('Entrada das massas'!S89&lt;=$B$17,'Entrada das massas'!S89&gt;$B$16),'Entrada das massas'!S89-((($C$17-$C$16)*($B$17-'Entrada das massas'!S89)+($B$16*$C$17)-($B$17*$C$17))/($B$16-$B$17)),IF(AND('Entrada das massas'!S89&lt;=$B$16,'Entrada das massas'!S89&gt;$B$15),'Entrada das massas'!S89-((($C$16-$C$15)*($B$16-'Entrada das massas'!S89)+($B$15*$C$16)-($B$16*$C$16))/($B$15-$B$16)),IF(AND('Entrada das massas'!S89&lt;=$B$15,'Entrada das massas'!S89&gt;$B$14),'Entrada das massas'!S89-((($C$15-$C$14)*($B$15-'Entrada das massas'!S89)+($B$14*$C$15)-($B$15*$C$15))/($B$14-$B$15)),IF(AND('Entrada das massas'!S89&lt;=$B$14,'Entrada das massas'!S89&gt;$B$13),'Entrada das massas'!S89-((($C$14-$C$13)*($B$14-'Entrada das massas'!S89)+($B$13*$C$14)-($B$14*$C$14))/($B$13-$B$14)),IF(AND('Entrada das massas'!S89&lt;=$B$13,'Entrada das massas'!S89&gt;$B$12),'Entrada das massas'!S89-((($C$13-$C$12)*($B$13-'Entrada das massas'!S89)+($B$12*$C$13)-($B$13*$C$13))/($B$12-$B$13)),IF(AND('Entrada das massas'!S89&lt;=$B$12,'Entrada das massas'!S89&gt;$B$11),'Entrada das massas'!S89-((($C$12-$C$11)*($B$12-'Entrada das massas'!S89)+($B$11*$C$12)-($B$12*$C$12))/($B$11-$B$12)),IF(AND('Entrada das massas'!S89&lt;=$B$11,'Entrada das massas'!S89&gt;$B$10),'Entrada das massas'!S89-((($C$11-$C$10)*($B$11-'Entrada das massas'!S89)+($B$10*$C$11)-($B$11*$C$11))/($B$10-$B$11)),IF(AND('Entrada das massas'!S89&lt;=$B$10,'Entrada das massas'!S89&gt;$B$9),'Entrada das massas'!S89-((($C$10-$C$9)*($B$10-'Entrada das massas'!S89)+($B$9*$C$10)-($B$10*$C$10))/($B$9-$B$10)),IF(AND('Entrada das massas'!S89&lt;=$B$9,'Entrada das massas'!S89&gt;$B$8),'Entrada das massas'!S89-((($C$9-$C$8)*($B$9-'Entrada das massas'!S89)+($B$8*$C$9)-($B$9*$C$9))/($B$8-$B$9)),IF(AND('Entrada das massas'!S89&lt;=$B$8,'Entrada das massas'!S89&gt;$B$7),'Entrada das massas'!S89-((($C$8-$C$7)*($B$8-'Entrada das massas'!S89)+($B$7*$C$8)-($B$8*$C$8))/($B$7-$B$8)),IF(AND('Entrada das massas'!S89&lt;=$B$7,'Entrada das massas'!S89&gt;$B$6),'Entrada das massas'!S89-((($C$7-$C$6)*($B$7-'Entrada das massas'!S89)+($B$6*$C$7)-($B$7*$C$7))/($B$6-$B$7)),IF(AND('Entrada das massas'!S89&lt;=$B$6,'Entrada das massas'!S89&gt;$B$5),'Entrada das massas'!S89-((($C$6-$C$5)*($B$6-'Entrada das massas'!S89)+($B$5*$C$6)-($B$6*$C$6))/($B$5-$B$6)),IF('Entrada das massas'!S89&lt;=$B$5,'Entrada das massas'!S89-$C$5)))))))))))))))))</f>
        <v/>
      </c>
      <c r="X109" s="117" t="str">
        <f t="shared" si="53"/>
        <v/>
      </c>
      <c r="Y109" s="120" t="str">
        <f>IF(W107="","",W109-W107)</f>
        <v/>
      </c>
      <c r="Z109" s="117" t="str">
        <f>IF(X107="","",SQRT(SUMSQ(X107,X109)))</f>
        <v/>
      </c>
      <c r="AA109" s="93" t="str">
        <f>IF(W106="","","Solução")</f>
        <v/>
      </c>
      <c r="AB109" s="104"/>
      <c r="AC109" s="104"/>
      <c r="AE109" s="88"/>
      <c r="AF109" s="160"/>
    </row>
    <row r="110" spans="8:32" x14ac:dyDescent="0.2">
      <c r="H110" s="98"/>
      <c r="I110" s="93"/>
      <c r="J110" s="139"/>
      <c r="K110" s="139"/>
      <c r="L110" s="139"/>
      <c r="M110" s="98"/>
      <c r="N110" s="98"/>
      <c r="O110" s="98"/>
      <c r="P110" s="93"/>
      <c r="Q110" s="120"/>
      <c r="R110" s="120"/>
      <c r="S110" s="120"/>
      <c r="T110" s="98"/>
      <c r="U110" s="98"/>
      <c r="V110" s="98"/>
      <c r="W110" s="93"/>
      <c r="X110" s="120"/>
      <c r="Y110" s="120"/>
      <c r="Z110" s="120"/>
      <c r="AA110" s="98"/>
      <c r="AB110" s="104"/>
      <c r="AC110" s="104"/>
      <c r="AE110" s="88"/>
      <c r="AF110" s="160"/>
    </row>
    <row r="111" spans="8:32" x14ac:dyDescent="0.2">
      <c r="H111" s="126" t="str">
        <f>IF(I106="","","Amostra")</f>
        <v/>
      </c>
      <c r="I111" s="127" t="str">
        <f>IF('Entrada das massas'!I91="","",'Entrada das massas'!I91)</f>
        <v/>
      </c>
      <c r="J111" s="120" t="str">
        <f>IF(I111="","","uc(g)")</f>
        <v/>
      </c>
      <c r="K111" s="120" t="str">
        <f>IF(J111="","","Massa (g)")</f>
        <v/>
      </c>
      <c r="L111" s="120" t="str">
        <f>IF(K111="","","ucomb (g)")</f>
        <v/>
      </c>
      <c r="M111" s="98" t="str">
        <f>IF(I111="","","Fdiluição")</f>
        <v/>
      </c>
      <c r="N111" s="98"/>
      <c r="O111" s="126" t="str">
        <f>IF(M112="","","Amostra")</f>
        <v/>
      </c>
      <c r="P111" s="127" t="str">
        <f>IF('Entrada das massas'!N91="","",'Entrada das massas'!N91)</f>
        <v/>
      </c>
      <c r="Q111" s="120" t="str">
        <f>IF(P111="","","uc(g)")</f>
        <v/>
      </c>
      <c r="R111" s="120" t="str">
        <f>IF(Q111="","","Massa (g)")</f>
        <v/>
      </c>
      <c r="S111" s="120" t="str">
        <f>IF(R111="","","ucomb (g)")</f>
        <v/>
      </c>
      <c r="T111" s="98" t="str">
        <f>IF(P111="","","Fdiluição")</f>
        <v/>
      </c>
      <c r="U111" s="98"/>
      <c r="V111" s="126" t="str">
        <f>IF(T112="","","Amostra")</f>
        <v/>
      </c>
      <c r="W111" s="127" t="str">
        <f>IF('Entrada das massas'!S91="","",'Entrada das massas'!S91)</f>
        <v/>
      </c>
      <c r="X111" s="120" t="str">
        <f>IF(W111="","","uc(g)")</f>
        <v/>
      </c>
      <c r="Y111" s="120" t="str">
        <f>IF(X111="","","Massa (g)")</f>
        <v/>
      </c>
      <c r="Z111" s="120" t="str">
        <f>IF(Y111="","","ucomb (g)")</f>
        <v/>
      </c>
      <c r="AA111" s="98" t="str">
        <f>IF(W111="","","Fdiluição")</f>
        <v/>
      </c>
      <c r="AB111" s="104"/>
      <c r="AC111" s="104"/>
      <c r="AE111" s="88"/>
      <c r="AF111" s="160"/>
    </row>
    <row r="112" spans="8:32" x14ac:dyDescent="0.2">
      <c r="H112" s="115" t="str">
        <f>IF(I111="","","Frasco")</f>
        <v/>
      </c>
      <c r="I112" s="116" t="str">
        <f>IF('Entrada das massas'!I92="","",IF(AND('Entrada das massas'!I92&lt;=$B$20,'Entrada das massas'!I92&gt;$B$19),'Entrada das massas'!I92-((($C$20-$C$19)*($B$20-'Entrada das massas'!I92)+($B$19*$C$20)-($B$20*$C$20))/($B$19-$B$20)),IF(AND('Entrada das massas'!I92&lt;=$B$19,'Entrada das massas'!I92&gt;$B$18),'Entrada das massas'!I92-((($C$19-$C$18)*($B$19-'Entrada das massas'!I92)+($B$18*$C$19)-($B$19*$C$19))/($B$18-$B$19)),IF(AND('Entrada das massas'!I92&lt;=$B$18,'Entrada das massas'!I92&gt;$B$17),'Entrada das massas'!I92-((($C$18-$C$17)*($B$18-'Entrada das massas'!I92)+($B$17*$C$18)-($B$18*$C$18))/($B$17-$B$18)),IF(AND('Entrada das massas'!I92&lt;=$B$17,'Entrada das massas'!I92&gt;$B$16),'Entrada das massas'!I92-((($C$17-$C$16)*($B$17-'Entrada das massas'!I92)+($B$16*$C$17)-($B$17*$C$17))/($B$16-$B$17)),IF(AND('Entrada das massas'!I92&lt;=$B$16,'Entrada das massas'!I92&gt;$B$15),'Entrada das massas'!I92-((($C$16-$C$15)*($B$16-'Entrada das massas'!I92)+($B$15*$C$16)-($B$16*$C$16))/($B$15-$B$16)),IF(AND('Entrada das massas'!I92&lt;=$B$15,'Entrada das massas'!I92&gt;$B$14),'Entrada das massas'!I92-((($C$15-$C$14)*($B$15-'Entrada das massas'!I92)+($B$14*$C$15)-($B$15*$C$15))/($B$14-$B$15)),IF(AND('Entrada das massas'!I92&lt;=$B$14,'Entrada das massas'!I92&gt;$B$13),'Entrada das massas'!I92-((($C$14-$C$13)*($B$14-'Entrada das massas'!I92)+($B$13*$C$14)-($B$14*$C$14))/($B$13-$B$14)),IF(AND('Entrada das massas'!I92&lt;=$B$13,'Entrada das massas'!I92&gt;$B$12),'Entrada das massas'!I92-((($C$13-$C$12)*($B$13-'Entrada das massas'!I92)+($B$12*$C$13)-($B$13*$C$13))/($B$12-$B$13)),IF(AND('Entrada das massas'!I92&lt;=$B$12,'Entrada das massas'!I92&gt;$B$11),'Entrada das massas'!I92-((($C$12-$C$11)*($B$12-'Entrada das massas'!I92)+($B$11*$C$12)-($B$12*$C$12))/($B$11-$B$12)),IF(AND('Entrada das massas'!I92&lt;=$B$11,'Entrada das massas'!I92&gt;$B$10),'Entrada das massas'!I92-((($C$11-$C$10)*($B$11-'Entrada das massas'!I92)+($B$10*$C$11)-($B$11*$C$11))/($B$10-$B$11)),IF(AND('Entrada das massas'!I92&lt;=$B$10,'Entrada das massas'!I92&gt;$B$9),'Entrada das massas'!I92-((($C$10-$C$9)*($B$10-'Entrada das massas'!I92)+($B$9*$C$10)-($B$10*$C$10))/($B$9-$B$10)),IF(AND('Entrada das massas'!I92&lt;=$B$9,'Entrada das massas'!I92&gt;$B$8),'Entrada das massas'!I92-((($C$9-$C$8)*($B$9-'Entrada das massas'!I92)+($B$8*$C$9)-($B$9*$C$9))/($B$8-$B$9)),IF(AND('Entrada das massas'!I92&lt;=$B$8,'Entrada das massas'!I92&gt;$B$7),'Entrada das massas'!I92-((($C$8-$C$7)*($B$8-'Entrada das massas'!I92)+($B$7*$C$8)-($B$8*$C$8))/($B$7-$B$8)),IF(AND('Entrada das massas'!I92&lt;=$B$7,'Entrada das massas'!I92&gt;$B$6),'Entrada das massas'!I92-((($C$7-$C$6)*($B$7-'Entrada das massas'!I92)+($B$6*$C$7)-($B$7*$C$7))/($B$6-$B$7)),IF(AND('Entrada das massas'!I92&lt;=$B$6,'Entrada das massas'!I92&gt;$B$5),'Entrada das massas'!I92-((($C$6-$C$5)*($B$6-'Entrada das massas'!I92)+($B$5*$C$6)-($B$6*$C$6))/($B$5-$B$6)),IF('Entrada das massas'!I92&lt;=$B$5,'Entrada das massas'!I92-$C$5)))))))))))))))))</f>
        <v/>
      </c>
      <c r="J112" s="117" t="str">
        <f>IF(I112="","",(IF(AND(I112&lt;=$B$20,I112&gt;$B$19),$D$19+($B$19-I112)/($B$19-$B$20)*($D$20-$D$19),IF(AND(I112&lt;=$B$19,I112&gt;$B$18),$D$18+($B$18-I112)/($B$18-$B$19)*($D$19-$D$18),IF(AND(I112&lt;=$B$18,I112&gt;$B$17),$D$17+($B$17-I112)/($B$17-$B$18)*($D$18-$D$17),IF(AND(I112&lt;=$B$17,I112&gt;$B$16),$D$16+($B$16-I112)/($B$16-$B$17)*($D$17-$D$16),IF(AND(I112&lt;=$B$16,I112&gt;$B$15),$D$15+($B$15-I112)/($B$15-$B$16)*($D$16-$D$15),IF(AND(I112&lt;=$B$15,I112&gt;$B$14),$D$14+($B$14-I112)/($B$14-$B$15)*($D$15-$D$14),IF(AND(I112&lt;=$B$14,I112&gt;$B$13),$D$13+($B$13-I112)/($B$13-$B$14)*($D$14-$D$13),IF(AND(I112&lt;=$B$13,I112&gt;$B$12),$D$12+($B$12-I112)/($B$12-$B$13)*($D$13-$D$12),IF(AND(I112&lt;=$B$12,I112&gt;$B$11),$D$11+($B$11-I112)/($B$11-$B$12)*($D$12-$D$11),IF(AND(I112&lt;=$B$11,I112&gt;$B$10),$D$10+($B$10-I112)/($B$10-$B$11)*($D$11-$D$10),IF(AND(I112&lt;=$B$10,I112&gt;$B$9),$D$9+($B$9-I112)/($B$9-$B$10)*($D$10-$D$9),IF(AND(I112&lt;=$B$9,I112&gt;$B$8),$D$8+($B$8-I112)/($B$8-$B$9)*($D$9-$D$8),IF(AND(I112&lt;=$B$8,I112&gt;$B$7),$D$7+($B$7-I112)/($B$7-$B$8)*($D$8-$D$7),IF(AND(I112&lt;=$B$7,I112&gt;$B$6),$D$6+($B$6-I112)/($B$6-$B$7)*($D$7-$D$6),IF(I112&lt;=$B$6,$D$6)))))))))))))))))</f>
        <v/>
      </c>
      <c r="K112" s="117"/>
      <c r="L112" s="117"/>
      <c r="M112" s="118" t="str">
        <f>IFERROR(K114/K113,"")</f>
        <v/>
      </c>
      <c r="N112" s="93"/>
      <c r="O112" s="115" t="str">
        <f>IF(P111="","","Frasco")</f>
        <v/>
      </c>
      <c r="P112" s="95" t="str">
        <f>IF('Entrada das massas'!N92="","",IF(AND('Entrada das massas'!N92&lt;=$B$20,'Entrada das massas'!N92&gt;$B$19),'Entrada das massas'!N92-((($C$20-$C$19)*($B$20-'Entrada das massas'!N92)+($B$19*$C$20)-($B$20*$C$20))/($B$19-$B$20)),IF(AND('Entrada das massas'!N92&lt;=$B$19,'Entrada das massas'!N92&gt;$B$18),'Entrada das massas'!N92-((($C$19-$C$18)*($B$19-'Entrada das massas'!N92)+($B$18*$C$19)-($B$19*$C$19))/($B$18-$B$19)),IF(AND('Entrada das massas'!N92&lt;=$B$18,'Entrada das massas'!N92&gt;$B$17),'Entrada das massas'!N92-((($C$18-$C$17)*($B$18-'Entrada das massas'!N92)+($B$17*$C$18)-($B$18*$C$18))/($B$17-$B$18)),IF(AND('Entrada das massas'!N92&lt;=$B$17,'Entrada das massas'!N92&gt;$B$16),'Entrada das massas'!N92-((($C$17-$C$16)*($B$17-'Entrada das massas'!N92)+($B$16*$C$17)-($B$17*$C$17))/($B$16-$B$17)),IF(AND('Entrada das massas'!N92&lt;=$B$16,'Entrada das massas'!N92&gt;$B$15),'Entrada das massas'!N92-((($C$16-$C$15)*($B$16-'Entrada das massas'!N92)+($B$15*$C$16)-($B$16*$C$16))/($B$15-$B$16)),IF(AND('Entrada das massas'!N92&lt;=$B$15,'Entrada das massas'!N92&gt;$B$14),'Entrada das massas'!N92-((($C$15-$C$14)*($B$15-'Entrada das massas'!N92)+($B$14*$C$15)-($B$15*$C$15))/($B$14-$B$15)),IF(AND('Entrada das massas'!N92&lt;=$B$14,'Entrada das massas'!N92&gt;$B$13),'Entrada das massas'!N92-((($C$14-$C$13)*($B$14-'Entrada das massas'!N92)+($B$13*$C$14)-($B$14*$C$14))/($B$13-$B$14)),IF(AND('Entrada das massas'!N92&lt;=$B$13,'Entrada das massas'!N92&gt;$B$12),'Entrada das massas'!N92-((($C$13-$C$12)*($B$13-'Entrada das massas'!N92)+($B$12*$C$13)-($B$13*$C$13))/($B$12-$B$13)),IF(AND('Entrada das massas'!N92&lt;=$B$12,'Entrada das massas'!N92&gt;$B$11),'Entrada das massas'!N92-((($C$12-$C$11)*($B$12-'Entrada das massas'!N92)+($B$11*$C$12)-($B$12*$C$12))/($B$11-$B$12)),IF(AND('Entrada das massas'!N92&lt;=$B$11,'Entrada das massas'!N92&gt;$B$10),'Entrada das massas'!N92-((($C$11-$C$10)*($B$11-'Entrada das massas'!N92)+($B$10*$C$11)-($B$11*$C$11))/($B$10-$B$11)),IF(AND('Entrada das massas'!N92&lt;=$B$10,'Entrada das massas'!N92&gt;$B$9),'Entrada das massas'!N92-((($C$10-$C$9)*($B$10-'Entrada das massas'!N92)+($B$9*$C$10)-($B$10*$C$10))/($B$9-$B$10)),IF(AND('Entrada das massas'!N92&lt;=$B$9,'Entrada das massas'!N92&gt;$B$8),'Entrada das massas'!N92-((($C$9-$C$8)*($B$9-'Entrada das massas'!N92)+($B$8*$C$9)-($B$9*$C$9))/($B$8-$B$9)),IF(AND('Entrada das massas'!N92&lt;=$B$8,'Entrada das massas'!N92&gt;$B$7),'Entrada das massas'!N92-((($C$8-$C$7)*($B$8-'Entrada das massas'!N92)+($B$7*$C$8)-($B$8*$C$8))/($B$7-$B$8)),IF(AND('Entrada das massas'!N92&lt;=$B$7,'Entrada das massas'!N92&gt;$B$6),'Entrada das massas'!N92-((($C$7-$C$6)*($B$7-'Entrada das massas'!N92)+($B$6*$C$7)-($B$7*$C$7))/($B$6-$B$7)),IF(AND('Entrada das massas'!N92&lt;=$B$6,'Entrada das massas'!N92&gt;$B$5),'Entrada das massas'!N92-((($C$6-$C$5)*($B$6-'Entrada das massas'!N92)+($B$5*$C$6)-($B$6*$C$6))/($B$5-$B$6)),IF('Entrada das massas'!N92&lt;=$B$5,'Entrada das massas'!N92-$C$5)))))))))))))))))</f>
        <v/>
      </c>
      <c r="Q112" s="117" t="str">
        <f>IF(P112="","",(IF(AND(P112&lt;=$B$20,P112&gt;$B$19),$D$19+($B$19-P112)/($B$19-$B$20)*($D$20-$D$19),IF(AND(P112&lt;=$B$19,P112&gt;$B$18),$D$18+($B$18-P112)/($B$18-$B$19)*($D$19-$D$18),IF(AND(P112&lt;=$B$18,P112&gt;$B$17),$D$17+($B$17-P112)/($B$17-$B$18)*($D$18-$D$17),IF(AND(P112&lt;=$B$17,P112&gt;$B$16),$D$16+($B$16-P112)/($B$16-$B$17)*($D$17-$D$16),IF(AND(P112&lt;=$B$16,P112&gt;$B$15),$D$15+($B$15-P112)/($B$15-$B$16)*($D$16-$D$15),IF(AND(P112&lt;=$B$15,P112&gt;$B$14),$D$14+($B$14-P112)/($B$14-$B$15)*($D$15-$D$14),IF(AND(P112&lt;=$B$14,P112&gt;$B$13),$D$13+($B$13-P112)/($B$13-$B$14)*($D$14-$D$13),IF(AND(P112&lt;=$B$13,P112&gt;$B$12),$D$12+($B$12-P112)/($B$12-$B$13)*($D$13-$D$12),IF(AND(P112&lt;=$B$12,P112&gt;$B$11),$D$11+($B$11-P112)/($B$11-$B$12)*($D$12-$D$11),IF(AND(P112&lt;=$B$11,P112&gt;$B$10),$D$10+($B$10-P112)/($B$10-$B$11)*($D$11-$D$10),IF(AND(P112&lt;=$B$10,P112&gt;$B$9),$D$9+($B$9-P112)/($B$9-$B$10)*($D$10-$D$9),IF(AND(P112&lt;=$B$9,P112&gt;$B$8),$D$8+($B$8-P112)/($B$8-$B$9)*($D$9-$D$8),IF(AND(P112&lt;=$B$8,P112&gt;$B$7),$D$7+($B$7-P112)/($B$7-$B$8)*($D$8-$D$7),IF(AND(P112&lt;=$B$7,P112&gt;$B$6),$D$6+($B$6-P112)/($B$6-$B$7)*($D$7-$D$6),IF(P112&lt;=$B$6,$D$6)))))))))))))))))</f>
        <v/>
      </c>
      <c r="R112" s="117"/>
      <c r="S112" s="117"/>
      <c r="T112" s="118" t="str">
        <f>IFERROR(R114/R113,"")</f>
        <v/>
      </c>
      <c r="U112" s="93"/>
      <c r="V112" s="115" t="str">
        <f>IF(W111="","","Frasco")</f>
        <v/>
      </c>
      <c r="W112" s="95" t="str">
        <f>IF('Entrada das massas'!S92="","",IF(AND('Entrada das massas'!S92&lt;=$B$20,'Entrada das massas'!S92&gt;$B$19),'Entrada das massas'!S92-((($C$20-$C$19)*($B$20-'Entrada das massas'!S92)+($B$19*$C$20)-($B$20*$C$20))/($B$19-$B$20)),IF(AND('Entrada das massas'!S92&lt;=$B$19,'Entrada das massas'!S92&gt;$B$18),'Entrada das massas'!S92-((($C$19-$C$18)*($B$19-'Entrada das massas'!S92)+($B$18*$C$19)-($B$19*$C$19))/($B$18-$B$19)),IF(AND('Entrada das massas'!S92&lt;=$B$18,'Entrada das massas'!S92&gt;$B$17),'Entrada das massas'!S92-((($C$18-$C$17)*($B$18-'Entrada das massas'!S92)+($B$17*$C$18)-($B$18*$C$18))/($B$17-$B$18)),IF(AND('Entrada das massas'!S92&lt;=$B$17,'Entrada das massas'!S92&gt;$B$16),'Entrada das massas'!S92-((($C$17-$C$16)*($B$17-'Entrada das massas'!S92)+($B$16*$C$17)-($B$17*$C$17))/($B$16-$B$17)),IF(AND('Entrada das massas'!S92&lt;=$B$16,'Entrada das massas'!S92&gt;$B$15),'Entrada das massas'!S92-((($C$16-$C$15)*($B$16-'Entrada das massas'!S92)+($B$15*$C$16)-($B$16*$C$16))/($B$15-$B$16)),IF(AND('Entrada das massas'!S92&lt;=$B$15,'Entrada das massas'!S92&gt;$B$14),'Entrada das massas'!S92-((($C$15-$C$14)*($B$15-'Entrada das massas'!S92)+($B$14*$C$15)-($B$15*$C$15))/($B$14-$B$15)),IF(AND('Entrada das massas'!S92&lt;=$B$14,'Entrada das massas'!S92&gt;$B$13),'Entrada das massas'!S92-((($C$14-$C$13)*($B$14-'Entrada das massas'!S92)+($B$13*$C$14)-($B$14*$C$14))/($B$13-$B$14)),IF(AND('Entrada das massas'!S92&lt;=$B$13,'Entrada das massas'!S92&gt;$B$12),'Entrada das massas'!S92-((($C$13-$C$12)*($B$13-'Entrada das massas'!S92)+($B$12*$C$13)-($B$13*$C$13))/($B$12-$B$13)),IF(AND('Entrada das massas'!S92&lt;=$B$12,'Entrada das massas'!S92&gt;$B$11),'Entrada das massas'!S92-((($C$12-$C$11)*($B$12-'Entrada das massas'!S92)+($B$11*$C$12)-($B$12*$C$12))/($B$11-$B$12)),IF(AND('Entrada das massas'!S92&lt;=$B$11,'Entrada das massas'!S92&gt;$B$10),'Entrada das massas'!S92-((($C$11-$C$10)*($B$11-'Entrada das massas'!S92)+($B$10*$C$11)-($B$11*$C$11))/($B$10-$B$11)),IF(AND('Entrada das massas'!S92&lt;=$B$10,'Entrada das massas'!S92&gt;$B$9),'Entrada das massas'!S92-((($C$10-$C$9)*($B$10-'Entrada das massas'!S92)+($B$9*$C$10)-($B$10*$C$10))/($B$9-$B$10)),IF(AND('Entrada das massas'!S92&lt;=$B$9,'Entrada das massas'!S92&gt;$B$8),'Entrada das massas'!S92-((($C$9-$C$8)*($B$9-'Entrada das massas'!S92)+($B$8*$C$9)-($B$9*$C$9))/($B$8-$B$9)),IF(AND('Entrada das massas'!S92&lt;=$B$8,'Entrada das massas'!S92&gt;$B$7),'Entrada das massas'!S92-((($C$8-$C$7)*($B$8-'Entrada das massas'!S92)+($B$7*$C$8)-($B$8*$C$8))/($B$7-$B$8)),IF(AND('Entrada das massas'!S92&lt;=$B$7,'Entrada das massas'!S92&gt;$B$6),'Entrada das massas'!S92-((($C$7-$C$6)*($B$7-'Entrada das massas'!S92)+($B$6*$C$7)-($B$7*$C$7))/($B$6-$B$7)),IF(AND('Entrada das massas'!S92&lt;=$B$6,'Entrada das massas'!S92&gt;$B$5),'Entrada das massas'!S92-((($C$6-$C$5)*($B$6-'Entrada das massas'!S92)+($B$5*$C$6)-($B$6*$C$6))/($B$5-$B$6)),IF('Entrada das massas'!S92&lt;=$B$5,'Entrada das massas'!S92-$C$5)))))))))))))))))</f>
        <v/>
      </c>
      <c r="X112" s="117" t="str">
        <f>IF(W112="","",(IF(AND(W112&lt;=$B$20,W112&gt;$B$19),$D$19+($B$19-W112)/($B$19-$B$20)*($D$20-$D$19),IF(AND(W112&lt;=$B$19,W112&gt;$B$18),$D$18+($B$18-W112)/($B$18-$B$19)*($D$19-$D$18),IF(AND(W112&lt;=$B$18,W112&gt;$B$17),$D$17+($B$17-W112)/($B$17-$B$18)*($D$18-$D$17),IF(AND(W112&lt;=$B$17,W112&gt;$B$16),$D$16+($B$16-W112)/($B$16-$B$17)*($D$17-$D$16),IF(AND(W112&lt;=$B$16,W112&gt;$B$15),$D$15+($B$15-W112)/($B$15-$B$16)*($D$16-$D$15),IF(AND(W112&lt;=$B$15,W112&gt;$B$14),$D$14+($B$14-W112)/($B$14-$B$15)*($D$15-$D$14),IF(AND(W112&lt;=$B$14,W112&gt;$B$13),$D$13+($B$13-W112)/($B$13-$B$14)*($D$14-$D$13),IF(AND(W112&lt;=$B$13,W112&gt;$B$12),$D$12+($B$12-W112)/($B$12-$B$13)*($D$13-$D$12),IF(AND(W112&lt;=$B$12,W112&gt;$B$11),$D$11+($B$11-W112)/($B$11-$B$12)*($D$12-$D$11),IF(AND(W112&lt;=$B$11,W112&gt;$B$10),$D$10+($B$10-W112)/($B$10-$B$11)*($D$11-$D$10),IF(AND(W112&lt;=$B$10,W112&gt;$B$9),$D$9+($B$9-W112)/($B$9-$B$10)*($D$10-$D$9),IF(AND(W112&lt;=$B$9,W112&gt;$B$8),$D$8+($B$8-W112)/($B$8-$B$9)*($D$9-$D$8),IF(AND(W112&lt;=$B$8,W112&gt;$B$7),$D$7+($B$7-W112)/($B$7-$B$8)*($D$8-$D$7),IF(AND(W112&lt;=$B$7,W112&gt;$B$6),$D$6+($B$6-W112)/($B$6-$B$7)*($D$7-$D$6),IF(W112&lt;=$B$6,$D$6)))))))))))))))))</f>
        <v/>
      </c>
      <c r="Y112" s="117"/>
      <c r="Z112" s="117"/>
      <c r="AA112" s="118" t="str">
        <f>IFERROR(Y114/Y113,"")</f>
        <v/>
      </c>
      <c r="AB112" s="104"/>
      <c r="AC112" s="104"/>
      <c r="AE112" s="88"/>
      <c r="AF112" s="160"/>
    </row>
    <row r="113" spans="8:32" x14ac:dyDescent="0.2">
      <c r="H113" s="115" t="str">
        <f>IF(I111="","","Frasco + Amostra")</f>
        <v/>
      </c>
      <c r="I113" s="116" t="str">
        <f>IF('Entrada das massas'!I93="","",IF(AND('Entrada das massas'!I93&lt;=$B$20,'Entrada das massas'!I93&gt;$B$19),'Entrada das massas'!I93-((($C$20-$C$19)*($B$20-'Entrada das massas'!I93)+($B$19*$C$20)-($B$20*$C$20))/($B$19-$B$20)),IF(AND('Entrada das massas'!I93&lt;=$B$19,'Entrada das massas'!I93&gt;$B$18),'Entrada das massas'!I93-((($C$19-$C$18)*($B$19-'Entrada das massas'!I93)+($B$18*$C$19)-($B$19*$C$19))/($B$18-$B$19)),IF(AND('Entrada das massas'!I93&lt;=$B$18,'Entrada das massas'!I93&gt;$B$17),'Entrada das massas'!I93-((($C$18-$C$17)*($B$18-'Entrada das massas'!I93)+($B$17*$C$18)-($B$18*$C$18))/($B$17-$B$18)),IF(AND('Entrada das massas'!I93&lt;=$B$17,'Entrada das massas'!I93&gt;$B$16),'Entrada das massas'!I93-((($C$17-$C$16)*($B$17-'Entrada das massas'!I93)+($B$16*$C$17)-($B$17*$C$17))/($B$16-$B$17)),IF(AND('Entrada das massas'!I93&lt;=$B$16,'Entrada das massas'!I93&gt;$B$15),'Entrada das massas'!I93-((($C$16-$C$15)*($B$16-'Entrada das massas'!I93)+($B$15*$C$16)-($B$16*$C$16))/($B$15-$B$16)),IF(AND('Entrada das massas'!I93&lt;=$B$15,'Entrada das massas'!I93&gt;$B$14),'Entrada das massas'!I93-((($C$15-$C$14)*($B$15-'Entrada das massas'!I93)+($B$14*$C$15)-($B$15*$C$15))/($B$14-$B$15)),IF(AND('Entrada das massas'!I93&lt;=$B$14,'Entrada das massas'!I93&gt;$B$13),'Entrada das massas'!I93-((($C$14-$C$13)*($B$14-'Entrada das massas'!I93)+($B$13*$C$14)-($B$14*$C$14))/($B$13-$B$14)),IF(AND('Entrada das massas'!I93&lt;=$B$13,'Entrada das massas'!I93&gt;$B$12),'Entrada das massas'!I93-((($C$13-$C$12)*($B$13-'Entrada das massas'!I93)+($B$12*$C$13)-($B$13*$C$13))/($B$12-$B$13)),IF(AND('Entrada das massas'!I93&lt;=$B$12,'Entrada das massas'!I93&gt;$B$11),'Entrada das massas'!I93-((($C$12-$C$11)*($B$12-'Entrada das massas'!I93)+($B$11*$C$12)-($B$12*$C$12))/($B$11-$B$12)),IF(AND('Entrada das massas'!I93&lt;=$B$11,'Entrada das massas'!I93&gt;$B$10),'Entrada das massas'!I93-((($C$11-$C$10)*($B$11-'Entrada das massas'!I93)+($B$10*$C$11)-($B$11*$C$11))/($B$10-$B$11)),IF(AND('Entrada das massas'!I93&lt;=$B$10,'Entrada das massas'!I93&gt;$B$9),'Entrada das massas'!I93-((($C$10-$C$9)*($B$10-'Entrada das massas'!I93)+($B$9*$C$10)-($B$10*$C$10))/($B$9-$B$10)),IF(AND('Entrada das massas'!I93&lt;=$B$9,'Entrada das massas'!I93&gt;$B$8),'Entrada das massas'!I93-((($C$9-$C$8)*($B$9-'Entrada das massas'!I93)+($B$8*$C$9)-($B$9*$C$9))/($B$8-$B$9)),IF(AND('Entrada das massas'!I93&lt;=$B$8,'Entrada das massas'!I93&gt;$B$7),'Entrada das massas'!I93-((($C$8-$C$7)*($B$8-'Entrada das massas'!I93)+($B$7*$C$8)-($B$8*$C$8))/($B$7-$B$8)),IF(AND('Entrada das massas'!I93&lt;=$B$7,'Entrada das massas'!I93&gt;$B$6),'Entrada das massas'!I93-((($C$7-$C$6)*($B$7-'Entrada das massas'!I93)+($B$6*$C$7)-($B$7*$C$7))/($B$6-$B$7)),IF(AND('Entrada das massas'!I93&lt;=$B$6,'Entrada das massas'!I93&gt;$B$5),'Entrada das massas'!I93-((($C$6-$C$5)*($B$6-'Entrada das massas'!I93)+($B$5*$C$6)-($B$6*$C$6))/($B$5-$B$6)),IF('Entrada das massas'!I93&lt;=$B$5,'Entrada das massas'!I93-$C$5)))))))))))))))))</f>
        <v/>
      </c>
      <c r="J113" s="117" t="str">
        <f t="shared" ref="J113:J114" si="54">IF(I113="","",(IF(AND(I113&lt;=$B$20,I113&gt;$B$19),$D$19+($B$19-I113)/($B$19-$B$20)*($D$20-$D$19),IF(AND(I113&lt;=$B$19,I113&gt;$B$18),$D$18+($B$18-I113)/($B$18-$B$19)*($D$19-$D$18),IF(AND(I113&lt;=$B$18,I113&gt;$B$17),$D$17+($B$17-I113)/($B$17-$B$18)*($D$18-$D$17),IF(AND(I113&lt;=$B$17,I113&gt;$B$16),$D$16+($B$16-I113)/($B$16-$B$17)*($D$17-$D$16),IF(AND(I113&lt;=$B$16,I113&gt;$B$15),$D$15+($B$15-I113)/($B$15-$B$16)*($D$16-$D$15),IF(AND(I113&lt;=$B$15,I113&gt;$B$14),$D$14+($B$14-I113)/($B$14-$B$15)*($D$15-$D$14),IF(AND(I113&lt;=$B$14,I113&gt;$B$13),$D$13+($B$13-I113)/($B$13-$B$14)*($D$14-$D$13),IF(AND(I113&lt;=$B$13,I113&gt;$B$12),$D$12+($B$12-I113)/($B$12-$B$13)*($D$13-$D$12),IF(AND(I113&lt;=$B$12,I113&gt;$B$11),$D$11+($B$11-I113)/($B$11-$B$12)*($D$12-$D$11),IF(AND(I113&lt;=$B$11,I113&gt;$B$10),$D$10+($B$10-I113)/($B$10-$B$11)*($D$11-$D$10),IF(AND(I113&lt;=$B$10,I113&gt;$B$9),$D$9+($B$9-I113)/($B$9-$B$10)*($D$10-$D$9),IF(AND(I113&lt;=$B$9,I113&gt;$B$8),$D$8+($B$8-I113)/($B$8-$B$9)*($D$9-$D$8),IF(AND(I113&lt;=$B$8,I113&gt;$B$7),$D$7+($B$7-I113)/($B$7-$B$8)*($D$8-$D$7),IF(AND(I113&lt;=$B$7,I113&gt;$B$6),$D$6+($B$6-I113)/($B$6-$B$7)*($D$7-$D$6),IF(I113&lt;=$B$6,$D$6)))))))))))))))))</f>
        <v/>
      </c>
      <c r="K113" s="120" t="str">
        <f>IF(I112="","",I113-I112)</f>
        <v/>
      </c>
      <c r="L113" s="117" t="str">
        <f>IF(J112="","",SQRT(SUMSQ(J112:J113)))</f>
        <v/>
      </c>
      <c r="M113" s="93" t="str">
        <f>IF(I111="","","Amostra")</f>
        <v/>
      </c>
      <c r="N113" s="118"/>
      <c r="O113" s="115" t="str">
        <f>IF(P111="","","Frasco + Amostra")</f>
        <v/>
      </c>
      <c r="P113" s="95" t="str">
        <f>IF('Entrada das massas'!N93="","",IF(AND('Entrada das massas'!N93&lt;=$B$20,'Entrada das massas'!N93&gt;$B$19),'Entrada das massas'!N93-((($C$20-$C$19)*($B$20-'Entrada das massas'!N93)+($B$19*$C$20)-($B$20*$C$20))/($B$19-$B$20)),IF(AND('Entrada das massas'!N93&lt;=$B$19,'Entrada das massas'!N93&gt;$B$18),'Entrada das massas'!N93-((($C$19-$C$18)*($B$19-'Entrada das massas'!N93)+($B$18*$C$19)-($B$19*$C$19))/($B$18-$B$19)),IF(AND('Entrada das massas'!N93&lt;=$B$18,'Entrada das massas'!N93&gt;$B$17),'Entrada das massas'!N93-((($C$18-$C$17)*($B$18-'Entrada das massas'!N93)+($B$17*$C$18)-($B$18*$C$18))/($B$17-$B$18)),IF(AND('Entrada das massas'!N93&lt;=$B$17,'Entrada das massas'!N93&gt;$B$16),'Entrada das massas'!N93-((($C$17-$C$16)*($B$17-'Entrada das massas'!N93)+($B$16*$C$17)-($B$17*$C$17))/($B$16-$B$17)),IF(AND('Entrada das massas'!N93&lt;=$B$16,'Entrada das massas'!N93&gt;$B$15),'Entrada das massas'!N93-((($C$16-$C$15)*($B$16-'Entrada das massas'!N93)+($B$15*$C$16)-($B$16*$C$16))/($B$15-$B$16)),IF(AND('Entrada das massas'!N93&lt;=$B$15,'Entrada das massas'!N93&gt;$B$14),'Entrada das massas'!N93-((($C$15-$C$14)*($B$15-'Entrada das massas'!N93)+($B$14*$C$15)-($B$15*$C$15))/($B$14-$B$15)),IF(AND('Entrada das massas'!N93&lt;=$B$14,'Entrada das massas'!N93&gt;$B$13),'Entrada das massas'!N93-((($C$14-$C$13)*($B$14-'Entrada das massas'!N93)+($B$13*$C$14)-($B$14*$C$14))/($B$13-$B$14)),IF(AND('Entrada das massas'!N93&lt;=$B$13,'Entrada das massas'!N93&gt;$B$12),'Entrada das massas'!N93-((($C$13-$C$12)*($B$13-'Entrada das massas'!N93)+($B$12*$C$13)-($B$13*$C$13))/($B$12-$B$13)),IF(AND('Entrada das massas'!N93&lt;=$B$12,'Entrada das massas'!N93&gt;$B$11),'Entrada das massas'!N93-((($C$12-$C$11)*($B$12-'Entrada das massas'!N93)+($B$11*$C$12)-($B$12*$C$12))/($B$11-$B$12)),IF(AND('Entrada das massas'!N93&lt;=$B$11,'Entrada das massas'!N93&gt;$B$10),'Entrada das massas'!N93-((($C$11-$C$10)*($B$11-'Entrada das massas'!N93)+($B$10*$C$11)-($B$11*$C$11))/($B$10-$B$11)),IF(AND('Entrada das massas'!N93&lt;=$B$10,'Entrada das massas'!N93&gt;$B$9),'Entrada das massas'!N93-((($C$10-$C$9)*($B$10-'Entrada das massas'!N93)+($B$9*$C$10)-($B$10*$C$10))/($B$9-$B$10)),IF(AND('Entrada das massas'!N93&lt;=$B$9,'Entrada das massas'!N93&gt;$B$8),'Entrada das massas'!N93-((($C$9-$C$8)*($B$9-'Entrada das massas'!N93)+($B$8*$C$9)-($B$9*$C$9))/($B$8-$B$9)),IF(AND('Entrada das massas'!N93&lt;=$B$8,'Entrada das massas'!N93&gt;$B$7),'Entrada das massas'!N93-((($C$8-$C$7)*($B$8-'Entrada das massas'!N93)+($B$7*$C$8)-($B$8*$C$8))/($B$7-$B$8)),IF(AND('Entrada das massas'!N93&lt;=$B$7,'Entrada das massas'!N93&gt;$B$6),'Entrada das massas'!N93-((($C$7-$C$6)*($B$7-'Entrada das massas'!N93)+($B$6*$C$7)-($B$7*$C$7))/($B$6-$B$7)),IF(AND('Entrada das massas'!N93&lt;=$B$6,'Entrada das massas'!N93&gt;$B$5),'Entrada das massas'!N93-((($C$6-$C$5)*($B$6-'Entrada das massas'!N93)+($B$5*$C$6)-($B$6*$C$6))/($B$5-$B$6)),IF('Entrada das massas'!N93&lt;=$B$5,'Entrada das massas'!N93-$C$5)))))))))))))))))</f>
        <v/>
      </c>
      <c r="Q113" s="117" t="str">
        <f t="shared" ref="Q113:Q114" si="55">IF(P113="","",(IF(AND(P113&lt;=$B$20,P113&gt;$B$19),$D$19+($B$19-P113)/($B$19-$B$20)*($D$20-$D$19),IF(AND(P113&lt;=$B$19,P113&gt;$B$18),$D$18+($B$18-P113)/($B$18-$B$19)*($D$19-$D$18),IF(AND(P113&lt;=$B$18,P113&gt;$B$17),$D$17+($B$17-P113)/($B$17-$B$18)*($D$18-$D$17),IF(AND(P113&lt;=$B$17,P113&gt;$B$16),$D$16+($B$16-P113)/($B$16-$B$17)*($D$17-$D$16),IF(AND(P113&lt;=$B$16,P113&gt;$B$15),$D$15+($B$15-P113)/($B$15-$B$16)*($D$16-$D$15),IF(AND(P113&lt;=$B$15,P113&gt;$B$14),$D$14+($B$14-P113)/($B$14-$B$15)*($D$15-$D$14),IF(AND(P113&lt;=$B$14,P113&gt;$B$13),$D$13+($B$13-P113)/($B$13-$B$14)*($D$14-$D$13),IF(AND(P113&lt;=$B$13,P113&gt;$B$12),$D$12+($B$12-P113)/($B$12-$B$13)*($D$13-$D$12),IF(AND(P113&lt;=$B$12,P113&gt;$B$11),$D$11+($B$11-P113)/($B$11-$B$12)*($D$12-$D$11),IF(AND(P113&lt;=$B$11,P113&gt;$B$10),$D$10+($B$10-P113)/($B$10-$B$11)*($D$11-$D$10),IF(AND(P113&lt;=$B$10,P113&gt;$B$9),$D$9+($B$9-P113)/($B$9-$B$10)*($D$10-$D$9),IF(AND(P113&lt;=$B$9,P113&gt;$B$8),$D$8+($B$8-P113)/($B$8-$B$9)*($D$9-$D$8),IF(AND(P113&lt;=$B$8,P113&gt;$B$7),$D$7+($B$7-P113)/($B$7-$B$8)*($D$8-$D$7),IF(AND(P113&lt;=$B$7,P113&gt;$B$6),$D$6+($B$6-P113)/($B$6-$B$7)*($D$7-$D$6),IF(P113&lt;=$B$6,$D$6)))))))))))))))))</f>
        <v/>
      </c>
      <c r="R113" s="120" t="str">
        <f>IF(P112="","",P113-P112)</f>
        <v/>
      </c>
      <c r="S113" s="117" t="str">
        <f>IF(Q112="","",SQRT(SUMSQ(Q112:Q113)))</f>
        <v/>
      </c>
      <c r="T113" s="93" t="str">
        <f>IF(P111="","","Amostra")</f>
        <v/>
      </c>
      <c r="U113" s="118"/>
      <c r="V113" s="115" t="str">
        <f>IF(W111="","","Frasco + Amostra")</f>
        <v/>
      </c>
      <c r="W113" s="95" t="str">
        <f>IF('Entrada das massas'!S93="","",IF(AND('Entrada das massas'!S93&lt;=$B$20,'Entrada das massas'!S93&gt;$B$19),'Entrada das massas'!S93-((($C$20-$C$19)*($B$20-'Entrada das massas'!S93)+($B$19*$C$20)-($B$20*$C$20))/($B$19-$B$20)),IF(AND('Entrada das massas'!S93&lt;=$B$19,'Entrada das massas'!S93&gt;$B$18),'Entrada das massas'!S93-((($C$19-$C$18)*($B$19-'Entrada das massas'!S93)+($B$18*$C$19)-($B$19*$C$19))/($B$18-$B$19)),IF(AND('Entrada das massas'!S93&lt;=$B$18,'Entrada das massas'!S93&gt;$B$17),'Entrada das massas'!S93-((($C$18-$C$17)*($B$18-'Entrada das massas'!S93)+($B$17*$C$18)-($B$18*$C$18))/($B$17-$B$18)),IF(AND('Entrada das massas'!S93&lt;=$B$17,'Entrada das massas'!S93&gt;$B$16),'Entrada das massas'!S93-((($C$17-$C$16)*($B$17-'Entrada das massas'!S93)+($B$16*$C$17)-($B$17*$C$17))/($B$16-$B$17)),IF(AND('Entrada das massas'!S93&lt;=$B$16,'Entrada das massas'!S93&gt;$B$15),'Entrada das massas'!S93-((($C$16-$C$15)*($B$16-'Entrada das massas'!S93)+($B$15*$C$16)-($B$16*$C$16))/($B$15-$B$16)),IF(AND('Entrada das massas'!S93&lt;=$B$15,'Entrada das massas'!S93&gt;$B$14),'Entrada das massas'!S93-((($C$15-$C$14)*($B$15-'Entrada das massas'!S93)+($B$14*$C$15)-($B$15*$C$15))/($B$14-$B$15)),IF(AND('Entrada das massas'!S93&lt;=$B$14,'Entrada das massas'!S93&gt;$B$13),'Entrada das massas'!S93-((($C$14-$C$13)*($B$14-'Entrada das massas'!S93)+($B$13*$C$14)-($B$14*$C$14))/($B$13-$B$14)),IF(AND('Entrada das massas'!S93&lt;=$B$13,'Entrada das massas'!S93&gt;$B$12),'Entrada das massas'!S93-((($C$13-$C$12)*($B$13-'Entrada das massas'!S93)+($B$12*$C$13)-($B$13*$C$13))/($B$12-$B$13)),IF(AND('Entrada das massas'!S93&lt;=$B$12,'Entrada das massas'!S93&gt;$B$11),'Entrada das massas'!S93-((($C$12-$C$11)*($B$12-'Entrada das massas'!S93)+($B$11*$C$12)-($B$12*$C$12))/($B$11-$B$12)),IF(AND('Entrada das massas'!S93&lt;=$B$11,'Entrada das massas'!S93&gt;$B$10),'Entrada das massas'!S93-((($C$11-$C$10)*($B$11-'Entrada das massas'!S93)+($B$10*$C$11)-($B$11*$C$11))/($B$10-$B$11)),IF(AND('Entrada das massas'!S93&lt;=$B$10,'Entrada das massas'!S93&gt;$B$9),'Entrada das massas'!S93-((($C$10-$C$9)*($B$10-'Entrada das massas'!S93)+($B$9*$C$10)-($B$10*$C$10))/($B$9-$B$10)),IF(AND('Entrada das massas'!S93&lt;=$B$9,'Entrada das massas'!S93&gt;$B$8),'Entrada das massas'!S93-((($C$9-$C$8)*($B$9-'Entrada das massas'!S93)+($B$8*$C$9)-($B$9*$C$9))/($B$8-$B$9)),IF(AND('Entrada das massas'!S93&lt;=$B$8,'Entrada das massas'!S93&gt;$B$7),'Entrada das massas'!S93-((($C$8-$C$7)*($B$8-'Entrada das massas'!S93)+($B$7*$C$8)-($B$8*$C$8))/($B$7-$B$8)),IF(AND('Entrada das massas'!S93&lt;=$B$7,'Entrada das massas'!S93&gt;$B$6),'Entrada das massas'!S93-((($C$7-$C$6)*($B$7-'Entrada das massas'!S93)+($B$6*$C$7)-($B$7*$C$7))/($B$6-$B$7)),IF(AND('Entrada das massas'!S93&lt;=$B$6,'Entrada das massas'!S93&gt;$B$5),'Entrada das massas'!S93-((($C$6-$C$5)*($B$6-'Entrada das massas'!S93)+($B$5*$C$6)-($B$6*$C$6))/($B$5-$B$6)),IF('Entrada das massas'!S93&lt;=$B$5,'Entrada das massas'!S93-$C$5)))))))))))))))))</f>
        <v/>
      </c>
      <c r="X113" s="117" t="str">
        <f t="shared" ref="X113:X114" si="56">IF(W113="","",(IF(AND(W113&lt;=$B$20,W113&gt;$B$19),$D$19+($B$19-W113)/($B$19-$B$20)*($D$20-$D$19),IF(AND(W113&lt;=$B$19,W113&gt;$B$18),$D$18+($B$18-W113)/($B$18-$B$19)*($D$19-$D$18),IF(AND(W113&lt;=$B$18,W113&gt;$B$17),$D$17+($B$17-W113)/($B$17-$B$18)*($D$18-$D$17),IF(AND(W113&lt;=$B$17,W113&gt;$B$16),$D$16+($B$16-W113)/($B$16-$B$17)*($D$17-$D$16),IF(AND(W113&lt;=$B$16,W113&gt;$B$15),$D$15+($B$15-W113)/($B$15-$B$16)*($D$16-$D$15),IF(AND(W113&lt;=$B$15,W113&gt;$B$14),$D$14+($B$14-W113)/($B$14-$B$15)*($D$15-$D$14),IF(AND(W113&lt;=$B$14,W113&gt;$B$13),$D$13+($B$13-W113)/($B$13-$B$14)*($D$14-$D$13),IF(AND(W113&lt;=$B$13,W113&gt;$B$12),$D$12+($B$12-W113)/($B$12-$B$13)*($D$13-$D$12),IF(AND(W113&lt;=$B$12,W113&gt;$B$11),$D$11+($B$11-W113)/($B$11-$B$12)*($D$12-$D$11),IF(AND(W113&lt;=$B$11,W113&gt;$B$10),$D$10+($B$10-W113)/($B$10-$B$11)*($D$11-$D$10),IF(AND(W113&lt;=$B$10,W113&gt;$B$9),$D$9+($B$9-W113)/($B$9-$B$10)*($D$10-$D$9),IF(AND(W113&lt;=$B$9,W113&gt;$B$8),$D$8+($B$8-W113)/($B$8-$B$9)*($D$9-$D$8),IF(AND(W113&lt;=$B$8,W113&gt;$B$7),$D$7+($B$7-W113)/($B$7-$B$8)*($D$8-$D$7),IF(AND(W113&lt;=$B$7,W113&gt;$B$6),$D$6+($B$6-W113)/($B$6-$B$7)*($D$7-$D$6),IF(W113&lt;=$B$6,$D$6)))))))))))))))))</f>
        <v/>
      </c>
      <c r="Y113" s="120" t="str">
        <f>IF(W112="","",W113-W112)</f>
        <v/>
      </c>
      <c r="Z113" s="117" t="str">
        <f>IF(X112="","",SQRT(SUMSQ(X112:X113)))</f>
        <v/>
      </c>
      <c r="AA113" s="93" t="str">
        <f>IF(W111="","","Amostra")</f>
        <v/>
      </c>
      <c r="AB113" s="104"/>
      <c r="AC113" s="104"/>
      <c r="AE113" s="88"/>
      <c r="AF113" s="160"/>
    </row>
    <row r="114" spans="8:32" x14ac:dyDescent="0.2">
      <c r="H114" s="123" t="str">
        <f>IF(I111="","","Massa final")</f>
        <v/>
      </c>
      <c r="I114" s="116" t="str">
        <f>IF('Entrada das massas'!I94="","",IF(AND('Entrada das massas'!I94&lt;=$B$20,'Entrada das massas'!I94&gt;$B$19),'Entrada das massas'!I94-((($C$20-$C$19)*($B$20-'Entrada das massas'!I94)+($B$19*$C$20)-($B$20*$C$20))/($B$19-$B$20)),IF(AND('Entrada das massas'!I94&lt;=$B$19,'Entrada das massas'!I94&gt;$B$18),'Entrada das massas'!I94-((($C$19-$C$18)*($B$19-'Entrada das massas'!I94)+($B$18*$C$19)-($B$19*$C$19))/($B$18-$B$19)),IF(AND('Entrada das massas'!I94&lt;=$B$18,'Entrada das massas'!I94&gt;$B$17),'Entrada das massas'!I94-((($C$18-$C$17)*($B$18-'Entrada das massas'!I94)+($B$17*$C$18)-($B$18*$C$18))/($B$17-$B$18)),IF(AND('Entrada das massas'!I94&lt;=$B$17,'Entrada das massas'!I94&gt;$B$16),'Entrada das massas'!I94-((($C$17-$C$16)*($B$17-'Entrada das massas'!I94)+($B$16*$C$17)-($B$17*$C$17))/($B$16-$B$17)),IF(AND('Entrada das massas'!I94&lt;=$B$16,'Entrada das massas'!I94&gt;$B$15),'Entrada das massas'!I94-((($C$16-$C$15)*($B$16-'Entrada das massas'!I94)+($B$15*$C$16)-($B$16*$C$16))/($B$15-$B$16)),IF(AND('Entrada das massas'!I94&lt;=$B$15,'Entrada das massas'!I94&gt;$B$14),'Entrada das massas'!I94-((($C$15-$C$14)*($B$15-'Entrada das massas'!I94)+($B$14*$C$15)-($B$15*$C$15))/($B$14-$B$15)),IF(AND('Entrada das massas'!I94&lt;=$B$14,'Entrada das massas'!I94&gt;$B$13),'Entrada das massas'!I94-((($C$14-$C$13)*($B$14-'Entrada das massas'!I94)+($B$13*$C$14)-($B$14*$C$14))/($B$13-$B$14)),IF(AND('Entrada das massas'!I94&lt;=$B$13,'Entrada das massas'!I94&gt;$B$12),'Entrada das massas'!I94-((($C$13-$C$12)*($B$13-'Entrada das massas'!I94)+($B$12*$C$13)-($B$13*$C$13))/($B$12-$B$13)),IF(AND('Entrada das massas'!I94&lt;=$B$12,'Entrada das massas'!I94&gt;$B$11),'Entrada das massas'!I94-((($C$12-$C$11)*($B$12-'Entrada das massas'!I94)+($B$11*$C$12)-($B$12*$C$12))/($B$11-$B$12)),IF(AND('Entrada das massas'!I94&lt;=$B$11,'Entrada das massas'!I94&gt;$B$10),'Entrada das massas'!I94-((($C$11-$C$10)*($B$11-'Entrada das massas'!I94)+($B$10*$C$11)-($B$11*$C$11))/($B$10-$B$11)),IF(AND('Entrada das massas'!I94&lt;=$B$10,'Entrada das massas'!I94&gt;$B$9),'Entrada das massas'!I94-((($C$10-$C$9)*($B$10-'Entrada das massas'!I94)+($B$9*$C$10)-($B$10*$C$10))/($B$9-$B$10)),IF(AND('Entrada das massas'!I94&lt;=$B$9,'Entrada das massas'!I94&gt;$B$8),'Entrada das massas'!I94-((($C$9-$C$8)*($B$9-'Entrada das massas'!I94)+($B$8*$C$9)-($B$9*$C$9))/($B$8-$B$9)),IF(AND('Entrada das massas'!I94&lt;=$B$8,'Entrada das massas'!I94&gt;$B$7),'Entrada das massas'!I94-((($C$8-$C$7)*($B$8-'Entrada das massas'!I94)+($B$7*$C$8)-($B$8*$C$8))/($B$7-$B$8)),IF(AND('Entrada das massas'!I94&lt;=$B$7,'Entrada das massas'!I94&gt;$B$6),'Entrada das massas'!I94-((($C$7-$C$6)*($B$7-'Entrada das massas'!I94)+($B$6*$C$7)-($B$7*$C$7))/($B$6-$B$7)),IF(AND('Entrada das massas'!I94&lt;=$B$6,'Entrada das massas'!I94&gt;$B$5),'Entrada das massas'!I94-((($C$6-$C$5)*($B$6-'Entrada das massas'!I94)+($B$5*$C$6)-($B$6*$C$6))/($B$5-$B$6)),IF('Entrada das massas'!I94&lt;=$B$5,'Entrada das massas'!I94-$C$5)))))))))))))))))</f>
        <v/>
      </c>
      <c r="J114" s="117" t="str">
        <f t="shared" si="54"/>
        <v/>
      </c>
      <c r="K114" s="120" t="str">
        <f>IF(I112="","",I114-I112)</f>
        <v/>
      </c>
      <c r="L114" s="117" t="str">
        <f>IF(J112="","",SQRT(SUMSQ(J112,J114)))</f>
        <v/>
      </c>
      <c r="M114" s="93" t="str">
        <f>IF(I111="","","Solução")</f>
        <v/>
      </c>
      <c r="N114" s="93"/>
      <c r="O114" s="123" t="str">
        <f>IF(P111="","","Massa final")</f>
        <v/>
      </c>
      <c r="P114" s="95" t="str">
        <f>IF('Entrada das massas'!N94="","",IF(AND('Entrada das massas'!N94&lt;=$B$20,'Entrada das massas'!N94&gt;$B$19),'Entrada das massas'!N94-((($C$20-$C$19)*($B$20-'Entrada das massas'!N94)+($B$19*$C$20)-($B$20*$C$20))/($B$19-$B$20)),IF(AND('Entrada das massas'!N94&lt;=$B$19,'Entrada das massas'!N94&gt;$B$18),'Entrada das massas'!N94-((($C$19-$C$18)*($B$19-'Entrada das massas'!N94)+($B$18*$C$19)-($B$19*$C$19))/($B$18-$B$19)),IF(AND('Entrada das massas'!N94&lt;=$B$18,'Entrada das massas'!N94&gt;$B$17),'Entrada das massas'!N94-((($C$18-$C$17)*($B$18-'Entrada das massas'!N94)+($B$17*$C$18)-($B$18*$C$18))/($B$17-$B$18)),IF(AND('Entrada das massas'!N94&lt;=$B$17,'Entrada das massas'!N94&gt;$B$16),'Entrada das massas'!N94-((($C$17-$C$16)*($B$17-'Entrada das massas'!N94)+($B$16*$C$17)-($B$17*$C$17))/($B$16-$B$17)),IF(AND('Entrada das massas'!N94&lt;=$B$16,'Entrada das massas'!N94&gt;$B$15),'Entrada das massas'!N94-((($C$16-$C$15)*($B$16-'Entrada das massas'!N94)+($B$15*$C$16)-($B$16*$C$16))/($B$15-$B$16)),IF(AND('Entrada das massas'!N94&lt;=$B$15,'Entrada das massas'!N94&gt;$B$14),'Entrada das massas'!N94-((($C$15-$C$14)*($B$15-'Entrada das massas'!N94)+($B$14*$C$15)-($B$15*$C$15))/($B$14-$B$15)),IF(AND('Entrada das massas'!N94&lt;=$B$14,'Entrada das massas'!N94&gt;$B$13),'Entrada das massas'!N94-((($C$14-$C$13)*($B$14-'Entrada das massas'!N94)+($B$13*$C$14)-($B$14*$C$14))/($B$13-$B$14)),IF(AND('Entrada das massas'!N94&lt;=$B$13,'Entrada das massas'!N94&gt;$B$12),'Entrada das massas'!N94-((($C$13-$C$12)*($B$13-'Entrada das massas'!N94)+($B$12*$C$13)-($B$13*$C$13))/($B$12-$B$13)),IF(AND('Entrada das massas'!N94&lt;=$B$12,'Entrada das massas'!N94&gt;$B$11),'Entrada das massas'!N94-((($C$12-$C$11)*($B$12-'Entrada das massas'!N94)+($B$11*$C$12)-($B$12*$C$12))/($B$11-$B$12)),IF(AND('Entrada das massas'!N94&lt;=$B$11,'Entrada das massas'!N94&gt;$B$10),'Entrada das massas'!N94-((($C$11-$C$10)*($B$11-'Entrada das massas'!N94)+($B$10*$C$11)-($B$11*$C$11))/($B$10-$B$11)),IF(AND('Entrada das massas'!N94&lt;=$B$10,'Entrada das massas'!N94&gt;$B$9),'Entrada das massas'!N94-((($C$10-$C$9)*($B$10-'Entrada das massas'!N94)+($B$9*$C$10)-($B$10*$C$10))/($B$9-$B$10)),IF(AND('Entrada das massas'!N94&lt;=$B$9,'Entrada das massas'!N94&gt;$B$8),'Entrada das massas'!N94-((($C$9-$C$8)*($B$9-'Entrada das massas'!N94)+($B$8*$C$9)-($B$9*$C$9))/($B$8-$B$9)),IF(AND('Entrada das massas'!N94&lt;=$B$8,'Entrada das massas'!N94&gt;$B$7),'Entrada das massas'!N94-((($C$8-$C$7)*($B$8-'Entrada das massas'!N94)+($B$7*$C$8)-($B$8*$C$8))/($B$7-$B$8)),IF(AND('Entrada das massas'!N94&lt;=$B$7,'Entrada das massas'!N94&gt;$B$6),'Entrada das massas'!N94-((($C$7-$C$6)*($B$7-'Entrada das massas'!N94)+($B$6*$C$7)-($B$7*$C$7))/($B$6-$B$7)),IF(AND('Entrada das massas'!N94&lt;=$B$6,'Entrada das massas'!N94&gt;$B$5),'Entrada das massas'!N94-((($C$6-$C$5)*($B$6-'Entrada das massas'!N94)+($B$5*$C$6)-($B$6*$C$6))/($B$5-$B$6)),IF('Entrada das massas'!N94&lt;=$B$5,'Entrada das massas'!N94-$C$5)))))))))))))))))</f>
        <v/>
      </c>
      <c r="Q114" s="117" t="str">
        <f t="shared" si="55"/>
        <v/>
      </c>
      <c r="R114" s="120" t="str">
        <f>IF(P112="","",P114-P112)</f>
        <v/>
      </c>
      <c r="S114" s="117" t="str">
        <f>IF(Q112="","",SQRT(SUMSQ(Q112,Q114)))</f>
        <v/>
      </c>
      <c r="T114" s="93" t="str">
        <f>IF(P111="","","Solução")</f>
        <v/>
      </c>
      <c r="U114" s="93"/>
      <c r="V114" s="123" t="str">
        <f>IF(W111="","","Massa final")</f>
        <v/>
      </c>
      <c r="W114" s="95" t="str">
        <f>IF('Entrada das massas'!S94="","",IF(AND('Entrada das massas'!S94&lt;=$B$20,'Entrada das massas'!S94&gt;$B$19),'Entrada das massas'!S94-((($C$20-$C$19)*($B$20-'Entrada das massas'!S94)+($B$19*$C$20)-($B$20*$C$20))/($B$19-$B$20)),IF(AND('Entrada das massas'!S94&lt;=$B$19,'Entrada das massas'!S94&gt;$B$18),'Entrada das massas'!S94-((($C$19-$C$18)*($B$19-'Entrada das massas'!S94)+($B$18*$C$19)-($B$19*$C$19))/($B$18-$B$19)),IF(AND('Entrada das massas'!S94&lt;=$B$18,'Entrada das massas'!S94&gt;$B$17),'Entrada das massas'!S94-((($C$18-$C$17)*($B$18-'Entrada das massas'!S94)+($B$17*$C$18)-($B$18*$C$18))/($B$17-$B$18)),IF(AND('Entrada das massas'!S94&lt;=$B$17,'Entrada das massas'!S94&gt;$B$16),'Entrada das massas'!S94-((($C$17-$C$16)*($B$17-'Entrada das massas'!S94)+($B$16*$C$17)-($B$17*$C$17))/($B$16-$B$17)),IF(AND('Entrada das massas'!S94&lt;=$B$16,'Entrada das massas'!S94&gt;$B$15),'Entrada das massas'!S94-((($C$16-$C$15)*($B$16-'Entrada das massas'!S94)+($B$15*$C$16)-($B$16*$C$16))/($B$15-$B$16)),IF(AND('Entrada das massas'!S94&lt;=$B$15,'Entrada das massas'!S94&gt;$B$14),'Entrada das massas'!S94-((($C$15-$C$14)*($B$15-'Entrada das massas'!S94)+($B$14*$C$15)-($B$15*$C$15))/($B$14-$B$15)),IF(AND('Entrada das massas'!S94&lt;=$B$14,'Entrada das massas'!S94&gt;$B$13),'Entrada das massas'!S94-((($C$14-$C$13)*($B$14-'Entrada das massas'!S94)+($B$13*$C$14)-($B$14*$C$14))/($B$13-$B$14)),IF(AND('Entrada das massas'!S94&lt;=$B$13,'Entrada das massas'!S94&gt;$B$12),'Entrada das massas'!S94-((($C$13-$C$12)*($B$13-'Entrada das massas'!S94)+($B$12*$C$13)-($B$13*$C$13))/($B$12-$B$13)),IF(AND('Entrada das massas'!S94&lt;=$B$12,'Entrada das massas'!S94&gt;$B$11),'Entrada das massas'!S94-((($C$12-$C$11)*($B$12-'Entrada das massas'!S94)+($B$11*$C$12)-($B$12*$C$12))/($B$11-$B$12)),IF(AND('Entrada das massas'!S94&lt;=$B$11,'Entrada das massas'!S94&gt;$B$10),'Entrada das massas'!S94-((($C$11-$C$10)*($B$11-'Entrada das massas'!S94)+($B$10*$C$11)-($B$11*$C$11))/($B$10-$B$11)),IF(AND('Entrada das massas'!S94&lt;=$B$10,'Entrada das massas'!S94&gt;$B$9),'Entrada das massas'!S94-((($C$10-$C$9)*($B$10-'Entrada das massas'!S94)+($B$9*$C$10)-($B$10*$C$10))/($B$9-$B$10)),IF(AND('Entrada das massas'!S94&lt;=$B$9,'Entrada das massas'!S94&gt;$B$8),'Entrada das massas'!S94-((($C$9-$C$8)*($B$9-'Entrada das massas'!S94)+($B$8*$C$9)-($B$9*$C$9))/($B$8-$B$9)),IF(AND('Entrada das massas'!S94&lt;=$B$8,'Entrada das massas'!S94&gt;$B$7),'Entrada das massas'!S94-((($C$8-$C$7)*($B$8-'Entrada das massas'!S94)+($B$7*$C$8)-($B$8*$C$8))/($B$7-$B$8)),IF(AND('Entrada das massas'!S94&lt;=$B$7,'Entrada das massas'!S94&gt;$B$6),'Entrada das massas'!S94-((($C$7-$C$6)*($B$7-'Entrada das massas'!S94)+($B$6*$C$7)-($B$7*$C$7))/($B$6-$B$7)),IF(AND('Entrada das massas'!S94&lt;=$B$6,'Entrada das massas'!S94&gt;$B$5),'Entrada das massas'!S94-((($C$6-$C$5)*($B$6-'Entrada das massas'!S94)+($B$5*$C$6)-($B$6*$C$6))/($B$5-$B$6)),IF('Entrada das massas'!S94&lt;=$B$5,'Entrada das massas'!S94-$C$5)))))))))))))))))</f>
        <v/>
      </c>
      <c r="X114" s="117" t="str">
        <f t="shared" si="56"/>
        <v/>
      </c>
      <c r="Y114" s="120" t="str">
        <f>IF(W112="","",W114-W112)</f>
        <v/>
      </c>
      <c r="Z114" s="117" t="str">
        <f>IF(X112="","",SQRT(SUMSQ(X112,X114)))</f>
        <v/>
      </c>
      <c r="AA114" s="93" t="str">
        <f>IF(W111="","","Solução")</f>
        <v/>
      </c>
      <c r="AB114" s="104"/>
      <c r="AC114" s="104"/>
      <c r="AE114" s="88"/>
      <c r="AF114" s="160"/>
    </row>
    <row r="115" spans="8:32" x14ac:dyDescent="0.2">
      <c r="H115" s="98"/>
      <c r="I115" s="93"/>
      <c r="J115" s="144"/>
      <c r="K115" s="139"/>
      <c r="L115" s="139"/>
      <c r="M115" s="98"/>
      <c r="N115" s="98"/>
      <c r="O115" s="98"/>
      <c r="P115" s="93"/>
      <c r="Q115" s="120"/>
      <c r="R115" s="120"/>
      <c r="S115" s="120"/>
      <c r="T115" s="98"/>
      <c r="U115" s="98"/>
      <c r="V115" s="98"/>
      <c r="W115" s="93"/>
      <c r="X115" s="120"/>
      <c r="Y115" s="120"/>
      <c r="Z115" s="120"/>
      <c r="AA115" s="98"/>
      <c r="AB115" s="104"/>
      <c r="AC115" s="104"/>
      <c r="AE115" s="88"/>
      <c r="AF115" s="160"/>
    </row>
    <row r="116" spans="8:32" x14ac:dyDescent="0.2">
      <c r="H116" s="126" t="str">
        <f>IF(I111="","","Amostra")</f>
        <v/>
      </c>
      <c r="I116" s="127" t="str">
        <f>IF('Entrada das massas'!I96="","",'Entrada das massas'!I96)</f>
        <v/>
      </c>
      <c r="J116" s="120" t="str">
        <f>IF(I116="","","uc(g)")</f>
        <v/>
      </c>
      <c r="K116" s="120" t="str">
        <f>IF(J116="","","Massa (g)")</f>
        <v/>
      </c>
      <c r="L116" s="120" t="str">
        <f>IF(K116="","","ucomb (g)")</f>
        <v/>
      </c>
      <c r="M116" s="98" t="str">
        <f>IF(I116="","","Fdiluição")</f>
        <v/>
      </c>
      <c r="N116" s="98"/>
      <c r="O116" s="126" t="str">
        <f>IF(M117="","","Amostra")</f>
        <v/>
      </c>
      <c r="P116" s="127" t="str">
        <f>IF('Entrada das massas'!N96="","",'Entrada das massas'!N96)</f>
        <v/>
      </c>
      <c r="Q116" s="120" t="str">
        <f>IF(P116="","","uc(g)")</f>
        <v/>
      </c>
      <c r="R116" s="120" t="str">
        <f>IF(Q116="","","Massa (g)")</f>
        <v/>
      </c>
      <c r="S116" s="120" t="str">
        <f>IF(R116="","","ucomb (g)")</f>
        <v/>
      </c>
      <c r="T116" s="98" t="str">
        <f>IF(P116="","","Fdiluição")</f>
        <v/>
      </c>
      <c r="U116" s="98"/>
      <c r="V116" s="126" t="str">
        <f>IF(T117="","","Amostra")</f>
        <v/>
      </c>
      <c r="W116" s="127" t="str">
        <f>IF('Entrada das massas'!S96="","",'Entrada das massas'!S96)</f>
        <v/>
      </c>
      <c r="X116" s="120" t="str">
        <f>IF(W116="","","uc(g)")</f>
        <v/>
      </c>
      <c r="Y116" s="120" t="str">
        <f>IF(X116="","","Massa (g)")</f>
        <v/>
      </c>
      <c r="Z116" s="120" t="str">
        <f>IF(Y116="","","ucomb (g)")</f>
        <v/>
      </c>
      <c r="AA116" s="98" t="str">
        <f>IF(W116="","","Fdiluição")</f>
        <v/>
      </c>
      <c r="AB116" s="104"/>
      <c r="AC116" s="104"/>
      <c r="AE116" s="88"/>
      <c r="AF116" s="160"/>
    </row>
    <row r="117" spans="8:32" x14ac:dyDescent="0.2">
      <c r="H117" s="115" t="str">
        <f>IF(I116="","","Frasco")</f>
        <v/>
      </c>
      <c r="I117" s="116" t="str">
        <f>IF('Entrada das massas'!I97="","",IF(AND('Entrada das massas'!I97&lt;=$B$20,'Entrada das massas'!I97&gt;$B$19),'Entrada das massas'!I97-((($C$20-$C$19)*($B$20-'Entrada das massas'!I97)+($B$19*$C$20)-($B$20*$C$20))/($B$19-$B$20)),IF(AND('Entrada das massas'!I97&lt;=$B$19,'Entrada das massas'!I97&gt;$B$18),'Entrada das massas'!I97-((($C$19-$C$18)*($B$19-'Entrada das massas'!I97)+($B$18*$C$19)-($B$19*$C$19))/($B$18-$B$19)),IF(AND('Entrada das massas'!I97&lt;=$B$18,'Entrada das massas'!I97&gt;$B$17),'Entrada das massas'!I97-((($C$18-$C$17)*($B$18-'Entrada das massas'!I97)+($B$17*$C$18)-($B$18*$C$18))/($B$17-$B$18)),IF(AND('Entrada das massas'!I97&lt;=$B$17,'Entrada das massas'!I97&gt;$B$16),'Entrada das massas'!I97-((($C$17-$C$16)*($B$17-'Entrada das massas'!I97)+($B$16*$C$17)-($B$17*$C$17))/($B$16-$B$17)),IF(AND('Entrada das massas'!I97&lt;=$B$16,'Entrada das massas'!I97&gt;$B$15),'Entrada das massas'!I97-((($C$16-$C$15)*($B$16-'Entrada das massas'!I97)+($B$15*$C$16)-($B$16*$C$16))/($B$15-$B$16)),IF(AND('Entrada das massas'!I97&lt;=$B$15,'Entrada das massas'!I97&gt;$B$14),'Entrada das massas'!I97-((($C$15-$C$14)*($B$15-'Entrada das massas'!I97)+($B$14*$C$15)-($B$15*$C$15))/($B$14-$B$15)),IF(AND('Entrada das massas'!I97&lt;=$B$14,'Entrada das massas'!I97&gt;$B$13),'Entrada das massas'!I97-((($C$14-$C$13)*($B$14-'Entrada das massas'!I97)+($B$13*$C$14)-($B$14*$C$14))/($B$13-$B$14)),IF(AND('Entrada das massas'!I97&lt;=$B$13,'Entrada das massas'!I97&gt;$B$12),'Entrada das massas'!I97-((($C$13-$C$12)*($B$13-'Entrada das massas'!I97)+($B$12*$C$13)-($B$13*$C$13))/($B$12-$B$13)),IF(AND('Entrada das massas'!I97&lt;=$B$12,'Entrada das massas'!I97&gt;$B$11),'Entrada das massas'!I97-((($C$12-$C$11)*($B$12-'Entrada das massas'!I97)+($B$11*$C$12)-($B$12*$C$12))/($B$11-$B$12)),IF(AND('Entrada das massas'!I97&lt;=$B$11,'Entrada das massas'!I97&gt;$B$10),'Entrada das massas'!I97-((($C$11-$C$10)*($B$11-'Entrada das massas'!I97)+($B$10*$C$11)-($B$11*$C$11))/($B$10-$B$11)),IF(AND('Entrada das massas'!I97&lt;=$B$10,'Entrada das massas'!I97&gt;$B$9),'Entrada das massas'!I97-((($C$10-$C$9)*($B$10-'Entrada das massas'!I97)+($B$9*$C$10)-($B$10*$C$10))/($B$9-$B$10)),IF(AND('Entrada das massas'!I97&lt;=$B$9,'Entrada das massas'!I97&gt;$B$8),'Entrada das massas'!I97-((($C$9-$C$8)*($B$9-'Entrada das massas'!I97)+($B$8*$C$9)-($B$9*$C$9))/($B$8-$B$9)),IF(AND('Entrada das massas'!I97&lt;=$B$8,'Entrada das massas'!I97&gt;$B$7),'Entrada das massas'!I97-((($C$8-$C$7)*($B$8-'Entrada das massas'!I97)+($B$7*$C$8)-($B$8*$C$8))/($B$7-$B$8)),IF(AND('Entrada das massas'!I97&lt;=$B$7,'Entrada das massas'!I97&gt;$B$6),'Entrada das massas'!I97-((($C$7-$C$6)*($B$7-'Entrada das massas'!I97)+($B$6*$C$7)-($B$7*$C$7))/($B$6-$B$7)),IF(AND('Entrada das massas'!I97&lt;=$B$6,'Entrada das massas'!I97&gt;$B$5),'Entrada das massas'!I97-((($C$6-$C$5)*($B$6-'Entrada das massas'!I97)+($B$5*$C$6)-($B$6*$C$6))/($B$5-$B$6)),IF('Entrada das massas'!I97&lt;=$B$5,'Entrada das massas'!I97-$C$5)))))))))))))))))</f>
        <v/>
      </c>
      <c r="J117" s="117" t="str">
        <f>IF(I117="","",(IF(AND(I117&lt;=$B$20,I117&gt;$B$19),$D$19+($B$19-I117)/($B$19-$B$20)*($D$20-$D$19),IF(AND(I117&lt;=$B$19,I117&gt;$B$18),$D$18+($B$18-I117)/($B$18-$B$19)*($D$19-$D$18),IF(AND(I117&lt;=$B$18,I117&gt;$B$17),$D$17+($B$17-I117)/($B$17-$B$18)*($D$18-$D$17),IF(AND(I117&lt;=$B$17,I117&gt;$B$16),$D$16+($B$16-I117)/($B$16-$B$17)*($D$17-$D$16),IF(AND(I117&lt;=$B$16,I117&gt;$B$15),$D$15+($B$15-I117)/($B$15-$B$16)*($D$16-$D$15),IF(AND(I117&lt;=$B$15,I117&gt;$B$14),$D$14+($B$14-I117)/($B$14-$B$15)*($D$15-$D$14),IF(AND(I117&lt;=$B$14,I117&gt;$B$13),$D$13+($B$13-I117)/($B$13-$B$14)*($D$14-$D$13),IF(AND(I117&lt;=$B$13,I117&gt;$B$12),$D$12+($B$12-I117)/($B$12-$B$13)*($D$13-$D$12),IF(AND(I117&lt;=$B$12,I117&gt;$B$11),$D$11+($B$11-I117)/($B$11-$B$12)*($D$12-$D$11),IF(AND(I117&lt;=$B$11,I117&gt;$B$10),$D$10+($B$10-I117)/($B$10-$B$11)*($D$11-$D$10),IF(AND(I117&lt;=$B$10,I117&gt;$B$9),$D$9+($B$9-I117)/($B$9-$B$10)*($D$10-$D$9),IF(AND(I117&lt;=$B$9,I117&gt;$B$8),$D$8+($B$8-I117)/($B$8-$B$9)*($D$9-$D$8),IF(AND(I117&lt;=$B$8,I117&gt;$B$7),$D$7+($B$7-I117)/($B$7-$B$8)*($D$8-$D$7),IF(AND(I117&lt;=$B$7,I117&gt;$B$6),$D$6+($B$6-I117)/($B$6-$B$7)*($D$7-$D$6),IF(I117&lt;=$B$6,$D$6)))))))))))))))))</f>
        <v/>
      </c>
      <c r="K117" s="117"/>
      <c r="L117" s="117"/>
      <c r="M117" s="118" t="str">
        <f>IFERROR(K119/K118,"")</f>
        <v/>
      </c>
      <c r="N117" s="93"/>
      <c r="O117" s="115" t="str">
        <f>IF(P116="","","Frasco")</f>
        <v/>
      </c>
      <c r="P117" s="95" t="str">
        <f>IF('Entrada das massas'!N97="","",IF(AND('Entrada das massas'!N97&lt;=$B$20,'Entrada das massas'!N97&gt;$B$19),'Entrada das massas'!N97-((($C$20-$C$19)*($B$20-'Entrada das massas'!N97)+($B$19*$C$20)-($B$20*$C$20))/($B$19-$B$20)),IF(AND('Entrada das massas'!N97&lt;=$B$19,'Entrada das massas'!N97&gt;$B$18),'Entrada das massas'!N97-((($C$19-$C$18)*($B$19-'Entrada das massas'!N97)+($B$18*$C$19)-($B$19*$C$19))/($B$18-$B$19)),IF(AND('Entrada das massas'!N97&lt;=$B$18,'Entrada das massas'!N97&gt;$B$17),'Entrada das massas'!N97-((($C$18-$C$17)*($B$18-'Entrada das massas'!N97)+($B$17*$C$18)-($B$18*$C$18))/($B$17-$B$18)),IF(AND('Entrada das massas'!N97&lt;=$B$17,'Entrada das massas'!N97&gt;$B$16),'Entrada das massas'!N97-((($C$17-$C$16)*($B$17-'Entrada das massas'!N97)+($B$16*$C$17)-($B$17*$C$17))/($B$16-$B$17)),IF(AND('Entrada das massas'!N97&lt;=$B$16,'Entrada das massas'!N97&gt;$B$15),'Entrada das massas'!N97-((($C$16-$C$15)*($B$16-'Entrada das massas'!N97)+($B$15*$C$16)-($B$16*$C$16))/($B$15-$B$16)),IF(AND('Entrada das massas'!N97&lt;=$B$15,'Entrada das massas'!N97&gt;$B$14),'Entrada das massas'!N97-((($C$15-$C$14)*($B$15-'Entrada das massas'!N97)+($B$14*$C$15)-($B$15*$C$15))/($B$14-$B$15)),IF(AND('Entrada das massas'!N97&lt;=$B$14,'Entrada das massas'!N97&gt;$B$13),'Entrada das massas'!N97-((($C$14-$C$13)*($B$14-'Entrada das massas'!N97)+($B$13*$C$14)-($B$14*$C$14))/($B$13-$B$14)),IF(AND('Entrada das massas'!N97&lt;=$B$13,'Entrada das massas'!N97&gt;$B$12),'Entrada das massas'!N97-((($C$13-$C$12)*($B$13-'Entrada das massas'!N97)+($B$12*$C$13)-($B$13*$C$13))/($B$12-$B$13)),IF(AND('Entrada das massas'!N97&lt;=$B$12,'Entrada das massas'!N97&gt;$B$11),'Entrada das massas'!N97-((($C$12-$C$11)*($B$12-'Entrada das massas'!N97)+($B$11*$C$12)-($B$12*$C$12))/($B$11-$B$12)),IF(AND('Entrada das massas'!N97&lt;=$B$11,'Entrada das massas'!N97&gt;$B$10),'Entrada das massas'!N97-((($C$11-$C$10)*($B$11-'Entrada das massas'!N97)+($B$10*$C$11)-($B$11*$C$11))/($B$10-$B$11)),IF(AND('Entrada das massas'!N97&lt;=$B$10,'Entrada das massas'!N97&gt;$B$9),'Entrada das massas'!N97-((($C$10-$C$9)*($B$10-'Entrada das massas'!N97)+($B$9*$C$10)-($B$10*$C$10))/($B$9-$B$10)),IF(AND('Entrada das massas'!N97&lt;=$B$9,'Entrada das massas'!N97&gt;$B$8),'Entrada das massas'!N97-((($C$9-$C$8)*($B$9-'Entrada das massas'!N97)+($B$8*$C$9)-($B$9*$C$9))/($B$8-$B$9)),IF(AND('Entrada das massas'!N97&lt;=$B$8,'Entrada das massas'!N97&gt;$B$7),'Entrada das massas'!N97-((($C$8-$C$7)*($B$8-'Entrada das massas'!N97)+($B$7*$C$8)-($B$8*$C$8))/($B$7-$B$8)),IF(AND('Entrada das massas'!N97&lt;=$B$7,'Entrada das massas'!N97&gt;$B$6),'Entrada das massas'!N97-((($C$7-$C$6)*($B$7-'Entrada das massas'!N97)+($B$6*$C$7)-($B$7*$C$7))/($B$6-$B$7)),IF(AND('Entrada das massas'!N97&lt;=$B$6,'Entrada das massas'!N97&gt;$B$5),'Entrada das massas'!N97-((($C$6-$C$5)*($B$6-'Entrada das massas'!N97)+($B$5*$C$6)-($B$6*$C$6))/($B$5-$B$6)),IF('Entrada das massas'!N97&lt;=$B$5,'Entrada das massas'!N97-$C$5)))))))))))))))))</f>
        <v/>
      </c>
      <c r="Q117" s="117" t="str">
        <f>IF(P117="","",(IF(AND(P117&lt;=$B$20,P117&gt;$B$19),$D$19+($B$19-P117)/($B$19-$B$20)*($D$20-$D$19),IF(AND(P117&lt;=$B$19,P117&gt;$B$18),$D$18+($B$18-P117)/($B$18-$B$19)*($D$19-$D$18),IF(AND(P117&lt;=$B$18,P117&gt;$B$17),$D$17+($B$17-P117)/($B$17-$B$18)*($D$18-$D$17),IF(AND(P117&lt;=$B$17,P117&gt;$B$16),$D$16+($B$16-P117)/($B$16-$B$17)*($D$17-$D$16),IF(AND(P117&lt;=$B$16,P117&gt;$B$15),$D$15+($B$15-P117)/($B$15-$B$16)*($D$16-$D$15),IF(AND(P117&lt;=$B$15,P117&gt;$B$14),$D$14+($B$14-P117)/($B$14-$B$15)*($D$15-$D$14),IF(AND(P117&lt;=$B$14,P117&gt;$B$13),$D$13+($B$13-P117)/($B$13-$B$14)*($D$14-$D$13),IF(AND(P117&lt;=$B$13,P117&gt;$B$12),$D$12+($B$12-P117)/($B$12-$B$13)*($D$13-$D$12),IF(AND(P117&lt;=$B$12,P117&gt;$B$11),$D$11+($B$11-P117)/($B$11-$B$12)*($D$12-$D$11),IF(AND(P117&lt;=$B$11,P117&gt;$B$10),$D$10+($B$10-P117)/($B$10-$B$11)*($D$11-$D$10),IF(AND(P117&lt;=$B$10,P117&gt;$B$9),$D$9+($B$9-P117)/($B$9-$B$10)*($D$10-$D$9),IF(AND(P117&lt;=$B$9,P117&gt;$B$8),$D$8+($B$8-P117)/($B$8-$B$9)*($D$9-$D$8),IF(AND(P117&lt;=$B$8,P117&gt;$B$7),$D$7+($B$7-P117)/($B$7-$B$8)*($D$8-$D$7),IF(AND(P117&lt;=$B$7,P117&gt;$B$6),$D$6+($B$6-P117)/($B$6-$B$7)*($D$7-$D$6),IF(P117&lt;=$B$6,$D$6)))))))))))))))))</f>
        <v/>
      </c>
      <c r="R117" s="117"/>
      <c r="S117" s="117"/>
      <c r="T117" s="118" t="str">
        <f>IFERROR(R119/R118,"")</f>
        <v/>
      </c>
      <c r="U117" s="93"/>
      <c r="V117" s="115" t="str">
        <f>IF(W116="","","Frasco")</f>
        <v/>
      </c>
      <c r="W117" s="95" t="str">
        <f>IF('Entrada das massas'!S97="","",IF(AND('Entrada das massas'!S97&lt;=$B$20,'Entrada das massas'!S97&gt;$B$19),'Entrada das massas'!S97-((($C$20-$C$19)*($B$20-'Entrada das massas'!S97)+($B$19*$C$20)-($B$20*$C$20))/($B$19-$B$20)),IF(AND('Entrada das massas'!S97&lt;=$B$19,'Entrada das massas'!S97&gt;$B$18),'Entrada das massas'!S97-((($C$19-$C$18)*($B$19-'Entrada das massas'!S97)+($B$18*$C$19)-($B$19*$C$19))/($B$18-$B$19)),IF(AND('Entrada das massas'!S97&lt;=$B$18,'Entrada das massas'!S97&gt;$B$17),'Entrada das massas'!S97-((($C$18-$C$17)*($B$18-'Entrada das massas'!S97)+($B$17*$C$18)-($B$18*$C$18))/($B$17-$B$18)),IF(AND('Entrada das massas'!S97&lt;=$B$17,'Entrada das massas'!S97&gt;$B$16),'Entrada das massas'!S97-((($C$17-$C$16)*($B$17-'Entrada das massas'!S97)+($B$16*$C$17)-($B$17*$C$17))/($B$16-$B$17)),IF(AND('Entrada das massas'!S97&lt;=$B$16,'Entrada das massas'!S97&gt;$B$15),'Entrada das massas'!S97-((($C$16-$C$15)*($B$16-'Entrada das massas'!S97)+($B$15*$C$16)-($B$16*$C$16))/($B$15-$B$16)),IF(AND('Entrada das massas'!S97&lt;=$B$15,'Entrada das massas'!S97&gt;$B$14),'Entrada das massas'!S97-((($C$15-$C$14)*($B$15-'Entrada das massas'!S97)+($B$14*$C$15)-($B$15*$C$15))/($B$14-$B$15)),IF(AND('Entrada das massas'!S97&lt;=$B$14,'Entrada das massas'!S97&gt;$B$13),'Entrada das massas'!S97-((($C$14-$C$13)*($B$14-'Entrada das massas'!S97)+($B$13*$C$14)-($B$14*$C$14))/($B$13-$B$14)),IF(AND('Entrada das massas'!S97&lt;=$B$13,'Entrada das massas'!S97&gt;$B$12),'Entrada das massas'!S97-((($C$13-$C$12)*($B$13-'Entrada das massas'!S97)+($B$12*$C$13)-($B$13*$C$13))/($B$12-$B$13)),IF(AND('Entrada das massas'!S97&lt;=$B$12,'Entrada das massas'!S97&gt;$B$11),'Entrada das massas'!S97-((($C$12-$C$11)*($B$12-'Entrada das massas'!S97)+($B$11*$C$12)-($B$12*$C$12))/($B$11-$B$12)),IF(AND('Entrada das massas'!S97&lt;=$B$11,'Entrada das massas'!S97&gt;$B$10),'Entrada das massas'!S97-((($C$11-$C$10)*($B$11-'Entrada das massas'!S97)+($B$10*$C$11)-($B$11*$C$11))/($B$10-$B$11)),IF(AND('Entrada das massas'!S97&lt;=$B$10,'Entrada das massas'!S97&gt;$B$9),'Entrada das massas'!S97-((($C$10-$C$9)*($B$10-'Entrada das massas'!S97)+($B$9*$C$10)-($B$10*$C$10))/($B$9-$B$10)),IF(AND('Entrada das massas'!S97&lt;=$B$9,'Entrada das massas'!S97&gt;$B$8),'Entrada das massas'!S97-((($C$9-$C$8)*($B$9-'Entrada das massas'!S97)+($B$8*$C$9)-($B$9*$C$9))/($B$8-$B$9)),IF(AND('Entrada das massas'!S97&lt;=$B$8,'Entrada das massas'!S97&gt;$B$7),'Entrada das massas'!S97-((($C$8-$C$7)*($B$8-'Entrada das massas'!S97)+($B$7*$C$8)-($B$8*$C$8))/($B$7-$B$8)),IF(AND('Entrada das massas'!S97&lt;=$B$7,'Entrada das massas'!S97&gt;$B$6),'Entrada das massas'!S97-((($C$7-$C$6)*($B$7-'Entrada das massas'!S97)+($B$6*$C$7)-($B$7*$C$7))/($B$6-$B$7)),IF(AND('Entrada das massas'!S97&lt;=$B$6,'Entrada das massas'!S97&gt;$B$5),'Entrada das massas'!S97-((($C$6-$C$5)*($B$6-'Entrada das massas'!S97)+($B$5*$C$6)-($B$6*$C$6))/($B$5-$B$6)),IF('Entrada das massas'!S97&lt;=$B$5,'Entrada das massas'!S97-$C$5)))))))))))))))))</f>
        <v/>
      </c>
      <c r="X117" s="117" t="str">
        <f>IF(W117="","",(IF(AND(W117&lt;=$B$20,W117&gt;$B$19),$D$19+($B$19-W117)/($B$19-$B$20)*($D$20-$D$19),IF(AND(W117&lt;=$B$19,W117&gt;$B$18),$D$18+($B$18-W117)/($B$18-$B$19)*($D$19-$D$18),IF(AND(W117&lt;=$B$18,W117&gt;$B$17),$D$17+($B$17-W117)/($B$17-$B$18)*($D$18-$D$17),IF(AND(W117&lt;=$B$17,W117&gt;$B$16),$D$16+($B$16-W117)/($B$16-$B$17)*($D$17-$D$16),IF(AND(W117&lt;=$B$16,W117&gt;$B$15),$D$15+($B$15-W117)/($B$15-$B$16)*($D$16-$D$15),IF(AND(W117&lt;=$B$15,W117&gt;$B$14),$D$14+($B$14-W117)/($B$14-$B$15)*($D$15-$D$14),IF(AND(W117&lt;=$B$14,W117&gt;$B$13),$D$13+($B$13-W117)/($B$13-$B$14)*($D$14-$D$13),IF(AND(W117&lt;=$B$13,W117&gt;$B$12),$D$12+($B$12-W117)/($B$12-$B$13)*($D$13-$D$12),IF(AND(W117&lt;=$B$12,W117&gt;$B$11),$D$11+($B$11-W117)/($B$11-$B$12)*($D$12-$D$11),IF(AND(W117&lt;=$B$11,W117&gt;$B$10),$D$10+($B$10-W117)/($B$10-$B$11)*($D$11-$D$10),IF(AND(W117&lt;=$B$10,W117&gt;$B$9),$D$9+($B$9-W117)/($B$9-$B$10)*($D$10-$D$9),IF(AND(W117&lt;=$B$9,W117&gt;$B$8),$D$8+($B$8-W117)/($B$8-$B$9)*($D$9-$D$8),IF(AND(W117&lt;=$B$8,W117&gt;$B$7),$D$7+($B$7-W117)/($B$7-$B$8)*($D$8-$D$7),IF(AND(W117&lt;=$B$7,W117&gt;$B$6),$D$6+($B$6-W117)/($B$6-$B$7)*($D$7-$D$6),IF(W117&lt;=$B$6,$D$6)))))))))))))))))</f>
        <v/>
      </c>
      <c r="Y117" s="117"/>
      <c r="Z117" s="117"/>
      <c r="AA117" s="118" t="str">
        <f>IFERROR(Y119/Y118,"")</f>
        <v/>
      </c>
      <c r="AB117" s="104"/>
      <c r="AC117" s="104"/>
      <c r="AE117" s="88"/>
      <c r="AF117" s="160"/>
    </row>
    <row r="118" spans="8:32" x14ac:dyDescent="0.2">
      <c r="H118" s="115" t="str">
        <f>IF(I116="","","Frasco + Amostra")</f>
        <v/>
      </c>
      <c r="I118" s="116" t="str">
        <f>IF('Entrada das massas'!I98="","",IF(AND('Entrada das massas'!I98&lt;=$B$20,'Entrada das massas'!I98&gt;$B$19),'Entrada das massas'!I98-((($C$20-$C$19)*($B$20-'Entrada das massas'!I98)+($B$19*$C$20)-($B$20*$C$20))/($B$19-$B$20)),IF(AND('Entrada das massas'!I98&lt;=$B$19,'Entrada das massas'!I98&gt;$B$18),'Entrada das massas'!I98-((($C$19-$C$18)*($B$19-'Entrada das massas'!I98)+($B$18*$C$19)-($B$19*$C$19))/($B$18-$B$19)),IF(AND('Entrada das massas'!I98&lt;=$B$18,'Entrada das massas'!I98&gt;$B$17),'Entrada das massas'!I98-((($C$18-$C$17)*($B$18-'Entrada das massas'!I98)+($B$17*$C$18)-($B$18*$C$18))/($B$17-$B$18)),IF(AND('Entrada das massas'!I98&lt;=$B$17,'Entrada das massas'!I98&gt;$B$16),'Entrada das massas'!I98-((($C$17-$C$16)*($B$17-'Entrada das massas'!I98)+($B$16*$C$17)-($B$17*$C$17))/($B$16-$B$17)),IF(AND('Entrada das massas'!I98&lt;=$B$16,'Entrada das massas'!I98&gt;$B$15),'Entrada das massas'!I98-((($C$16-$C$15)*($B$16-'Entrada das massas'!I98)+($B$15*$C$16)-($B$16*$C$16))/($B$15-$B$16)),IF(AND('Entrada das massas'!I98&lt;=$B$15,'Entrada das massas'!I98&gt;$B$14),'Entrada das massas'!I98-((($C$15-$C$14)*($B$15-'Entrada das massas'!I98)+($B$14*$C$15)-($B$15*$C$15))/($B$14-$B$15)),IF(AND('Entrada das massas'!I98&lt;=$B$14,'Entrada das massas'!I98&gt;$B$13),'Entrada das massas'!I98-((($C$14-$C$13)*($B$14-'Entrada das massas'!I98)+($B$13*$C$14)-($B$14*$C$14))/($B$13-$B$14)),IF(AND('Entrada das massas'!I98&lt;=$B$13,'Entrada das massas'!I98&gt;$B$12),'Entrada das massas'!I98-((($C$13-$C$12)*($B$13-'Entrada das massas'!I98)+($B$12*$C$13)-($B$13*$C$13))/($B$12-$B$13)),IF(AND('Entrada das massas'!I98&lt;=$B$12,'Entrada das massas'!I98&gt;$B$11),'Entrada das massas'!I98-((($C$12-$C$11)*($B$12-'Entrada das massas'!I98)+($B$11*$C$12)-($B$12*$C$12))/($B$11-$B$12)),IF(AND('Entrada das massas'!I98&lt;=$B$11,'Entrada das massas'!I98&gt;$B$10),'Entrada das massas'!I98-((($C$11-$C$10)*($B$11-'Entrada das massas'!I98)+($B$10*$C$11)-($B$11*$C$11))/($B$10-$B$11)),IF(AND('Entrada das massas'!I98&lt;=$B$10,'Entrada das massas'!I98&gt;$B$9),'Entrada das massas'!I98-((($C$10-$C$9)*($B$10-'Entrada das massas'!I98)+($B$9*$C$10)-($B$10*$C$10))/($B$9-$B$10)),IF(AND('Entrada das massas'!I98&lt;=$B$9,'Entrada das massas'!I98&gt;$B$8),'Entrada das massas'!I98-((($C$9-$C$8)*($B$9-'Entrada das massas'!I98)+($B$8*$C$9)-($B$9*$C$9))/($B$8-$B$9)),IF(AND('Entrada das massas'!I98&lt;=$B$8,'Entrada das massas'!I98&gt;$B$7),'Entrada das massas'!I98-((($C$8-$C$7)*($B$8-'Entrada das massas'!I98)+($B$7*$C$8)-($B$8*$C$8))/($B$7-$B$8)),IF(AND('Entrada das massas'!I98&lt;=$B$7,'Entrada das massas'!I98&gt;$B$6),'Entrada das massas'!I98-((($C$7-$C$6)*($B$7-'Entrada das massas'!I98)+($B$6*$C$7)-($B$7*$C$7))/($B$6-$B$7)),IF(AND('Entrada das massas'!I98&lt;=$B$6,'Entrada das massas'!I98&gt;$B$5),'Entrada das massas'!I98-((($C$6-$C$5)*($B$6-'Entrada das massas'!I98)+($B$5*$C$6)-($B$6*$C$6))/($B$5-$B$6)),IF('Entrada das massas'!I98&lt;=$B$5,'Entrada das massas'!I98-$C$5)))))))))))))))))</f>
        <v/>
      </c>
      <c r="J118" s="117" t="str">
        <f t="shared" ref="J118:J119" si="57">IF(I118="","",(IF(AND(I118&lt;=$B$20,I118&gt;$B$19),$D$19+($B$19-I118)/($B$19-$B$20)*($D$20-$D$19),IF(AND(I118&lt;=$B$19,I118&gt;$B$18),$D$18+($B$18-I118)/($B$18-$B$19)*($D$19-$D$18),IF(AND(I118&lt;=$B$18,I118&gt;$B$17),$D$17+($B$17-I118)/($B$17-$B$18)*($D$18-$D$17),IF(AND(I118&lt;=$B$17,I118&gt;$B$16),$D$16+($B$16-I118)/($B$16-$B$17)*($D$17-$D$16),IF(AND(I118&lt;=$B$16,I118&gt;$B$15),$D$15+($B$15-I118)/($B$15-$B$16)*($D$16-$D$15),IF(AND(I118&lt;=$B$15,I118&gt;$B$14),$D$14+($B$14-I118)/($B$14-$B$15)*($D$15-$D$14),IF(AND(I118&lt;=$B$14,I118&gt;$B$13),$D$13+($B$13-I118)/($B$13-$B$14)*($D$14-$D$13),IF(AND(I118&lt;=$B$13,I118&gt;$B$12),$D$12+($B$12-I118)/($B$12-$B$13)*($D$13-$D$12),IF(AND(I118&lt;=$B$12,I118&gt;$B$11),$D$11+($B$11-I118)/($B$11-$B$12)*($D$12-$D$11),IF(AND(I118&lt;=$B$11,I118&gt;$B$10),$D$10+($B$10-I118)/($B$10-$B$11)*($D$11-$D$10),IF(AND(I118&lt;=$B$10,I118&gt;$B$9),$D$9+($B$9-I118)/($B$9-$B$10)*($D$10-$D$9),IF(AND(I118&lt;=$B$9,I118&gt;$B$8),$D$8+($B$8-I118)/($B$8-$B$9)*($D$9-$D$8),IF(AND(I118&lt;=$B$8,I118&gt;$B$7),$D$7+($B$7-I118)/($B$7-$B$8)*($D$8-$D$7),IF(AND(I118&lt;=$B$7,I118&gt;$B$6),$D$6+($B$6-I118)/($B$6-$B$7)*($D$7-$D$6),IF(I118&lt;=$B$6,$D$6)))))))))))))))))</f>
        <v/>
      </c>
      <c r="K118" s="120" t="str">
        <f>IF(I117="","",I118-I117)</f>
        <v/>
      </c>
      <c r="L118" s="117" t="str">
        <f>IF(J117="","",SQRT(SUMSQ(J117:J118)))</f>
        <v/>
      </c>
      <c r="M118" s="93" t="str">
        <f>IF(I116="","","Amostra")</f>
        <v/>
      </c>
      <c r="N118" s="118"/>
      <c r="O118" s="115" t="str">
        <f>IF(P116="","","Frasco + Amostra")</f>
        <v/>
      </c>
      <c r="P118" s="95" t="str">
        <f>IF('Entrada das massas'!N98="","",IF(AND('Entrada das massas'!N98&lt;=$B$20,'Entrada das massas'!N98&gt;$B$19),'Entrada das massas'!N98-((($C$20-$C$19)*($B$20-'Entrada das massas'!N98)+($B$19*$C$20)-($B$20*$C$20))/($B$19-$B$20)),IF(AND('Entrada das massas'!N98&lt;=$B$19,'Entrada das massas'!N98&gt;$B$18),'Entrada das massas'!N98-((($C$19-$C$18)*($B$19-'Entrada das massas'!N98)+($B$18*$C$19)-($B$19*$C$19))/($B$18-$B$19)),IF(AND('Entrada das massas'!N98&lt;=$B$18,'Entrada das massas'!N98&gt;$B$17),'Entrada das massas'!N98-((($C$18-$C$17)*($B$18-'Entrada das massas'!N98)+($B$17*$C$18)-($B$18*$C$18))/($B$17-$B$18)),IF(AND('Entrada das massas'!N98&lt;=$B$17,'Entrada das massas'!N98&gt;$B$16),'Entrada das massas'!N98-((($C$17-$C$16)*($B$17-'Entrada das massas'!N98)+($B$16*$C$17)-($B$17*$C$17))/($B$16-$B$17)),IF(AND('Entrada das massas'!N98&lt;=$B$16,'Entrada das massas'!N98&gt;$B$15),'Entrada das massas'!N98-((($C$16-$C$15)*($B$16-'Entrada das massas'!N98)+($B$15*$C$16)-($B$16*$C$16))/($B$15-$B$16)),IF(AND('Entrada das massas'!N98&lt;=$B$15,'Entrada das massas'!N98&gt;$B$14),'Entrada das massas'!N98-((($C$15-$C$14)*($B$15-'Entrada das massas'!N98)+($B$14*$C$15)-($B$15*$C$15))/($B$14-$B$15)),IF(AND('Entrada das massas'!N98&lt;=$B$14,'Entrada das massas'!N98&gt;$B$13),'Entrada das massas'!N98-((($C$14-$C$13)*($B$14-'Entrada das massas'!N98)+($B$13*$C$14)-($B$14*$C$14))/($B$13-$B$14)),IF(AND('Entrada das massas'!N98&lt;=$B$13,'Entrada das massas'!N98&gt;$B$12),'Entrada das massas'!N98-((($C$13-$C$12)*($B$13-'Entrada das massas'!N98)+($B$12*$C$13)-($B$13*$C$13))/($B$12-$B$13)),IF(AND('Entrada das massas'!N98&lt;=$B$12,'Entrada das massas'!N98&gt;$B$11),'Entrada das massas'!N98-((($C$12-$C$11)*($B$12-'Entrada das massas'!N98)+($B$11*$C$12)-($B$12*$C$12))/($B$11-$B$12)),IF(AND('Entrada das massas'!N98&lt;=$B$11,'Entrada das massas'!N98&gt;$B$10),'Entrada das massas'!N98-((($C$11-$C$10)*($B$11-'Entrada das massas'!N98)+($B$10*$C$11)-($B$11*$C$11))/($B$10-$B$11)),IF(AND('Entrada das massas'!N98&lt;=$B$10,'Entrada das massas'!N98&gt;$B$9),'Entrada das massas'!N98-((($C$10-$C$9)*($B$10-'Entrada das massas'!N98)+($B$9*$C$10)-($B$10*$C$10))/($B$9-$B$10)),IF(AND('Entrada das massas'!N98&lt;=$B$9,'Entrada das massas'!N98&gt;$B$8),'Entrada das massas'!N98-((($C$9-$C$8)*($B$9-'Entrada das massas'!N98)+($B$8*$C$9)-($B$9*$C$9))/($B$8-$B$9)),IF(AND('Entrada das massas'!N98&lt;=$B$8,'Entrada das massas'!N98&gt;$B$7),'Entrada das massas'!N98-((($C$8-$C$7)*($B$8-'Entrada das massas'!N98)+($B$7*$C$8)-($B$8*$C$8))/($B$7-$B$8)),IF(AND('Entrada das massas'!N98&lt;=$B$7,'Entrada das massas'!N98&gt;$B$6),'Entrada das massas'!N98-((($C$7-$C$6)*($B$7-'Entrada das massas'!N98)+($B$6*$C$7)-($B$7*$C$7))/($B$6-$B$7)),IF(AND('Entrada das massas'!N98&lt;=$B$6,'Entrada das massas'!N98&gt;$B$5),'Entrada das massas'!N98-((($C$6-$C$5)*($B$6-'Entrada das massas'!N98)+($B$5*$C$6)-($B$6*$C$6))/($B$5-$B$6)),IF('Entrada das massas'!N98&lt;=$B$5,'Entrada das massas'!N98-$C$5)))))))))))))))))</f>
        <v/>
      </c>
      <c r="Q118" s="117" t="str">
        <f t="shared" ref="Q118:Q119" si="58">IF(P118="","",(IF(AND(P118&lt;=$B$20,P118&gt;$B$19),$D$19+($B$19-P118)/($B$19-$B$20)*($D$20-$D$19),IF(AND(P118&lt;=$B$19,P118&gt;$B$18),$D$18+($B$18-P118)/($B$18-$B$19)*($D$19-$D$18),IF(AND(P118&lt;=$B$18,P118&gt;$B$17),$D$17+($B$17-P118)/($B$17-$B$18)*($D$18-$D$17),IF(AND(P118&lt;=$B$17,P118&gt;$B$16),$D$16+($B$16-P118)/($B$16-$B$17)*($D$17-$D$16),IF(AND(P118&lt;=$B$16,P118&gt;$B$15),$D$15+($B$15-P118)/($B$15-$B$16)*($D$16-$D$15),IF(AND(P118&lt;=$B$15,P118&gt;$B$14),$D$14+($B$14-P118)/($B$14-$B$15)*($D$15-$D$14),IF(AND(P118&lt;=$B$14,P118&gt;$B$13),$D$13+($B$13-P118)/($B$13-$B$14)*($D$14-$D$13),IF(AND(P118&lt;=$B$13,P118&gt;$B$12),$D$12+($B$12-P118)/($B$12-$B$13)*($D$13-$D$12),IF(AND(P118&lt;=$B$12,P118&gt;$B$11),$D$11+($B$11-P118)/($B$11-$B$12)*($D$12-$D$11),IF(AND(P118&lt;=$B$11,P118&gt;$B$10),$D$10+($B$10-P118)/($B$10-$B$11)*($D$11-$D$10),IF(AND(P118&lt;=$B$10,P118&gt;$B$9),$D$9+($B$9-P118)/($B$9-$B$10)*($D$10-$D$9),IF(AND(P118&lt;=$B$9,P118&gt;$B$8),$D$8+($B$8-P118)/($B$8-$B$9)*($D$9-$D$8),IF(AND(P118&lt;=$B$8,P118&gt;$B$7),$D$7+($B$7-P118)/($B$7-$B$8)*($D$8-$D$7),IF(AND(P118&lt;=$B$7,P118&gt;$B$6),$D$6+($B$6-P118)/($B$6-$B$7)*($D$7-$D$6),IF(P118&lt;=$B$6,$D$6)))))))))))))))))</f>
        <v/>
      </c>
      <c r="R118" s="120" t="str">
        <f>IF(P117="","",P118-P117)</f>
        <v/>
      </c>
      <c r="S118" s="117" t="str">
        <f>IF(Q117="","",SQRT(SUMSQ(Q117:Q118)))</f>
        <v/>
      </c>
      <c r="T118" s="93" t="str">
        <f>IF(P116="","","Amostra")</f>
        <v/>
      </c>
      <c r="U118" s="118"/>
      <c r="V118" s="115" t="str">
        <f>IF(W116="","","Frasco + Amostra")</f>
        <v/>
      </c>
      <c r="W118" s="95" t="str">
        <f>IF('Entrada das massas'!S98="","",IF(AND('Entrada das massas'!S98&lt;=$B$20,'Entrada das massas'!S98&gt;$B$19),'Entrada das massas'!S98-((($C$20-$C$19)*($B$20-'Entrada das massas'!S98)+($B$19*$C$20)-($B$20*$C$20))/($B$19-$B$20)),IF(AND('Entrada das massas'!S98&lt;=$B$19,'Entrada das massas'!S98&gt;$B$18),'Entrada das massas'!S98-((($C$19-$C$18)*($B$19-'Entrada das massas'!S98)+($B$18*$C$19)-($B$19*$C$19))/($B$18-$B$19)),IF(AND('Entrada das massas'!S98&lt;=$B$18,'Entrada das massas'!S98&gt;$B$17),'Entrada das massas'!S98-((($C$18-$C$17)*($B$18-'Entrada das massas'!S98)+($B$17*$C$18)-($B$18*$C$18))/($B$17-$B$18)),IF(AND('Entrada das massas'!S98&lt;=$B$17,'Entrada das massas'!S98&gt;$B$16),'Entrada das massas'!S98-((($C$17-$C$16)*($B$17-'Entrada das massas'!S98)+($B$16*$C$17)-($B$17*$C$17))/($B$16-$B$17)),IF(AND('Entrada das massas'!S98&lt;=$B$16,'Entrada das massas'!S98&gt;$B$15),'Entrada das massas'!S98-((($C$16-$C$15)*($B$16-'Entrada das massas'!S98)+($B$15*$C$16)-($B$16*$C$16))/($B$15-$B$16)),IF(AND('Entrada das massas'!S98&lt;=$B$15,'Entrada das massas'!S98&gt;$B$14),'Entrada das massas'!S98-((($C$15-$C$14)*($B$15-'Entrada das massas'!S98)+($B$14*$C$15)-($B$15*$C$15))/($B$14-$B$15)),IF(AND('Entrada das massas'!S98&lt;=$B$14,'Entrada das massas'!S98&gt;$B$13),'Entrada das massas'!S98-((($C$14-$C$13)*($B$14-'Entrada das massas'!S98)+($B$13*$C$14)-($B$14*$C$14))/($B$13-$B$14)),IF(AND('Entrada das massas'!S98&lt;=$B$13,'Entrada das massas'!S98&gt;$B$12),'Entrada das massas'!S98-((($C$13-$C$12)*($B$13-'Entrada das massas'!S98)+($B$12*$C$13)-($B$13*$C$13))/($B$12-$B$13)),IF(AND('Entrada das massas'!S98&lt;=$B$12,'Entrada das massas'!S98&gt;$B$11),'Entrada das massas'!S98-((($C$12-$C$11)*($B$12-'Entrada das massas'!S98)+($B$11*$C$12)-($B$12*$C$12))/($B$11-$B$12)),IF(AND('Entrada das massas'!S98&lt;=$B$11,'Entrada das massas'!S98&gt;$B$10),'Entrada das massas'!S98-((($C$11-$C$10)*($B$11-'Entrada das massas'!S98)+($B$10*$C$11)-($B$11*$C$11))/($B$10-$B$11)),IF(AND('Entrada das massas'!S98&lt;=$B$10,'Entrada das massas'!S98&gt;$B$9),'Entrada das massas'!S98-((($C$10-$C$9)*($B$10-'Entrada das massas'!S98)+($B$9*$C$10)-($B$10*$C$10))/($B$9-$B$10)),IF(AND('Entrada das massas'!S98&lt;=$B$9,'Entrada das massas'!S98&gt;$B$8),'Entrada das massas'!S98-((($C$9-$C$8)*($B$9-'Entrada das massas'!S98)+($B$8*$C$9)-($B$9*$C$9))/($B$8-$B$9)),IF(AND('Entrada das massas'!S98&lt;=$B$8,'Entrada das massas'!S98&gt;$B$7),'Entrada das massas'!S98-((($C$8-$C$7)*($B$8-'Entrada das massas'!S98)+($B$7*$C$8)-($B$8*$C$8))/($B$7-$B$8)),IF(AND('Entrada das massas'!S98&lt;=$B$7,'Entrada das massas'!S98&gt;$B$6),'Entrada das massas'!S98-((($C$7-$C$6)*($B$7-'Entrada das massas'!S98)+($B$6*$C$7)-($B$7*$C$7))/($B$6-$B$7)),IF(AND('Entrada das massas'!S98&lt;=$B$6,'Entrada das massas'!S98&gt;$B$5),'Entrada das massas'!S98-((($C$6-$C$5)*($B$6-'Entrada das massas'!S98)+($B$5*$C$6)-($B$6*$C$6))/($B$5-$B$6)),IF('Entrada das massas'!S98&lt;=$B$5,'Entrada das massas'!S98-$C$5)))))))))))))))))</f>
        <v/>
      </c>
      <c r="X118" s="117" t="str">
        <f t="shared" ref="X118:X119" si="59">IF(W118="","",(IF(AND(W118&lt;=$B$20,W118&gt;$B$19),$D$19+($B$19-W118)/($B$19-$B$20)*($D$20-$D$19),IF(AND(W118&lt;=$B$19,W118&gt;$B$18),$D$18+($B$18-W118)/($B$18-$B$19)*($D$19-$D$18),IF(AND(W118&lt;=$B$18,W118&gt;$B$17),$D$17+($B$17-W118)/($B$17-$B$18)*($D$18-$D$17),IF(AND(W118&lt;=$B$17,W118&gt;$B$16),$D$16+($B$16-W118)/($B$16-$B$17)*($D$17-$D$16),IF(AND(W118&lt;=$B$16,W118&gt;$B$15),$D$15+($B$15-W118)/($B$15-$B$16)*($D$16-$D$15),IF(AND(W118&lt;=$B$15,W118&gt;$B$14),$D$14+($B$14-W118)/($B$14-$B$15)*($D$15-$D$14),IF(AND(W118&lt;=$B$14,W118&gt;$B$13),$D$13+($B$13-W118)/($B$13-$B$14)*($D$14-$D$13),IF(AND(W118&lt;=$B$13,W118&gt;$B$12),$D$12+($B$12-W118)/($B$12-$B$13)*($D$13-$D$12),IF(AND(W118&lt;=$B$12,W118&gt;$B$11),$D$11+($B$11-W118)/($B$11-$B$12)*($D$12-$D$11),IF(AND(W118&lt;=$B$11,W118&gt;$B$10),$D$10+($B$10-W118)/($B$10-$B$11)*($D$11-$D$10),IF(AND(W118&lt;=$B$10,W118&gt;$B$9),$D$9+($B$9-W118)/($B$9-$B$10)*($D$10-$D$9),IF(AND(W118&lt;=$B$9,W118&gt;$B$8),$D$8+($B$8-W118)/($B$8-$B$9)*($D$9-$D$8),IF(AND(W118&lt;=$B$8,W118&gt;$B$7),$D$7+($B$7-W118)/($B$7-$B$8)*($D$8-$D$7),IF(AND(W118&lt;=$B$7,W118&gt;$B$6),$D$6+($B$6-W118)/($B$6-$B$7)*($D$7-$D$6),IF(W118&lt;=$B$6,$D$6)))))))))))))))))</f>
        <v/>
      </c>
      <c r="Y118" s="120" t="str">
        <f>IF(W117="","",W118-W117)</f>
        <v/>
      </c>
      <c r="Z118" s="117" t="str">
        <f>IF(X117="","",SQRT(SUMSQ(X117:X118)))</f>
        <v/>
      </c>
      <c r="AA118" s="93" t="str">
        <f>IF(W116="","","Amostra")</f>
        <v/>
      </c>
      <c r="AB118" s="104"/>
      <c r="AC118" s="104"/>
      <c r="AE118" s="88"/>
      <c r="AF118" s="160"/>
    </row>
    <row r="119" spans="8:32" x14ac:dyDescent="0.2">
      <c r="H119" s="123" t="str">
        <f>IF(I116="","","Massa final")</f>
        <v/>
      </c>
      <c r="I119" s="116" t="str">
        <f>IF('Entrada das massas'!I99="","",IF(AND('Entrada das massas'!I99&lt;=$B$20,'Entrada das massas'!I99&gt;$B$19),'Entrada das massas'!I99-((($C$20-$C$19)*($B$20-'Entrada das massas'!I99)+($B$19*$C$20)-($B$20*$C$20))/($B$19-$B$20)),IF(AND('Entrada das massas'!I99&lt;=$B$19,'Entrada das massas'!I99&gt;$B$18),'Entrada das massas'!I99-((($C$19-$C$18)*($B$19-'Entrada das massas'!I99)+($B$18*$C$19)-($B$19*$C$19))/($B$18-$B$19)),IF(AND('Entrada das massas'!I99&lt;=$B$18,'Entrada das massas'!I99&gt;$B$17),'Entrada das massas'!I99-((($C$18-$C$17)*($B$18-'Entrada das massas'!I99)+($B$17*$C$18)-($B$18*$C$18))/($B$17-$B$18)),IF(AND('Entrada das massas'!I99&lt;=$B$17,'Entrada das massas'!I99&gt;$B$16),'Entrada das massas'!I99-((($C$17-$C$16)*($B$17-'Entrada das massas'!I99)+($B$16*$C$17)-($B$17*$C$17))/($B$16-$B$17)),IF(AND('Entrada das massas'!I99&lt;=$B$16,'Entrada das massas'!I99&gt;$B$15),'Entrada das massas'!I99-((($C$16-$C$15)*($B$16-'Entrada das massas'!I99)+($B$15*$C$16)-($B$16*$C$16))/($B$15-$B$16)),IF(AND('Entrada das massas'!I99&lt;=$B$15,'Entrada das massas'!I99&gt;$B$14),'Entrada das massas'!I99-((($C$15-$C$14)*($B$15-'Entrada das massas'!I99)+($B$14*$C$15)-($B$15*$C$15))/($B$14-$B$15)),IF(AND('Entrada das massas'!I99&lt;=$B$14,'Entrada das massas'!I99&gt;$B$13),'Entrada das massas'!I99-((($C$14-$C$13)*($B$14-'Entrada das massas'!I99)+($B$13*$C$14)-($B$14*$C$14))/($B$13-$B$14)),IF(AND('Entrada das massas'!I99&lt;=$B$13,'Entrada das massas'!I99&gt;$B$12),'Entrada das massas'!I99-((($C$13-$C$12)*($B$13-'Entrada das massas'!I99)+($B$12*$C$13)-($B$13*$C$13))/($B$12-$B$13)),IF(AND('Entrada das massas'!I99&lt;=$B$12,'Entrada das massas'!I99&gt;$B$11),'Entrada das massas'!I99-((($C$12-$C$11)*($B$12-'Entrada das massas'!I99)+($B$11*$C$12)-($B$12*$C$12))/($B$11-$B$12)),IF(AND('Entrada das massas'!I99&lt;=$B$11,'Entrada das massas'!I99&gt;$B$10),'Entrada das massas'!I99-((($C$11-$C$10)*($B$11-'Entrada das massas'!I99)+($B$10*$C$11)-($B$11*$C$11))/($B$10-$B$11)),IF(AND('Entrada das massas'!I99&lt;=$B$10,'Entrada das massas'!I99&gt;$B$9),'Entrada das massas'!I99-((($C$10-$C$9)*($B$10-'Entrada das massas'!I99)+($B$9*$C$10)-($B$10*$C$10))/($B$9-$B$10)),IF(AND('Entrada das massas'!I99&lt;=$B$9,'Entrada das massas'!I99&gt;$B$8),'Entrada das massas'!I99-((($C$9-$C$8)*($B$9-'Entrada das massas'!I99)+($B$8*$C$9)-($B$9*$C$9))/($B$8-$B$9)),IF(AND('Entrada das massas'!I99&lt;=$B$8,'Entrada das massas'!I99&gt;$B$7),'Entrada das massas'!I99-((($C$8-$C$7)*($B$8-'Entrada das massas'!I99)+($B$7*$C$8)-($B$8*$C$8))/($B$7-$B$8)),IF(AND('Entrada das massas'!I99&lt;=$B$7,'Entrada das massas'!I99&gt;$B$6),'Entrada das massas'!I99-((($C$7-$C$6)*($B$7-'Entrada das massas'!I99)+($B$6*$C$7)-($B$7*$C$7))/($B$6-$B$7)),IF(AND('Entrada das massas'!I99&lt;=$B$6,'Entrada das massas'!I99&gt;$B$5),'Entrada das massas'!I99-((($C$6-$C$5)*($B$6-'Entrada das massas'!I99)+($B$5*$C$6)-($B$6*$C$6))/($B$5-$B$6)),IF('Entrada das massas'!I99&lt;=$B$5,'Entrada das massas'!I99-$C$5)))))))))))))))))</f>
        <v/>
      </c>
      <c r="J119" s="117" t="str">
        <f t="shared" si="57"/>
        <v/>
      </c>
      <c r="K119" s="120" t="str">
        <f>IF(I117="","",I119-I117)</f>
        <v/>
      </c>
      <c r="L119" s="117" t="str">
        <f>IF(J117="","",SQRT(SUMSQ(J117,J119)))</f>
        <v/>
      </c>
      <c r="M119" s="93" t="str">
        <f>IF(I116="","","Solução")</f>
        <v/>
      </c>
      <c r="N119" s="93"/>
      <c r="O119" s="123" t="str">
        <f>IF(P116="","","Massa final")</f>
        <v/>
      </c>
      <c r="P119" s="95" t="str">
        <f>IF('Entrada das massas'!N99="","",IF(AND('Entrada das massas'!N99&lt;=$B$20,'Entrada das massas'!N99&gt;$B$19),'Entrada das massas'!N99-((($C$20-$C$19)*($B$20-'Entrada das massas'!N99)+($B$19*$C$20)-($B$20*$C$20))/($B$19-$B$20)),IF(AND('Entrada das massas'!N99&lt;=$B$19,'Entrada das massas'!N99&gt;$B$18),'Entrada das massas'!N99-((($C$19-$C$18)*($B$19-'Entrada das massas'!N99)+($B$18*$C$19)-($B$19*$C$19))/($B$18-$B$19)),IF(AND('Entrada das massas'!N99&lt;=$B$18,'Entrada das massas'!N99&gt;$B$17),'Entrada das massas'!N99-((($C$18-$C$17)*($B$18-'Entrada das massas'!N99)+($B$17*$C$18)-($B$18*$C$18))/($B$17-$B$18)),IF(AND('Entrada das massas'!N99&lt;=$B$17,'Entrada das massas'!N99&gt;$B$16),'Entrada das massas'!N99-((($C$17-$C$16)*($B$17-'Entrada das massas'!N99)+($B$16*$C$17)-($B$17*$C$17))/($B$16-$B$17)),IF(AND('Entrada das massas'!N99&lt;=$B$16,'Entrada das massas'!N99&gt;$B$15),'Entrada das massas'!N99-((($C$16-$C$15)*($B$16-'Entrada das massas'!N99)+($B$15*$C$16)-($B$16*$C$16))/($B$15-$B$16)),IF(AND('Entrada das massas'!N99&lt;=$B$15,'Entrada das massas'!N99&gt;$B$14),'Entrada das massas'!N99-((($C$15-$C$14)*($B$15-'Entrada das massas'!N99)+($B$14*$C$15)-($B$15*$C$15))/($B$14-$B$15)),IF(AND('Entrada das massas'!N99&lt;=$B$14,'Entrada das massas'!N99&gt;$B$13),'Entrada das massas'!N99-((($C$14-$C$13)*($B$14-'Entrada das massas'!N99)+($B$13*$C$14)-($B$14*$C$14))/($B$13-$B$14)),IF(AND('Entrada das massas'!N99&lt;=$B$13,'Entrada das massas'!N99&gt;$B$12),'Entrada das massas'!N99-((($C$13-$C$12)*($B$13-'Entrada das massas'!N99)+($B$12*$C$13)-($B$13*$C$13))/($B$12-$B$13)),IF(AND('Entrada das massas'!N99&lt;=$B$12,'Entrada das massas'!N99&gt;$B$11),'Entrada das massas'!N99-((($C$12-$C$11)*($B$12-'Entrada das massas'!N99)+($B$11*$C$12)-($B$12*$C$12))/($B$11-$B$12)),IF(AND('Entrada das massas'!N99&lt;=$B$11,'Entrada das massas'!N99&gt;$B$10),'Entrada das massas'!N99-((($C$11-$C$10)*($B$11-'Entrada das massas'!N99)+($B$10*$C$11)-($B$11*$C$11))/($B$10-$B$11)),IF(AND('Entrada das massas'!N99&lt;=$B$10,'Entrada das massas'!N99&gt;$B$9),'Entrada das massas'!N99-((($C$10-$C$9)*($B$10-'Entrada das massas'!N99)+($B$9*$C$10)-($B$10*$C$10))/($B$9-$B$10)),IF(AND('Entrada das massas'!N99&lt;=$B$9,'Entrada das massas'!N99&gt;$B$8),'Entrada das massas'!N99-((($C$9-$C$8)*($B$9-'Entrada das massas'!N99)+($B$8*$C$9)-($B$9*$C$9))/($B$8-$B$9)),IF(AND('Entrada das massas'!N99&lt;=$B$8,'Entrada das massas'!N99&gt;$B$7),'Entrada das massas'!N99-((($C$8-$C$7)*($B$8-'Entrada das massas'!N99)+($B$7*$C$8)-($B$8*$C$8))/($B$7-$B$8)),IF(AND('Entrada das massas'!N99&lt;=$B$7,'Entrada das massas'!N99&gt;$B$6),'Entrada das massas'!N99-((($C$7-$C$6)*($B$7-'Entrada das massas'!N99)+($B$6*$C$7)-($B$7*$C$7))/($B$6-$B$7)),IF(AND('Entrada das massas'!N99&lt;=$B$6,'Entrada das massas'!N99&gt;$B$5),'Entrada das massas'!N99-((($C$6-$C$5)*($B$6-'Entrada das massas'!N99)+($B$5*$C$6)-($B$6*$C$6))/($B$5-$B$6)),IF('Entrada das massas'!N99&lt;=$B$5,'Entrada das massas'!N99-$C$5)))))))))))))))))</f>
        <v/>
      </c>
      <c r="Q119" s="117" t="str">
        <f t="shared" si="58"/>
        <v/>
      </c>
      <c r="R119" s="120" t="str">
        <f>IF(P117="","",P119-P117)</f>
        <v/>
      </c>
      <c r="S119" s="117" t="str">
        <f>IF(Q117="","",SQRT(SUMSQ(Q117,Q119)))</f>
        <v/>
      </c>
      <c r="T119" s="93" t="str">
        <f>IF(P116="","","Solução")</f>
        <v/>
      </c>
      <c r="U119" s="93"/>
      <c r="V119" s="123" t="str">
        <f>IF(W116="","","Massa final")</f>
        <v/>
      </c>
      <c r="W119" s="95" t="str">
        <f>IF('Entrada das massas'!S99="","",IF(AND('Entrada das massas'!S99&lt;=$B$20,'Entrada das massas'!S99&gt;$B$19),'Entrada das massas'!S99-((($C$20-$C$19)*($B$20-'Entrada das massas'!S99)+($B$19*$C$20)-($B$20*$C$20))/($B$19-$B$20)),IF(AND('Entrada das massas'!S99&lt;=$B$19,'Entrada das massas'!S99&gt;$B$18),'Entrada das massas'!S99-((($C$19-$C$18)*($B$19-'Entrada das massas'!S99)+($B$18*$C$19)-($B$19*$C$19))/($B$18-$B$19)),IF(AND('Entrada das massas'!S99&lt;=$B$18,'Entrada das massas'!S99&gt;$B$17),'Entrada das massas'!S99-((($C$18-$C$17)*($B$18-'Entrada das massas'!S99)+($B$17*$C$18)-($B$18*$C$18))/($B$17-$B$18)),IF(AND('Entrada das massas'!S99&lt;=$B$17,'Entrada das massas'!S99&gt;$B$16),'Entrada das massas'!S99-((($C$17-$C$16)*($B$17-'Entrada das massas'!S99)+($B$16*$C$17)-($B$17*$C$17))/($B$16-$B$17)),IF(AND('Entrada das massas'!S99&lt;=$B$16,'Entrada das massas'!S99&gt;$B$15),'Entrada das massas'!S99-((($C$16-$C$15)*($B$16-'Entrada das massas'!S99)+($B$15*$C$16)-($B$16*$C$16))/($B$15-$B$16)),IF(AND('Entrada das massas'!S99&lt;=$B$15,'Entrada das massas'!S99&gt;$B$14),'Entrada das massas'!S99-((($C$15-$C$14)*($B$15-'Entrada das massas'!S99)+($B$14*$C$15)-($B$15*$C$15))/($B$14-$B$15)),IF(AND('Entrada das massas'!S99&lt;=$B$14,'Entrada das massas'!S99&gt;$B$13),'Entrada das massas'!S99-((($C$14-$C$13)*($B$14-'Entrada das massas'!S99)+($B$13*$C$14)-($B$14*$C$14))/($B$13-$B$14)),IF(AND('Entrada das massas'!S99&lt;=$B$13,'Entrada das massas'!S99&gt;$B$12),'Entrada das massas'!S99-((($C$13-$C$12)*($B$13-'Entrada das massas'!S99)+($B$12*$C$13)-($B$13*$C$13))/($B$12-$B$13)),IF(AND('Entrada das massas'!S99&lt;=$B$12,'Entrada das massas'!S99&gt;$B$11),'Entrada das massas'!S99-((($C$12-$C$11)*($B$12-'Entrada das massas'!S99)+($B$11*$C$12)-($B$12*$C$12))/($B$11-$B$12)),IF(AND('Entrada das massas'!S99&lt;=$B$11,'Entrada das massas'!S99&gt;$B$10),'Entrada das massas'!S99-((($C$11-$C$10)*($B$11-'Entrada das massas'!S99)+($B$10*$C$11)-($B$11*$C$11))/($B$10-$B$11)),IF(AND('Entrada das massas'!S99&lt;=$B$10,'Entrada das massas'!S99&gt;$B$9),'Entrada das massas'!S99-((($C$10-$C$9)*($B$10-'Entrada das massas'!S99)+($B$9*$C$10)-($B$10*$C$10))/($B$9-$B$10)),IF(AND('Entrada das massas'!S99&lt;=$B$9,'Entrada das massas'!S99&gt;$B$8),'Entrada das massas'!S99-((($C$9-$C$8)*($B$9-'Entrada das massas'!S99)+($B$8*$C$9)-($B$9*$C$9))/($B$8-$B$9)),IF(AND('Entrada das massas'!S99&lt;=$B$8,'Entrada das massas'!S99&gt;$B$7),'Entrada das massas'!S99-((($C$8-$C$7)*($B$8-'Entrada das massas'!S99)+($B$7*$C$8)-($B$8*$C$8))/($B$7-$B$8)),IF(AND('Entrada das massas'!S99&lt;=$B$7,'Entrada das massas'!S99&gt;$B$6),'Entrada das massas'!S99-((($C$7-$C$6)*($B$7-'Entrada das massas'!S99)+($B$6*$C$7)-($B$7*$C$7))/($B$6-$B$7)),IF(AND('Entrada das massas'!S99&lt;=$B$6,'Entrada das massas'!S99&gt;$B$5),'Entrada das massas'!S99-((($C$6-$C$5)*($B$6-'Entrada das massas'!S99)+($B$5*$C$6)-($B$6*$C$6))/($B$5-$B$6)),IF('Entrada das massas'!S99&lt;=$B$5,'Entrada das massas'!S99-$C$5)))))))))))))))))</f>
        <v/>
      </c>
      <c r="X119" s="117" t="str">
        <f t="shared" si="59"/>
        <v/>
      </c>
      <c r="Y119" s="120" t="str">
        <f>IF(W117="","",W119-W117)</f>
        <v/>
      </c>
      <c r="Z119" s="117" t="str">
        <f>IF(X117="","",SQRT(SUMSQ(X117,X119)))</f>
        <v/>
      </c>
      <c r="AA119" s="93" t="str">
        <f>IF(W116="","","Solução")</f>
        <v/>
      </c>
      <c r="AB119" s="104"/>
      <c r="AC119" s="104"/>
      <c r="AE119" s="88"/>
      <c r="AF119" s="160"/>
    </row>
    <row r="120" spans="8:32" x14ac:dyDescent="0.2">
      <c r="H120" s="98"/>
      <c r="I120" s="93"/>
      <c r="J120" s="139"/>
      <c r="K120" s="139"/>
      <c r="L120" s="139"/>
      <c r="M120" s="98"/>
      <c r="N120" s="98"/>
      <c r="O120" s="98"/>
      <c r="P120" s="93"/>
      <c r="Q120" s="120"/>
      <c r="R120" s="120"/>
      <c r="S120" s="120"/>
      <c r="T120" s="98"/>
      <c r="U120" s="98"/>
      <c r="V120" s="98"/>
      <c r="W120" s="93"/>
      <c r="X120" s="120"/>
      <c r="Y120" s="120"/>
      <c r="Z120" s="120"/>
      <c r="AA120" s="98"/>
      <c r="AB120" s="104"/>
      <c r="AC120" s="104"/>
      <c r="AE120" s="88"/>
      <c r="AF120" s="160"/>
    </row>
    <row r="121" spans="8:32" x14ac:dyDescent="0.2">
      <c r="H121" s="126" t="str">
        <f>IF(I116="","","Amostra")</f>
        <v/>
      </c>
      <c r="I121" s="127" t="str">
        <f>IF('Entrada das massas'!I101="","",'Entrada das massas'!I101)</f>
        <v/>
      </c>
      <c r="J121" s="120" t="str">
        <f>IF(I121="","","uc(g)")</f>
        <v/>
      </c>
      <c r="K121" s="120" t="str">
        <f>IF(J121="","","Massa (g)")</f>
        <v/>
      </c>
      <c r="L121" s="120" t="str">
        <f>IF(K121="","","ucomb (g)")</f>
        <v/>
      </c>
      <c r="M121" s="98" t="str">
        <f>IF(I121="","","Fdiluição")</f>
        <v/>
      </c>
      <c r="N121" s="98"/>
      <c r="O121" s="126" t="str">
        <f>IF(M122="","","Amostra")</f>
        <v/>
      </c>
      <c r="P121" s="127" t="str">
        <f>IF('Entrada das massas'!N101="","",'Entrada das massas'!N101)</f>
        <v/>
      </c>
      <c r="Q121" s="120" t="str">
        <f>IF(P121="","","uc(g)")</f>
        <v/>
      </c>
      <c r="R121" s="120" t="str">
        <f>IF(Q121="","","Massa (g)")</f>
        <v/>
      </c>
      <c r="S121" s="120" t="str">
        <f>IF(R121="","","ucomb (g)")</f>
        <v/>
      </c>
      <c r="T121" s="98" t="str">
        <f>IF(P121="","","Fdiluição")</f>
        <v/>
      </c>
      <c r="U121" s="98"/>
      <c r="V121" s="126" t="str">
        <f>IF(T122="","","Amostra")</f>
        <v/>
      </c>
      <c r="W121" s="127" t="str">
        <f>IF('Entrada das massas'!S101="","",'Entrada das massas'!S101)</f>
        <v/>
      </c>
      <c r="X121" s="120" t="str">
        <f>IF(W121="","","uc(g)")</f>
        <v/>
      </c>
      <c r="Y121" s="120" t="str">
        <f>IF(X121="","","Massa (g)")</f>
        <v/>
      </c>
      <c r="Z121" s="120" t="str">
        <f>IF(Y121="","","ucomb (g)")</f>
        <v/>
      </c>
      <c r="AA121" s="98" t="str">
        <f>IF(W121="","","Fdiluição")</f>
        <v/>
      </c>
      <c r="AB121" s="104"/>
      <c r="AC121" s="104"/>
      <c r="AE121" s="88"/>
      <c r="AF121" s="160"/>
    </row>
    <row r="122" spans="8:32" x14ac:dyDescent="0.2">
      <c r="H122" s="115" t="str">
        <f>IF(I121="","","Frasco")</f>
        <v/>
      </c>
      <c r="I122" s="116" t="str">
        <f>IF('Entrada das massas'!I102="","",IF(AND('Entrada das massas'!I102&lt;=$B$20,'Entrada das massas'!I102&gt;$B$19),'Entrada das massas'!I102-((($C$20-$C$19)*($B$20-'Entrada das massas'!I102)+($B$19*$C$20)-($B$20*$C$20))/($B$19-$B$20)),IF(AND('Entrada das massas'!I102&lt;=$B$19,'Entrada das massas'!I102&gt;$B$18),'Entrada das massas'!I102-((($C$19-$C$18)*($B$19-'Entrada das massas'!I102)+($B$18*$C$19)-($B$19*$C$19))/($B$18-$B$19)),IF(AND('Entrada das massas'!I102&lt;=$B$18,'Entrada das massas'!I102&gt;$B$17),'Entrada das massas'!I102-((($C$18-$C$17)*($B$18-'Entrada das massas'!I102)+($B$17*$C$18)-($B$18*$C$18))/($B$17-$B$18)),IF(AND('Entrada das massas'!I102&lt;=$B$17,'Entrada das massas'!I102&gt;$B$16),'Entrada das massas'!I102-((($C$17-$C$16)*($B$17-'Entrada das massas'!I102)+($B$16*$C$17)-($B$17*$C$17))/($B$16-$B$17)),IF(AND('Entrada das massas'!I102&lt;=$B$16,'Entrada das massas'!I102&gt;$B$15),'Entrada das massas'!I102-((($C$16-$C$15)*($B$16-'Entrada das massas'!I102)+($B$15*$C$16)-($B$16*$C$16))/($B$15-$B$16)),IF(AND('Entrada das massas'!I102&lt;=$B$15,'Entrada das massas'!I102&gt;$B$14),'Entrada das massas'!I102-((($C$15-$C$14)*($B$15-'Entrada das massas'!I102)+($B$14*$C$15)-($B$15*$C$15))/($B$14-$B$15)),IF(AND('Entrada das massas'!I102&lt;=$B$14,'Entrada das massas'!I102&gt;$B$13),'Entrada das massas'!I102-((($C$14-$C$13)*($B$14-'Entrada das massas'!I102)+($B$13*$C$14)-($B$14*$C$14))/($B$13-$B$14)),IF(AND('Entrada das massas'!I102&lt;=$B$13,'Entrada das massas'!I102&gt;$B$12),'Entrada das massas'!I102-((($C$13-$C$12)*($B$13-'Entrada das massas'!I102)+($B$12*$C$13)-($B$13*$C$13))/($B$12-$B$13)),IF(AND('Entrada das massas'!I102&lt;=$B$12,'Entrada das massas'!I102&gt;$B$11),'Entrada das massas'!I102-((($C$12-$C$11)*($B$12-'Entrada das massas'!I102)+($B$11*$C$12)-($B$12*$C$12))/($B$11-$B$12)),IF(AND('Entrada das massas'!I102&lt;=$B$11,'Entrada das massas'!I102&gt;$B$10),'Entrada das massas'!I102-((($C$11-$C$10)*($B$11-'Entrada das massas'!I102)+($B$10*$C$11)-($B$11*$C$11))/($B$10-$B$11)),IF(AND('Entrada das massas'!I102&lt;=$B$10,'Entrada das massas'!I102&gt;$B$9),'Entrada das massas'!I102-((($C$10-$C$9)*($B$10-'Entrada das massas'!I102)+($B$9*$C$10)-($B$10*$C$10))/($B$9-$B$10)),IF(AND('Entrada das massas'!I102&lt;=$B$9,'Entrada das massas'!I102&gt;$B$8),'Entrada das massas'!I102-((($C$9-$C$8)*($B$9-'Entrada das massas'!I102)+($B$8*$C$9)-($B$9*$C$9))/($B$8-$B$9)),IF(AND('Entrada das massas'!I102&lt;=$B$8,'Entrada das massas'!I102&gt;$B$7),'Entrada das massas'!I102-((($C$8-$C$7)*($B$8-'Entrada das massas'!I102)+($B$7*$C$8)-($B$8*$C$8))/($B$7-$B$8)),IF(AND('Entrada das massas'!I102&lt;=$B$7,'Entrada das massas'!I102&gt;$B$6),'Entrada das massas'!I102-((($C$7-$C$6)*($B$7-'Entrada das massas'!I102)+($B$6*$C$7)-($B$7*$C$7))/($B$6-$B$7)),IF(AND('Entrada das massas'!I102&lt;=$B$6,'Entrada das massas'!I102&gt;$B$5),'Entrada das massas'!I102-((($C$6-$C$5)*($B$6-'Entrada das massas'!I102)+($B$5*$C$6)-($B$6*$C$6))/($B$5-$B$6)),IF('Entrada das massas'!I102&lt;=$B$5,'Entrada das massas'!I102-$C$5)))))))))))))))))</f>
        <v/>
      </c>
      <c r="J122" s="117" t="str">
        <f>IF(I122="","",(IF(AND(I122&lt;=$B$20,I122&gt;$B$19),$D$19+($B$19-I122)/($B$19-$B$20)*($D$20-$D$19),IF(AND(I122&lt;=$B$19,I122&gt;$B$18),$D$18+($B$18-I122)/($B$18-$B$19)*($D$19-$D$18),IF(AND(I122&lt;=$B$18,I122&gt;$B$17),$D$17+($B$17-I122)/($B$17-$B$18)*($D$18-$D$17),IF(AND(I122&lt;=$B$17,I122&gt;$B$16),$D$16+($B$16-I122)/($B$16-$B$17)*($D$17-$D$16),IF(AND(I122&lt;=$B$16,I122&gt;$B$15),$D$15+($B$15-I122)/($B$15-$B$16)*($D$16-$D$15),IF(AND(I122&lt;=$B$15,I122&gt;$B$14),$D$14+($B$14-I122)/($B$14-$B$15)*($D$15-$D$14),IF(AND(I122&lt;=$B$14,I122&gt;$B$13),$D$13+($B$13-I122)/($B$13-$B$14)*($D$14-$D$13),IF(AND(I122&lt;=$B$13,I122&gt;$B$12),$D$12+($B$12-I122)/($B$12-$B$13)*($D$13-$D$12),IF(AND(I122&lt;=$B$12,I122&gt;$B$11),$D$11+($B$11-I122)/($B$11-$B$12)*($D$12-$D$11),IF(AND(I122&lt;=$B$11,I122&gt;$B$10),$D$10+($B$10-I122)/($B$10-$B$11)*($D$11-$D$10),IF(AND(I122&lt;=$B$10,I122&gt;$B$9),$D$9+($B$9-I122)/($B$9-$B$10)*($D$10-$D$9),IF(AND(I122&lt;=$B$9,I122&gt;$B$8),$D$8+($B$8-I122)/($B$8-$B$9)*($D$9-$D$8),IF(AND(I122&lt;=$B$8,I122&gt;$B$7),$D$7+($B$7-I122)/($B$7-$B$8)*($D$8-$D$7),IF(AND(I122&lt;=$B$7,I122&gt;$B$6),$D$6+($B$6-I122)/($B$6-$B$7)*($D$7-$D$6),IF(I122&lt;=$B$6,$D$6)))))))))))))))))</f>
        <v/>
      </c>
      <c r="K122" s="117"/>
      <c r="L122" s="117"/>
      <c r="M122" s="118" t="str">
        <f>IFERROR(K124/K123,"")</f>
        <v/>
      </c>
      <c r="N122" s="93"/>
      <c r="O122" s="115" t="str">
        <f>IF(P121="","","Frasco")</f>
        <v/>
      </c>
      <c r="P122" s="95" t="str">
        <f>IF('Entrada das massas'!N102="","",IF(AND('Entrada das massas'!N102&lt;=$B$20,'Entrada das massas'!N102&gt;$B$19),'Entrada das massas'!N102-((($C$20-$C$19)*($B$20-'Entrada das massas'!N102)+($B$19*$C$20)-($B$20*$C$20))/($B$19-$B$20)),IF(AND('Entrada das massas'!N102&lt;=$B$19,'Entrada das massas'!N102&gt;$B$18),'Entrada das massas'!N102-((($C$19-$C$18)*($B$19-'Entrada das massas'!N102)+($B$18*$C$19)-($B$19*$C$19))/($B$18-$B$19)),IF(AND('Entrada das massas'!N102&lt;=$B$18,'Entrada das massas'!N102&gt;$B$17),'Entrada das massas'!N102-((($C$18-$C$17)*($B$18-'Entrada das massas'!N102)+($B$17*$C$18)-($B$18*$C$18))/($B$17-$B$18)),IF(AND('Entrada das massas'!N102&lt;=$B$17,'Entrada das massas'!N102&gt;$B$16),'Entrada das massas'!N102-((($C$17-$C$16)*($B$17-'Entrada das massas'!N102)+($B$16*$C$17)-($B$17*$C$17))/($B$16-$B$17)),IF(AND('Entrada das massas'!N102&lt;=$B$16,'Entrada das massas'!N102&gt;$B$15),'Entrada das massas'!N102-((($C$16-$C$15)*($B$16-'Entrada das massas'!N102)+($B$15*$C$16)-($B$16*$C$16))/($B$15-$B$16)),IF(AND('Entrada das massas'!N102&lt;=$B$15,'Entrada das massas'!N102&gt;$B$14),'Entrada das massas'!N102-((($C$15-$C$14)*($B$15-'Entrada das massas'!N102)+($B$14*$C$15)-($B$15*$C$15))/($B$14-$B$15)),IF(AND('Entrada das massas'!N102&lt;=$B$14,'Entrada das massas'!N102&gt;$B$13),'Entrada das massas'!N102-((($C$14-$C$13)*($B$14-'Entrada das massas'!N102)+($B$13*$C$14)-($B$14*$C$14))/($B$13-$B$14)),IF(AND('Entrada das massas'!N102&lt;=$B$13,'Entrada das massas'!N102&gt;$B$12),'Entrada das massas'!N102-((($C$13-$C$12)*($B$13-'Entrada das massas'!N102)+($B$12*$C$13)-($B$13*$C$13))/($B$12-$B$13)),IF(AND('Entrada das massas'!N102&lt;=$B$12,'Entrada das massas'!N102&gt;$B$11),'Entrada das massas'!N102-((($C$12-$C$11)*($B$12-'Entrada das massas'!N102)+($B$11*$C$12)-($B$12*$C$12))/($B$11-$B$12)),IF(AND('Entrada das massas'!N102&lt;=$B$11,'Entrada das massas'!N102&gt;$B$10),'Entrada das massas'!N102-((($C$11-$C$10)*($B$11-'Entrada das massas'!N102)+($B$10*$C$11)-($B$11*$C$11))/($B$10-$B$11)),IF(AND('Entrada das massas'!N102&lt;=$B$10,'Entrada das massas'!N102&gt;$B$9),'Entrada das massas'!N102-((($C$10-$C$9)*($B$10-'Entrada das massas'!N102)+($B$9*$C$10)-($B$10*$C$10))/($B$9-$B$10)),IF(AND('Entrada das massas'!N102&lt;=$B$9,'Entrada das massas'!N102&gt;$B$8),'Entrada das massas'!N102-((($C$9-$C$8)*($B$9-'Entrada das massas'!N102)+($B$8*$C$9)-($B$9*$C$9))/($B$8-$B$9)),IF(AND('Entrada das massas'!N102&lt;=$B$8,'Entrada das massas'!N102&gt;$B$7),'Entrada das massas'!N102-((($C$8-$C$7)*($B$8-'Entrada das massas'!N102)+($B$7*$C$8)-($B$8*$C$8))/($B$7-$B$8)),IF(AND('Entrada das massas'!N102&lt;=$B$7,'Entrada das massas'!N102&gt;$B$6),'Entrada das massas'!N102-((($C$7-$C$6)*($B$7-'Entrada das massas'!N102)+($B$6*$C$7)-($B$7*$C$7))/($B$6-$B$7)),IF(AND('Entrada das massas'!N102&lt;=$B$6,'Entrada das massas'!N102&gt;$B$5),'Entrada das massas'!N102-((($C$6-$C$5)*($B$6-'Entrada das massas'!N102)+($B$5*$C$6)-($B$6*$C$6))/($B$5-$B$6)),IF('Entrada das massas'!N102&lt;=$B$5,'Entrada das massas'!N102-$C$5)))))))))))))))))</f>
        <v/>
      </c>
      <c r="Q122" s="117" t="str">
        <f>IF(P122="","",(IF(AND(P122&lt;=$B$20,P122&gt;$B$19),$D$19+($B$19-P122)/($B$19-$B$20)*($D$20-$D$19),IF(AND(P122&lt;=$B$19,P122&gt;$B$18),$D$18+($B$18-P122)/($B$18-$B$19)*($D$19-$D$18),IF(AND(P122&lt;=$B$18,P122&gt;$B$17),$D$17+($B$17-P122)/($B$17-$B$18)*($D$18-$D$17),IF(AND(P122&lt;=$B$17,P122&gt;$B$16),$D$16+($B$16-P122)/($B$16-$B$17)*($D$17-$D$16),IF(AND(P122&lt;=$B$16,P122&gt;$B$15),$D$15+($B$15-P122)/($B$15-$B$16)*($D$16-$D$15),IF(AND(P122&lt;=$B$15,P122&gt;$B$14),$D$14+($B$14-P122)/($B$14-$B$15)*($D$15-$D$14),IF(AND(P122&lt;=$B$14,P122&gt;$B$13),$D$13+($B$13-P122)/($B$13-$B$14)*($D$14-$D$13),IF(AND(P122&lt;=$B$13,P122&gt;$B$12),$D$12+($B$12-P122)/($B$12-$B$13)*($D$13-$D$12),IF(AND(P122&lt;=$B$12,P122&gt;$B$11),$D$11+($B$11-P122)/($B$11-$B$12)*($D$12-$D$11),IF(AND(P122&lt;=$B$11,P122&gt;$B$10),$D$10+($B$10-P122)/($B$10-$B$11)*($D$11-$D$10),IF(AND(P122&lt;=$B$10,P122&gt;$B$9),$D$9+($B$9-P122)/($B$9-$B$10)*($D$10-$D$9),IF(AND(P122&lt;=$B$9,P122&gt;$B$8),$D$8+($B$8-P122)/($B$8-$B$9)*($D$9-$D$8),IF(AND(P122&lt;=$B$8,P122&gt;$B$7),$D$7+($B$7-P122)/($B$7-$B$8)*($D$8-$D$7),IF(AND(P122&lt;=$B$7,P122&gt;$B$6),$D$6+($B$6-P122)/($B$6-$B$7)*($D$7-$D$6),IF(P122&lt;=$B$6,$D$6)))))))))))))))))</f>
        <v/>
      </c>
      <c r="R122" s="117"/>
      <c r="S122" s="117"/>
      <c r="T122" s="118" t="str">
        <f>IFERROR(R124/R123,"")</f>
        <v/>
      </c>
      <c r="U122" s="93"/>
      <c r="V122" s="115" t="str">
        <f>IF(W121="","","Frasco")</f>
        <v/>
      </c>
      <c r="W122" s="95" t="str">
        <f>IF('Entrada das massas'!S102="","",IF(AND('Entrada das massas'!S102&lt;=$B$20,'Entrada das massas'!S102&gt;$B$19),'Entrada das massas'!S102-((($C$20-$C$19)*($B$20-'Entrada das massas'!S102)+($B$19*$C$20)-($B$20*$C$20))/($B$19-$B$20)),IF(AND('Entrada das massas'!S102&lt;=$B$19,'Entrada das massas'!S102&gt;$B$18),'Entrada das massas'!S102-((($C$19-$C$18)*($B$19-'Entrada das massas'!S102)+($B$18*$C$19)-($B$19*$C$19))/($B$18-$B$19)),IF(AND('Entrada das massas'!S102&lt;=$B$18,'Entrada das massas'!S102&gt;$B$17),'Entrada das massas'!S102-((($C$18-$C$17)*($B$18-'Entrada das massas'!S102)+($B$17*$C$18)-($B$18*$C$18))/($B$17-$B$18)),IF(AND('Entrada das massas'!S102&lt;=$B$17,'Entrada das massas'!S102&gt;$B$16),'Entrada das massas'!S102-((($C$17-$C$16)*($B$17-'Entrada das massas'!S102)+($B$16*$C$17)-($B$17*$C$17))/($B$16-$B$17)),IF(AND('Entrada das massas'!S102&lt;=$B$16,'Entrada das massas'!S102&gt;$B$15),'Entrada das massas'!S102-((($C$16-$C$15)*($B$16-'Entrada das massas'!S102)+($B$15*$C$16)-($B$16*$C$16))/($B$15-$B$16)),IF(AND('Entrada das massas'!S102&lt;=$B$15,'Entrada das massas'!S102&gt;$B$14),'Entrada das massas'!S102-((($C$15-$C$14)*($B$15-'Entrada das massas'!S102)+($B$14*$C$15)-($B$15*$C$15))/($B$14-$B$15)),IF(AND('Entrada das massas'!S102&lt;=$B$14,'Entrada das massas'!S102&gt;$B$13),'Entrada das massas'!S102-((($C$14-$C$13)*($B$14-'Entrada das massas'!S102)+($B$13*$C$14)-($B$14*$C$14))/($B$13-$B$14)),IF(AND('Entrada das massas'!S102&lt;=$B$13,'Entrada das massas'!S102&gt;$B$12),'Entrada das massas'!S102-((($C$13-$C$12)*($B$13-'Entrada das massas'!S102)+($B$12*$C$13)-($B$13*$C$13))/($B$12-$B$13)),IF(AND('Entrada das massas'!S102&lt;=$B$12,'Entrada das massas'!S102&gt;$B$11),'Entrada das massas'!S102-((($C$12-$C$11)*($B$12-'Entrada das massas'!S102)+($B$11*$C$12)-($B$12*$C$12))/($B$11-$B$12)),IF(AND('Entrada das massas'!S102&lt;=$B$11,'Entrada das massas'!S102&gt;$B$10),'Entrada das massas'!S102-((($C$11-$C$10)*($B$11-'Entrada das massas'!S102)+($B$10*$C$11)-($B$11*$C$11))/($B$10-$B$11)),IF(AND('Entrada das massas'!S102&lt;=$B$10,'Entrada das massas'!S102&gt;$B$9),'Entrada das massas'!S102-((($C$10-$C$9)*($B$10-'Entrada das massas'!S102)+($B$9*$C$10)-($B$10*$C$10))/($B$9-$B$10)),IF(AND('Entrada das massas'!S102&lt;=$B$9,'Entrada das massas'!S102&gt;$B$8),'Entrada das massas'!S102-((($C$9-$C$8)*($B$9-'Entrada das massas'!S102)+($B$8*$C$9)-($B$9*$C$9))/($B$8-$B$9)),IF(AND('Entrada das massas'!S102&lt;=$B$8,'Entrada das massas'!S102&gt;$B$7),'Entrada das massas'!S102-((($C$8-$C$7)*($B$8-'Entrada das massas'!S102)+($B$7*$C$8)-($B$8*$C$8))/($B$7-$B$8)),IF(AND('Entrada das massas'!S102&lt;=$B$7,'Entrada das massas'!S102&gt;$B$6),'Entrada das massas'!S102-((($C$7-$C$6)*($B$7-'Entrada das massas'!S102)+($B$6*$C$7)-($B$7*$C$7))/($B$6-$B$7)),IF(AND('Entrada das massas'!S102&lt;=$B$6,'Entrada das massas'!S102&gt;$B$5),'Entrada das massas'!S102-((($C$6-$C$5)*($B$6-'Entrada das massas'!S102)+($B$5*$C$6)-($B$6*$C$6))/($B$5-$B$6)),IF('Entrada das massas'!S102&lt;=$B$5,'Entrada das massas'!S102-$C$5)))))))))))))))))</f>
        <v/>
      </c>
      <c r="X122" s="117" t="str">
        <f>IF(W122="","",(IF(AND(W122&lt;=$B$20,W122&gt;$B$19),$D$19+($B$19-W122)/($B$19-$B$20)*($D$20-$D$19),IF(AND(W122&lt;=$B$19,W122&gt;$B$18),$D$18+($B$18-W122)/($B$18-$B$19)*($D$19-$D$18),IF(AND(W122&lt;=$B$18,W122&gt;$B$17),$D$17+($B$17-W122)/($B$17-$B$18)*($D$18-$D$17),IF(AND(W122&lt;=$B$17,W122&gt;$B$16),$D$16+($B$16-W122)/($B$16-$B$17)*($D$17-$D$16),IF(AND(W122&lt;=$B$16,W122&gt;$B$15),$D$15+($B$15-W122)/($B$15-$B$16)*($D$16-$D$15),IF(AND(W122&lt;=$B$15,W122&gt;$B$14),$D$14+($B$14-W122)/($B$14-$B$15)*($D$15-$D$14),IF(AND(W122&lt;=$B$14,W122&gt;$B$13),$D$13+($B$13-W122)/($B$13-$B$14)*($D$14-$D$13),IF(AND(W122&lt;=$B$13,W122&gt;$B$12),$D$12+($B$12-W122)/($B$12-$B$13)*($D$13-$D$12),IF(AND(W122&lt;=$B$12,W122&gt;$B$11),$D$11+($B$11-W122)/($B$11-$B$12)*($D$12-$D$11),IF(AND(W122&lt;=$B$11,W122&gt;$B$10),$D$10+($B$10-W122)/($B$10-$B$11)*($D$11-$D$10),IF(AND(W122&lt;=$B$10,W122&gt;$B$9),$D$9+($B$9-W122)/($B$9-$B$10)*($D$10-$D$9),IF(AND(W122&lt;=$B$9,W122&gt;$B$8),$D$8+($B$8-W122)/($B$8-$B$9)*($D$9-$D$8),IF(AND(W122&lt;=$B$8,W122&gt;$B$7),$D$7+($B$7-W122)/($B$7-$B$8)*($D$8-$D$7),IF(AND(W122&lt;=$B$7,W122&gt;$B$6),$D$6+($B$6-W122)/($B$6-$B$7)*($D$7-$D$6),IF(W122&lt;=$B$6,$D$6)))))))))))))))))</f>
        <v/>
      </c>
      <c r="Y122" s="117"/>
      <c r="Z122" s="117"/>
      <c r="AA122" s="118" t="str">
        <f>IFERROR(Y124/Y123,"")</f>
        <v/>
      </c>
      <c r="AB122" s="104"/>
      <c r="AC122" s="104"/>
      <c r="AE122" s="88"/>
      <c r="AF122" s="160"/>
    </row>
    <row r="123" spans="8:32" x14ac:dyDescent="0.2">
      <c r="H123" s="115" t="str">
        <f>IF(I121="","","Frasco + Amostra")</f>
        <v/>
      </c>
      <c r="I123" s="116" t="str">
        <f>IF('Entrada das massas'!I103="","",IF(AND('Entrada das massas'!I103&lt;=$B$20,'Entrada das massas'!I103&gt;$B$19),'Entrada das massas'!I103-((($C$20-$C$19)*($B$20-'Entrada das massas'!I103)+($B$19*$C$20)-($B$20*$C$20))/($B$19-$B$20)),IF(AND('Entrada das massas'!I103&lt;=$B$19,'Entrada das massas'!I103&gt;$B$18),'Entrada das massas'!I103-((($C$19-$C$18)*($B$19-'Entrada das massas'!I103)+($B$18*$C$19)-($B$19*$C$19))/($B$18-$B$19)),IF(AND('Entrada das massas'!I103&lt;=$B$18,'Entrada das massas'!I103&gt;$B$17),'Entrada das massas'!I103-((($C$18-$C$17)*($B$18-'Entrada das massas'!I103)+($B$17*$C$18)-($B$18*$C$18))/($B$17-$B$18)),IF(AND('Entrada das massas'!I103&lt;=$B$17,'Entrada das massas'!I103&gt;$B$16),'Entrada das massas'!I103-((($C$17-$C$16)*($B$17-'Entrada das massas'!I103)+($B$16*$C$17)-($B$17*$C$17))/($B$16-$B$17)),IF(AND('Entrada das massas'!I103&lt;=$B$16,'Entrada das massas'!I103&gt;$B$15),'Entrada das massas'!I103-((($C$16-$C$15)*($B$16-'Entrada das massas'!I103)+($B$15*$C$16)-($B$16*$C$16))/($B$15-$B$16)),IF(AND('Entrada das massas'!I103&lt;=$B$15,'Entrada das massas'!I103&gt;$B$14),'Entrada das massas'!I103-((($C$15-$C$14)*($B$15-'Entrada das massas'!I103)+($B$14*$C$15)-($B$15*$C$15))/($B$14-$B$15)),IF(AND('Entrada das massas'!I103&lt;=$B$14,'Entrada das massas'!I103&gt;$B$13),'Entrada das massas'!I103-((($C$14-$C$13)*($B$14-'Entrada das massas'!I103)+($B$13*$C$14)-($B$14*$C$14))/($B$13-$B$14)),IF(AND('Entrada das massas'!I103&lt;=$B$13,'Entrada das massas'!I103&gt;$B$12),'Entrada das massas'!I103-((($C$13-$C$12)*($B$13-'Entrada das massas'!I103)+($B$12*$C$13)-($B$13*$C$13))/($B$12-$B$13)),IF(AND('Entrada das massas'!I103&lt;=$B$12,'Entrada das massas'!I103&gt;$B$11),'Entrada das massas'!I103-((($C$12-$C$11)*($B$12-'Entrada das massas'!I103)+($B$11*$C$12)-($B$12*$C$12))/($B$11-$B$12)),IF(AND('Entrada das massas'!I103&lt;=$B$11,'Entrada das massas'!I103&gt;$B$10),'Entrada das massas'!I103-((($C$11-$C$10)*($B$11-'Entrada das massas'!I103)+($B$10*$C$11)-($B$11*$C$11))/($B$10-$B$11)),IF(AND('Entrada das massas'!I103&lt;=$B$10,'Entrada das massas'!I103&gt;$B$9),'Entrada das massas'!I103-((($C$10-$C$9)*($B$10-'Entrada das massas'!I103)+($B$9*$C$10)-($B$10*$C$10))/($B$9-$B$10)),IF(AND('Entrada das massas'!I103&lt;=$B$9,'Entrada das massas'!I103&gt;$B$8),'Entrada das massas'!I103-((($C$9-$C$8)*($B$9-'Entrada das massas'!I103)+($B$8*$C$9)-($B$9*$C$9))/($B$8-$B$9)),IF(AND('Entrada das massas'!I103&lt;=$B$8,'Entrada das massas'!I103&gt;$B$7),'Entrada das massas'!I103-((($C$8-$C$7)*($B$8-'Entrada das massas'!I103)+($B$7*$C$8)-($B$8*$C$8))/($B$7-$B$8)),IF(AND('Entrada das massas'!I103&lt;=$B$7,'Entrada das massas'!I103&gt;$B$6),'Entrada das massas'!I103-((($C$7-$C$6)*($B$7-'Entrada das massas'!I103)+($B$6*$C$7)-($B$7*$C$7))/($B$6-$B$7)),IF(AND('Entrada das massas'!I103&lt;=$B$6,'Entrada das massas'!I103&gt;$B$5),'Entrada das massas'!I103-((($C$6-$C$5)*($B$6-'Entrada das massas'!I103)+($B$5*$C$6)-($B$6*$C$6))/($B$5-$B$6)),IF('Entrada das massas'!I103&lt;=$B$5,'Entrada das massas'!I103-$C$5)))))))))))))))))</f>
        <v/>
      </c>
      <c r="J123" s="117" t="str">
        <f t="shared" ref="J123:J124" si="60">IF(I123="","",(IF(AND(I123&lt;=$B$20,I123&gt;$B$19),$D$19+($B$19-I123)/($B$19-$B$20)*($D$20-$D$19),IF(AND(I123&lt;=$B$19,I123&gt;$B$18),$D$18+($B$18-I123)/($B$18-$B$19)*($D$19-$D$18),IF(AND(I123&lt;=$B$18,I123&gt;$B$17),$D$17+($B$17-I123)/($B$17-$B$18)*($D$18-$D$17),IF(AND(I123&lt;=$B$17,I123&gt;$B$16),$D$16+($B$16-I123)/($B$16-$B$17)*($D$17-$D$16),IF(AND(I123&lt;=$B$16,I123&gt;$B$15),$D$15+($B$15-I123)/($B$15-$B$16)*($D$16-$D$15),IF(AND(I123&lt;=$B$15,I123&gt;$B$14),$D$14+($B$14-I123)/($B$14-$B$15)*($D$15-$D$14),IF(AND(I123&lt;=$B$14,I123&gt;$B$13),$D$13+($B$13-I123)/($B$13-$B$14)*($D$14-$D$13),IF(AND(I123&lt;=$B$13,I123&gt;$B$12),$D$12+($B$12-I123)/($B$12-$B$13)*($D$13-$D$12),IF(AND(I123&lt;=$B$12,I123&gt;$B$11),$D$11+($B$11-I123)/($B$11-$B$12)*($D$12-$D$11),IF(AND(I123&lt;=$B$11,I123&gt;$B$10),$D$10+($B$10-I123)/($B$10-$B$11)*($D$11-$D$10),IF(AND(I123&lt;=$B$10,I123&gt;$B$9),$D$9+($B$9-I123)/($B$9-$B$10)*($D$10-$D$9),IF(AND(I123&lt;=$B$9,I123&gt;$B$8),$D$8+($B$8-I123)/($B$8-$B$9)*($D$9-$D$8),IF(AND(I123&lt;=$B$8,I123&gt;$B$7),$D$7+($B$7-I123)/($B$7-$B$8)*($D$8-$D$7),IF(AND(I123&lt;=$B$7,I123&gt;$B$6),$D$6+($B$6-I123)/($B$6-$B$7)*($D$7-$D$6),IF(I123&lt;=$B$6,$D$6)))))))))))))))))</f>
        <v/>
      </c>
      <c r="K123" s="120" t="str">
        <f>IF(I122="","",I123-I122)</f>
        <v/>
      </c>
      <c r="L123" s="117" t="str">
        <f>IF(J122="","",SQRT(SUMSQ(J122:J123)))</f>
        <v/>
      </c>
      <c r="M123" s="93" t="str">
        <f>IF(I121="","","Amostra")</f>
        <v/>
      </c>
      <c r="N123" s="118"/>
      <c r="O123" s="115" t="str">
        <f>IF(P121="","","Frasco + Amostra")</f>
        <v/>
      </c>
      <c r="P123" s="95" t="str">
        <f>IF('Entrada das massas'!N103="","",IF(AND('Entrada das massas'!N103&lt;=$B$20,'Entrada das massas'!N103&gt;$B$19),'Entrada das massas'!N103-((($C$20-$C$19)*($B$20-'Entrada das massas'!N103)+($B$19*$C$20)-($B$20*$C$20))/($B$19-$B$20)),IF(AND('Entrada das massas'!N103&lt;=$B$19,'Entrada das massas'!N103&gt;$B$18),'Entrada das massas'!N103-((($C$19-$C$18)*($B$19-'Entrada das massas'!N103)+($B$18*$C$19)-($B$19*$C$19))/($B$18-$B$19)),IF(AND('Entrada das massas'!N103&lt;=$B$18,'Entrada das massas'!N103&gt;$B$17),'Entrada das massas'!N103-((($C$18-$C$17)*($B$18-'Entrada das massas'!N103)+($B$17*$C$18)-($B$18*$C$18))/($B$17-$B$18)),IF(AND('Entrada das massas'!N103&lt;=$B$17,'Entrada das massas'!N103&gt;$B$16),'Entrada das massas'!N103-((($C$17-$C$16)*($B$17-'Entrada das massas'!N103)+($B$16*$C$17)-($B$17*$C$17))/($B$16-$B$17)),IF(AND('Entrada das massas'!N103&lt;=$B$16,'Entrada das massas'!N103&gt;$B$15),'Entrada das massas'!N103-((($C$16-$C$15)*($B$16-'Entrada das massas'!N103)+($B$15*$C$16)-($B$16*$C$16))/($B$15-$B$16)),IF(AND('Entrada das massas'!N103&lt;=$B$15,'Entrada das massas'!N103&gt;$B$14),'Entrada das massas'!N103-((($C$15-$C$14)*($B$15-'Entrada das massas'!N103)+($B$14*$C$15)-($B$15*$C$15))/($B$14-$B$15)),IF(AND('Entrada das massas'!N103&lt;=$B$14,'Entrada das massas'!N103&gt;$B$13),'Entrada das massas'!N103-((($C$14-$C$13)*($B$14-'Entrada das massas'!N103)+($B$13*$C$14)-($B$14*$C$14))/($B$13-$B$14)),IF(AND('Entrada das massas'!N103&lt;=$B$13,'Entrada das massas'!N103&gt;$B$12),'Entrada das massas'!N103-((($C$13-$C$12)*($B$13-'Entrada das massas'!N103)+($B$12*$C$13)-($B$13*$C$13))/($B$12-$B$13)),IF(AND('Entrada das massas'!N103&lt;=$B$12,'Entrada das massas'!N103&gt;$B$11),'Entrada das massas'!N103-((($C$12-$C$11)*($B$12-'Entrada das massas'!N103)+($B$11*$C$12)-($B$12*$C$12))/($B$11-$B$12)),IF(AND('Entrada das massas'!N103&lt;=$B$11,'Entrada das massas'!N103&gt;$B$10),'Entrada das massas'!N103-((($C$11-$C$10)*($B$11-'Entrada das massas'!N103)+($B$10*$C$11)-($B$11*$C$11))/($B$10-$B$11)),IF(AND('Entrada das massas'!N103&lt;=$B$10,'Entrada das massas'!N103&gt;$B$9),'Entrada das massas'!N103-((($C$10-$C$9)*($B$10-'Entrada das massas'!N103)+($B$9*$C$10)-($B$10*$C$10))/($B$9-$B$10)),IF(AND('Entrada das massas'!N103&lt;=$B$9,'Entrada das massas'!N103&gt;$B$8),'Entrada das massas'!N103-((($C$9-$C$8)*($B$9-'Entrada das massas'!N103)+($B$8*$C$9)-($B$9*$C$9))/($B$8-$B$9)),IF(AND('Entrada das massas'!N103&lt;=$B$8,'Entrada das massas'!N103&gt;$B$7),'Entrada das massas'!N103-((($C$8-$C$7)*($B$8-'Entrada das massas'!N103)+($B$7*$C$8)-($B$8*$C$8))/($B$7-$B$8)),IF(AND('Entrada das massas'!N103&lt;=$B$7,'Entrada das massas'!N103&gt;$B$6),'Entrada das massas'!N103-((($C$7-$C$6)*($B$7-'Entrada das massas'!N103)+($B$6*$C$7)-($B$7*$C$7))/($B$6-$B$7)),IF(AND('Entrada das massas'!N103&lt;=$B$6,'Entrada das massas'!N103&gt;$B$5),'Entrada das massas'!N103-((($C$6-$C$5)*($B$6-'Entrada das massas'!N103)+($B$5*$C$6)-($B$6*$C$6))/($B$5-$B$6)),IF('Entrada das massas'!N103&lt;=$B$5,'Entrada das massas'!N103-$C$5)))))))))))))))))</f>
        <v/>
      </c>
      <c r="Q123" s="117" t="str">
        <f t="shared" ref="Q123:Q124" si="61">IF(P123="","",(IF(AND(P123&lt;=$B$20,P123&gt;$B$19),$D$19+($B$19-P123)/($B$19-$B$20)*($D$20-$D$19),IF(AND(P123&lt;=$B$19,P123&gt;$B$18),$D$18+($B$18-P123)/($B$18-$B$19)*($D$19-$D$18),IF(AND(P123&lt;=$B$18,P123&gt;$B$17),$D$17+($B$17-P123)/($B$17-$B$18)*($D$18-$D$17),IF(AND(P123&lt;=$B$17,P123&gt;$B$16),$D$16+($B$16-P123)/($B$16-$B$17)*($D$17-$D$16),IF(AND(P123&lt;=$B$16,P123&gt;$B$15),$D$15+($B$15-P123)/($B$15-$B$16)*($D$16-$D$15),IF(AND(P123&lt;=$B$15,P123&gt;$B$14),$D$14+($B$14-P123)/($B$14-$B$15)*($D$15-$D$14),IF(AND(P123&lt;=$B$14,P123&gt;$B$13),$D$13+($B$13-P123)/($B$13-$B$14)*($D$14-$D$13),IF(AND(P123&lt;=$B$13,P123&gt;$B$12),$D$12+($B$12-P123)/($B$12-$B$13)*($D$13-$D$12),IF(AND(P123&lt;=$B$12,P123&gt;$B$11),$D$11+($B$11-P123)/($B$11-$B$12)*($D$12-$D$11),IF(AND(P123&lt;=$B$11,P123&gt;$B$10),$D$10+($B$10-P123)/($B$10-$B$11)*($D$11-$D$10),IF(AND(P123&lt;=$B$10,P123&gt;$B$9),$D$9+($B$9-P123)/($B$9-$B$10)*($D$10-$D$9),IF(AND(P123&lt;=$B$9,P123&gt;$B$8),$D$8+($B$8-P123)/($B$8-$B$9)*($D$9-$D$8),IF(AND(P123&lt;=$B$8,P123&gt;$B$7),$D$7+($B$7-P123)/($B$7-$B$8)*($D$8-$D$7),IF(AND(P123&lt;=$B$7,P123&gt;$B$6),$D$6+($B$6-P123)/($B$6-$B$7)*($D$7-$D$6),IF(P123&lt;=$B$6,$D$6)))))))))))))))))</f>
        <v/>
      </c>
      <c r="R123" s="120" t="str">
        <f>IF(P122="","",P123-P122)</f>
        <v/>
      </c>
      <c r="S123" s="117" t="str">
        <f>IF(Q122="","",SQRT(SUMSQ(Q122:Q123)))</f>
        <v/>
      </c>
      <c r="T123" s="93" t="str">
        <f>IF(P121="","","Amostra")</f>
        <v/>
      </c>
      <c r="U123" s="118"/>
      <c r="V123" s="115" t="str">
        <f>IF(W121="","","Frasco + Amostra")</f>
        <v/>
      </c>
      <c r="W123" s="95" t="str">
        <f>IF('Entrada das massas'!S103="","",IF(AND('Entrada das massas'!S103&lt;=$B$20,'Entrada das massas'!S103&gt;$B$19),'Entrada das massas'!S103-((($C$20-$C$19)*($B$20-'Entrada das massas'!S103)+($B$19*$C$20)-($B$20*$C$20))/($B$19-$B$20)),IF(AND('Entrada das massas'!S103&lt;=$B$19,'Entrada das massas'!S103&gt;$B$18),'Entrada das massas'!S103-((($C$19-$C$18)*($B$19-'Entrada das massas'!S103)+($B$18*$C$19)-($B$19*$C$19))/($B$18-$B$19)),IF(AND('Entrada das massas'!S103&lt;=$B$18,'Entrada das massas'!S103&gt;$B$17),'Entrada das massas'!S103-((($C$18-$C$17)*($B$18-'Entrada das massas'!S103)+($B$17*$C$18)-($B$18*$C$18))/($B$17-$B$18)),IF(AND('Entrada das massas'!S103&lt;=$B$17,'Entrada das massas'!S103&gt;$B$16),'Entrada das massas'!S103-((($C$17-$C$16)*($B$17-'Entrada das massas'!S103)+($B$16*$C$17)-($B$17*$C$17))/($B$16-$B$17)),IF(AND('Entrada das massas'!S103&lt;=$B$16,'Entrada das massas'!S103&gt;$B$15),'Entrada das massas'!S103-((($C$16-$C$15)*($B$16-'Entrada das massas'!S103)+($B$15*$C$16)-($B$16*$C$16))/($B$15-$B$16)),IF(AND('Entrada das massas'!S103&lt;=$B$15,'Entrada das massas'!S103&gt;$B$14),'Entrada das massas'!S103-((($C$15-$C$14)*($B$15-'Entrada das massas'!S103)+($B$14*$C$15)-($B$15*$C$15))/($B$14-$B$15)),IF(AND('Entrada das massas'!S103&lt;=$B$14,'Entrada das massas'!S103&gt;$B$13),'Entrada das massas'!S103-((($C$14-$C$13)*($B$14-'Entrada das massas'!S103)+($B$13*$C$14)-($B$14*$C$14))/($B$13-$B$14)),IF(AND('Entrada das massas'!S103&lt;=$B$13,'Entrada das massas'!S103&gt;$B$12),'Entrada das massas'!S103-((($C$13-$C$12)*($B$13-'Entrada das massas'!S103)+($B$12*$C$13)-($B$13*$C$13))/($B$12-$B$13)),IF(AND('Entrada das massas'!S103&lt;=$B$12,'Entrada das massas'!S103&gt;$B$11),'Entrada das massas'!S103-((($C$12-$C$11)*($B$12-'Entrada das massas'!S103)+($B$11*$C$12)-($B$12*$C$12))/($B$11-$B$12)),IF(AND('Entrada das massas'!S103&lt;=$B$11,'Entrada das massas'!S103&gt;$B$10),'Entrada das massas'!S103-((($C$11-$C$10)*($B$11-'Entrada das massas'!S103)+($B$10*$C$11)-($B$11*$C$11))/($B$10-$B$11)),IF(AND('Entrada das massas'!S103&lt;=$B$10,'Entrada das massas'!S103&gt;$B$9),'Entrada das massas'!S103-((($C$10-$C$9)*($B$10-'Entrada das massas'!S103)+($B$9*$C$10)-($B$10*$C$10))/($B$9-$B$10)),IF(AND('Entrada das massas'!S103&lt;=$B$9,'Entrada das massas'!S103&gt;$B$8),'Entrada das massas'!S103-((($C$9-$C$8)*($B$9-'Entrada das massas'!S103)+($B$8*$C$9)-($B$9*$C$9))/($B$8-$B$9)),IF(AND('Entrada das massas'!S103&lt;=$B$8,'Entrada das massas'!S103&gt;$B$7),'Entrada das massas'!S103-((($C$8-$C$7)*($B$8-'Entrada das massas'!S103)+($B$7*$C$8)-($B$8*$C$8))/($B$7-$B$8)),IF(AND('Entrada das massas'!S103&lt;=$B$7,'Entrada das massas'!S103&gt;$B$6),'Entrada das massas'!S103-((($C$7-$C$6)*($B$7-'Entrada das massas'!S103)+($B$6*$C$7)-($B$7*$C$7))/($B$6-$B$7)),IF(AND('Entrada das massas'!S103&lt;=$B$6,'Entrada das massas'!S103&gt;$B$5),'Entrada das massas'!S103-((($C$6-$C$5)*($B$6-'Entrada das massas'!S103)+($B$5*$C$6)-($B$6*$C$6))/($B$5-$B$6)),IF('Entrada das massas'!S103&lt;=$B$5,'Entrada das massas'!S103-$C$5)))))))))))))))))</f>
        <v/>
      </c>
      <c r="X123" s="117" t="str">
        <f t="shared" ref="X123:X124" si="62">IF(W123="","",(IF(AND(W123&lt;=$B$20,W123&gt;$B$19),$D$19+($B$19-W123)/($B$19-$B$20)*($D$20-$D$19),IF(AND(W123&lt;=$B$19,W123&gt;$B$18),$D$18+($B$18-W123)/($B$18-$B$19)*($D$19-$D$18),IF(AND(W123&lt;=$B$18,W123&gt;$B$17),$D$17+($B$17-W123)/($B$17-$B$18)*($D$18-$D$17),IF(AND(W123&lt;=$B$17,W123&gt;$B$16),$D$16+($B$16-W123)/($B$16-$B$17)*($D$17-$D$16),IF(AND(W123&lt;=$B$16,W123&gt;$B$15),$D$15+($B$15-W123)/($B$15-$B$16)*($D$16-$D$15),IF(AND(W123&lt;=$B$15,W123&gt;$B$14),$D$14+($B$14-W123)/($B$14-$B$15)*($D$15-$D$14),IF(AND(W123&lt;=$B$14,W123&gt;$B$13),$D$13+($B$13-W123)/($B$13-$B$14)*($D$14-$D$13),IF(AND(W123&lt;=$B$13,W123&gt;$B$12),$D$12+($B$12-W123)/($B$12-$B$13)*($D$13-$D$12),IF(AND(W123&lt;=$B$12,W123&gt;$B$11),$D$11+($B$11-W123)/($B$11-$B$12)*($D$12-$D$11),IF(AND(W123&lt;=$B$11,W123&gt;$B$10),$D$10+($B$10-W123)/($B$10-$B$11)*($D$11-$D$10),IF(AND(W123&lt;=$B$10,W123&gt;$B$9),$D$9+($B$9-W123)/($B$9-$B$10)*($D$10-$D$9),IF(AND(W123&lt;=$B$9,W123&gt;$B$8),$D$8+($B$8-W123)/($B$8-$B$9)*($D$9-$D$8),IF(AND(W123&lt;=$B$8,W123&gt;$B$7),$D$7+($B$7-W123)/($B$7-$B$8)*($D$8-$D$7),IF(AND(W123&lt;=$B$7,W123&gt;$B$6),$D$6+($B$6-W123)/($B$6-$B$7)*($D$7-$D$6),IF(W123&lt;=$B$6,$D$6)))))))))))))))))</f>
        <v/>
      </c>
      <c r="Y123" s="120" t="str">
        <f>IF(W122="","",W123-W122)</f>
        <v/>
      </c>
      <c r="Z123" s="117" t="str">
        <f>IF(X122="","",SQRT(SUMSQ(X122:X123)))</f>
        <v/>
      </c>
      <c r="AA123" s="93" t="str">
        <f>IF(W121="","","Amostra")</f>
        <v/>
      </c>
      <c r="AB123" s="104"/>
      <c r="AC123" s="104"/>
      <c r="AE123" s="88"/>
      <c r="AF123" s="160"/>
    </row>
    <row r="124" spans="8:32" x14ac:dyDescent="0.2">
      <c r="H124" s="123" t="str">
        <f>IF(I121="","","Massa final")</f>
        <v/>
      </c>
      <c r="I124" s="116" t="str">
        <f>IF('Entrada das massas'!I104="","",IF(AND('Entrada das massas'!I104&lt;=$B$20,'Entrada das massas'!I104&gt;$B$19),'Entrada das massas'!I104-((($C$20-$C$19)*($B$20-'Entrada das massas'!I104)+($B$19*$C$20)-($B$20*$C$20))/($B$19-$B$20)),IF(AND('Entrada das massas'!I104&lt;=$B$19,'Entrada das massas'!I104&gt;$B$18),'Entrada das massas'!I104-((($C$19-$C$18)*($B$19-'Entrada das massas'!I104)+($B$18*$C$19)-($B$19*$C$19))/($B$18-$B$19)),IF(AND('Entrada das massas'!I104&lt;=$B$18,'Entrada das massas'!I104&gt;$B$17),'Entrada das massas'!I104-((($C$18-$C$17)*($B$18-'Entrada das massas'!I104)+($B$17*$C$18)-($B$18*$C$18))/($B$17-$B$18)),IF(AND('Entrada das massas'!I104&lt;=$B$17,'Entrada das massas'!I104&gt;$B$16),'Entrada das massas'!I104-((($C$17-$C$16)*($B$17-'Entrada das massas'!I104)+($B$16*$C$17)-($B$17*$C$17))/($B$16-$B$17)),IF(AND('Entrada das massas'!I104&lt;=$B$16,'Entrada das massas'!I104&gt;$B$15),'Entrada das massas'!I104-((($C$16-$C$15)*($B$16-'Entrada das massas'!I104)+($B$15*$C$16)-($B$16*$C$16))/($B$15-$B$16)),IF(AND('Entrada das massas'!I104&lt;=$B$15,'Entrada das massas'!I104&gt;$B$14),'Entrada das massas'!I104-((($C$15-$C$14)*($B$15-'Entrada das massas'!I104)+($B$14*$C$15)-($B$15*$C$15))/($B$14-$B$15)),IF(AND('Entrada das massas'!I104&lt;=$B$14,'Entrada das massas'!I104&gt;$B$13),'Entrada das massas'!I104-((($C$14-$C$13)*($B$14-'Entrada das massas'!I104)+($B$13*$C$14)-($B$14*$C$14))/($B$13-$B$14)),IF(AND('Entrada das massas'!I104&lt;=$B$13,'Entrada das massas'!I104&gt;$B$12),'Entrada das massas'!I104-((($C$13-$C$12)*($B$13-'Entrada das massas'!I104)+($B$12*$C$13)-($B$13*$C$13))/($B$12-$B$13)),IF(AND('Entrada das massas'!I104&lt;=$B$12,'Entrada das massas'!I104&gt;$B$11),'Entrada das massas'!I104-((($C$12-$C$11)*($B$12-'Entrada das massas'!I104)+($B$11*$C$12)-($B$12*$C$12))/($B$11-$B$12)),IF(AND('Entrada das massas'!I104&lt;=$B$11,'Entrada das massas'!I104&gt;$B$10),'Entrada das massas'!I104-((($C$11-$C$10)*($B$11-'Entrada das massas'!I104)+($B$10*$C$11)-($B$11*$C$11))/($B$10-$B$11)),IF(AND('Entrada das massas'!I104&lt;=$B$10,'Entrada das massas'!I104&gt;$B$9),'Entrada das massas'!I104-((($C$10-$C$9)*($B$10-'Entrada das massas'!I104)+($B$9*$C$10)-($B$10*$C$10))/($B$9-$B$10)),IF(AND('Entrada das massas'!I104&lt;=$B$9,'Entrada das massas'!I104&gt;$B$8),'Entrada das massas'!I104-((($C$9-$C$8)*($B$9-'Entrada das massas'!I104)+($B$8*$C$9)-($B$9*$C$9))/($B$8-$B$9)),IF(AND('Entrada das massas'!I104&lt;=$B$8,'Entrada das massas'!I104&gt;$B$7),'Entrada das massas'!I104-((($C$8-$C$7)*($B$8-'Entrada das massas'!I104)+($B$7*$C$8)-($B$8*$C$8))/($B$7-$B$8)),IF(AND('Entrada das massas'!I104&lt;=$B$7,'Entrada das massas'!I104&gt;$B$6),'Entrada das massas'!I104-((($C$7-$C$6)*($B$7-'Entrada das massas'!I104)+($B$6*$C$7)-($B$7*$C$7))/($B$6-$B$7)),IF(AND('Entrada das massas'!I104&lt;=$B$6,'Entrada das massas'!I104&gt;$B$5),'Entrada das massas'!I104-((($C$6-$C$5)*($B$6-'Entrada das massas'!I104)+($B$5*$C$6)-($B$6*$C$6))/($B$5-$B$6)),IF('Entrada das massas'!I104&lt;=$B$5,'Entrada das massas'!I104-$C$5)))))))))))))))))</f>
        <v/>
      </c>
      <c r="J124" s="117" t="str">
        <f t="shared" si="60"/>
        <v/>
      </c>
      <c r="K124" s="120" t="str">
        <f>IF(I122="","",I124-I122)</f>
        <v/>
      </c>
      <c r="L124" s="117" t="str">
        <f>IF(J122="","",SQRT(SUMSQ(J122,J124)))</f>
        <v/>
      </c>
      <c r="M124" s="93" t="str">
        <f>IF(I121="","","Solução")</f>
        <v/>
      </c>
      <c r="N124" s="93"/>
      <c r="O124" s="123" t="str">
        <f>IF(P121="","","Massa final")</f>
        <v/>
      </c>
      <c r="P124" s="95" t="str">
        <f>IF('Entrada das massas'!N104="","",IF(AND('Entrada das massas'!N104&lt;=$B$20,'Entrada das massas'!N104&gt;$B$19),'Entrada das massas'!N104-((($C$20-$C$19)*($B$20-'Entrada das massas'!N104)+($B$19*$C$20)-($B$20*$C$20))/($B$19-$B$20)),IF(AND('Entrada das massas'!N104&lt;=$B$19,'Entrada das massas'!N104&gt;$B$18),'Entrada das massas'!N104-((($C$19-$C$18)*($B$19-'Entrada das massas'!N104)+($B$18*$C$19)-($B$19*$C$19))/($B$18-$B$19)),IF(AND('Entrada das massas'!N104&lt;=$B$18,'Entrada das massas'!N104&gt;$B$17),'Entrada das massas'!N104-((($C$18-$C$17)*($B$18-'Entrada das massas'!N104)+($B$17*$C$18)-($B$18*$C$18))/($B$17-$B$18)),IF(AND('Entrada das massas'!N104&lt;=$B$17,'Entrada das massas'!N104&gt;$B$16),'Entrada das massas'!N104-((($C$17-$C$16)*($B$17-'Entrada das massas'!N104)+($B$16*$C$17)-($B$17*$C$17))/($B$16-$B$17)),IF(AND('Entrada das massas'!N104&lt;=$B$16,'Entrada das massas'!N104&gt;$B$15),'Entrada das massas'!N104-((($C$16-$C$15)*($B$16-'Entrada das massas'!N104)+($B$15*$C$16)-($B$16*$C$16))/($B$15-$B$16)),IF(AND('Entrada das massas'!N104&lt;=$B$15,'Entrada das massas'!N104&gt;$B$14),'Entrada das massas'!N104-((($C$15-$C$14)*($B$15-'Entrada das massas'!N104)+($B$14*$C$15)-($B$15*$C$15))/($B$14-$B$15)),IF(AND('Entrada das massas'!N104&lt;=$B$14,'Entrada das massas'!N104&gt;$B$13),'Entrada das massas'!N104-((($C$14-$C$13)*($B$14-'Entrada das massas'!N104)+($B$13*$C$14)-($B$14*$C$14))/($B$13-$B$14)),IF(AND('Entrada das massas'!N104&lt;=$B$13,'Entrada das massas'!N104&gt;$B$12),'Entrada das massas'!N104-((($C$13-$C$12)*($B$13-'Entrada das massas'!N104)+($B$12*$C$13)-($B$13*$C$13))/($B$12-$B$13)),IF(AND('Entrada das massas'!N104&lt;=$B$12,'Entrada das massas'!N104&gt;$B$11),'Entrada das massas'!N104-((($C$12-$C$11)*($B$12-'Entrada das massas'!N104)+($B$11*$C$12)-($B$12*$C$12))/($B$11-$B$12)),IF(AND('Entrada das massas'!N104&lt;=$B$11,'Entrada das massas'!N104&gt;$B$10),'Entrada das massas'!N104-((($C$11-$C$10)*($B$11-'Entrada das massas'!N104)+($B$10*$C$11)-($B$11*$C$11))/($B$10-$B$11)),IF(AND('Entrada das massas'!N104&lt;=$B$10,'Entrada das massas'!N104&gt;$B$9),'Entrada das massas'!N104-((($C$10-$C$9)*($B$10-'Entrada das massas'!N104)+($B$9*$C$10)-($B$10*$C$10))/($B$9-$B$10)),IF(AND('Entrada das massas'!N104&lt;=$B$9,'Entrada das massas'!N104&gt;$B$8),'Entrada das massas'!N104-((($C$9-$C$8)*($B$9-'Entrada das massas'!N104)+($B$8*$C$9)-($B$9*$C$9))/($B$8-$B$9)),IF(AND('Entrada das massas'!N104&lt;=$B$8,'Entrada das massas'!N104&gt;$B$7),'Entrada das massas'!N104-((($C$8-$C$7)*($B$8-'Entrada das massas'!N104)+($B$7*$C$8)-($B$8*$C$8))/($B$7-$B$8)),IF(AND('Entrada das massas'!N104&lt;=$B$7,'Entrada das massas'!N104&gt;$B$6),'Entrada das massas'!N104-((($C$7-$C$6)*($B$7-'Entrada das massas'!N104)+($B$6*$C$7)-($B$7*$C$7))/($B$6-$B$7)),IF(AND('Entrada das massas'!N104&lt;=$B$6,'Entrada das massas'!N104&gt;$B$5),'Entrada das massas'!N104-((($C$6-$C$5)*($B$6-'Entrada das massas'!N104)+($B$5*$C$6)-($B$6*$C$6))/($B$5-$B$6)),IF('Entrada das massas'!N104&lt;=$B$5,'Entrada das massas'!N104-$C$5)))))))))))))))))</f>
        <v/>
      </c>
      <c r="Q124" s="117" t="str">
        <f t="shared" si="61"/>
        <v/>
      </c>
      <c r="R124" s="120" t="str">
        <f>IF(P122="","",P124-P122)</f>
        <v/>
      </c>
      <c r="S124" s="117" t="str">
        <f>IF(Q122="","",SQRT(SUMSQ(Q122,Q124)))</f>
        <v/>
      </c>
      <c r="T124" s="93" t="str">
        <f>IF(P121="","","Solução")</f>
        <v/>
      </c>
      <c r="U124" s="93"/>
      <c r="V124" s="123" t="str">
        <f>IF(W121="","","Massa final")</f>
        <v/>
      </c>
      <c r="W124" s="95" t="str">
        <f>IF('Entrada das massas'!S104="","",IF(AND('Entrada das massas'!S104&lt;=$B$20,'Entrada das massas'!S104&gt;$B$19),'Entrada das massas'!S104-((($C$20-$C$19)*($B$20-'Entrada das massas'!S104)+($B$19*$C$20)-($B$20*$C$20))/($B$19-$B$20)),IF(AND('Entrada das massas'!S104&lt;=$B$19,'Entrada das massas'!S104&gt;$B$18),'Entrada das massas'!S104-((($C$19-$C$18)*($B$19-'Entrada das massas'!S104)+($B$18*$C$19)-($B$19*$C$19))/($B$18-$B$19)),IF(AND('Entrada das massas'!S104&lt;=$B$18,'Entrada das massas'!S104&gt;$B$17),'Entrada das massas'!S104-((($C$18-$C$17)*($B$18-'Entrada das massas'!S104)+($B$17*$C$18)-($B$18*$C$18))/($B$17-$B$18)),IF(AND('Entrada das massas'!S104&lt;=$B$17,'Entrada das massas'!S104&gt;$B$16),'Entrada das massas'!S104-((($C$17-$C$16)*($B$17-'Entrada das massas'!S104)+($B$16*$C$17)-($B$17*$C$17))/($B$16-$B$17)),IF(AND('Entrada das massas'!S104&lt;=$B$16,'Entrada das massas'!S104&gt;$B$15),'Entrada das massas'!S104-((($C$16-$C$15)*($B$16-'Entrada das massas'!S104)+($B$15*$C$16)-($B$16*$C$16))/($B$15-$B$16)),IF(AND('Entrada das massas'!S104&lt;=$B$15,'Entrada das massas'!S104&gt;$B$14),'Entrada das massas'!S104-((($C$15-$C$14)*($B$15-'Entrada das massas'!S104)+($B$14*$C$15)-($B$15*$C$15))/($B$14-$B$15)),IF(AND('Entrada das massas'!S104&lt;=$B$14,'Entrada das massas'!S104&gt;$B$13),'Entrada das massas'!S104-((($C$14-$C$13)*($B$14-'Entrada das massas'!S104)+($B$13*$C$14)-($B$14*$C$14))/($B$13-$B$14)),IF(AND('Entrada das massas'!S104&lt;=$B$13,'Entrada das massas'!S104&gt;$B$12),'Entrada das massas'!S104-((($C$13-$C$12)*($B$13-'Entrada das massas'!S104)+($B$12*$C$13)-($B$13*$C$13))/($B$12-$B$13)),IF(AND('Entrada das massas'!S104&lt;=$B$12,'Entrada das massas'!S104&gt;$B$11),'Entrada das massas'!S104-((($C$12-$C$11)*($B$12-'Entrada das massas'!S104)+($B$11*$C$12)-($B$12*$C$12))/($B$11-$B$12)),IF(AND('Entrada das massas'!S104&lt;=$B$11,'Entrada das massas'!S104&gt;$B$10),'Entrada das massas'!S104-((($C$11-$C$10)*($B$11-'Entrada das massas'!S104)+($B$10*$C$11)-($B$11*$C$11))/($B$10-$B$11)),IF(AND('Entrada das massas'!S104&lt;=$B$10,'Entrada das massas'!S104&gt;$B$9),'Entrada das massas'!S104-((($C$10-$C$9)*($B$10-'Entrada das massas'!S104)+($B$9*$C$10)-($B$10*$C$10))/($B$9-$B$10)),IF(AND('Entrada das massas'!S104&lt;=$B$9,'Entrada das massas'!S104&gt;$B$8),'Entrada das massas'!S104-((($C$9-$C$8)*($B$9-'Entrada das massas'!S104)+($B$8*$C$9)-($B$9*$C$9))/($B$8-$B$9)),IF(AND('Entrada das massas'!S104&lt;=$B$8,'Entrada das massas'!S104&gt;$B$7),'Entrada das massas'!S104-((($C$8-$C$7)*($B$8-'Entrada das massas'!S104)+($B$7*$C$8)-($B$8*$C$8))/($B$7-$B$8)),IF(AND('Entrada das massas'!S104&lt;=$B$7,'Entrada das massas'!S104&gt;$B$6),'Entrada das massas'!S104-((($C$7-$C$6)*($B$7-'Entrada das massas'!S104)+($B$6*$C$7)-($B$7*$C$7))/($B$6-$B$7)),IF(AND('Entrada das massas'!S104&lt;=$B$6,'Entrada das massas'!S104&gt;$B$5),'Entrada das massas'!S104-((($C$6-$C$5)*($B$6-'Entrada das massas'!S104)+($B$5*$C$6)-($B$6*$C$6))/($B$5-$B$6)),IF('Entrada das massas'!S104&lt;=$B$5,'Entrada das massas'!S104-$C$5)))))))))))))))))</f>
        <v/>
      </c>
      <c r="X124" s="117" t="str">
        <f t="shared" si="62"/>
        <v/>
      </c>
      <c r="Y124" s="120" t="str">
        <f>IF(W122="","",W124-W122)</f>
        <v/>
      </c>
      <c r="Z124" s="117" t="str">
        <f>IF(X122="","",SQRT(SUMSQ(X122,X124)))</f>
        <v/>
      </c>
      <c r="AA124" s="93" t="str">
        <f>IF(W121="","","Solução")</f>
        <v/>
      </c>
      <c r="AB124" s="104"/>
      <c r="AC124" s="104"/>
      <c r="AE124" s="88"/>
      <c r="AF124" s="160"/>
    </row>
    <row r="125" spans="8:32" x14ac:dyDescent="0.2">
      <c r="H125" s="98"/>
      <c r="I125" s="93"/>
      <c r="J125" s="139"/>
      <c r="K125" s="139"/>
      <c r="L125" s="139"/>
      <c r="M125" s="98"/>
      <c r="N125" s="98"/>
      <c r="O125" s="98"/>
      <c r="P125" s="93"/>
      <c r="Q125" s="120"/>
      <c r="R125" s="120"/>
      <c r="S125" s="120"/>
      <c r="T125" s="98"/>
      <c r="U125" s="98"/>
      <c r="V125" s="98"/>
      <c r="W125" s="93"/>
      <c r="X125" s="120"/>
      <c r="Y125" s="120"/>
      <c r="Z125" s="120"/>
      <c r="AA125" s="98"/>
      <c r="AB125" s="104"/>
      <c r="AC125" s="104"/>
      <c r="AE125" s="88"/>
      <c r="AF125" s="160"/>
    </row>
    <row r="126" spans="8:32" x14ac:dyDescent="0.2">
      <c r="H126" s="126" t="str">
        <f>IF(I121="","","Amostra")</f>
        <v/>
      </c>
      <c r="I126" s="127" t="str">
        <f>IF('Entrada das massas'!I106="","",'Entrada das massas'!I106)</f>
        <v/>
      </c>
      <c r="J126" s="120" t="str">
        <f>IF(I126="","","uc(g)")</f>
        <v/>
      </c>
      <c r="K126" s="120" t="str">
        <f>IF(J126="","","Massa (g)")</f>
        <v/>
      </c>
      <c r="L126" s="120" t="str">
        <f>IF(K126="","","ucomb (g)")</f>
        <v/>
      </c>
      <c r="M126" s="98" t="str">
        <f>IF(I126="","","Fdiluição")</f>
        <v/>
      </c>
      <c r="N126" s="98"/>
      <c r="O126" s="126" t="str">
        <f>IF(M127="","","Amostra")</f>
        <v/>
      </c>
      <c r="P126" s="127" t="str">
        <f>IF('Entrada das massas'!N106="","",'Entrada das massas'!N106)</f>
        <v/>
      </c>
      <c r="Q126" s="120" t="str">
        <f>IF(P126="","","uc(g)")</f>
        <v/>
      </c>
      <c r="R126" s="120" t="str">
        <f>IF(Q126="","","Massa (g)")</f>
        <v/>
      </c>
      <c r="S126" s="120" t="str">
        <f>IF(R126="","","ucomb (g)")</f>
        <v/>
      </c>
      <c r="T126" s="98" t="str">
        <f>IF(P126="","","Fdiluição")</f>
        <v/>
      </c>
      <c r="U126" s="98"/>
      <c r="V126" s="126" t="str">
        <f>IF(T127="","","Amostra")</f>
        <v/>
      </c>
      <c r="W126" s="127" t="str">
        <f>IF('Entrada das massas'!S106="","",'Entrada das massas'!S106)</f>
        <v/>
      </c>
      <c r="X126" s="120" t="str">
        <f>IF(W126="","","uc(g)")</f>
        <v/>
      </c>
      <c r="Y126" s="120" t="str">
        <f>IF(X126="","","Massa (g)")</f>
        <v/>
      </c>
      <c r="Z126" s="120" t="str">
        <f>IF(Y126="","","ucomb (g)")</f>
        <v/>
      </c>
      <c r="AA126" s="98" t="str">
        <f>IF(W126="","","Fdiluição")</f>
        <v/>
      </c>
      <c r="AB126" s="104"/>
      <c r="AC126" s="104"/>
      <c r="AE126" s="88"/>
      <c r="AF126" s="160"/>
    </row>
    <row r="127" spans="8:32" x14ac:dyDescent="0.2">
      <c r="H127" s="115" t="str">
        <f>IF(I126="","","Frasco")</f>
        <v/>
      </c>
      <c r="I127" s="116" t="str">
        <f>IF('Entrada das massas'!I107="","",IF(AND('Entrada das massas'!I107&lt;=$B$20,'Entrada das massas'!I107&gt;$B$19),'Entrada das massas'!I107-((($C$20-$C$19)*($B$20-'Entrada das massas'!I107)+($B$19*$C$20)-($B$20*$C$20))/($B$19-$B$20)),IF(AND('Entrada das massas'!I107&lt;=$B$19,'Entrada das massas'!I107&gt;$B$18),'Entrada das massas'!I107-((($C$19-$C$18)*($B$19-'Entrada das massas'!I107)+($B$18*$C$19)-($B$19*$C$19))/($B$18-$B$19)),IF(AND('Entrada das massas'!I107&lt;=$B$18,'Entrada das massas'!I107&gt;$B$17),'Entrada das massas'!I107-((($C$18-$C$17)*($B$18-'Entrada das massas'!I107)+($B$17*$C$18)-($B$18*$C$18))/($B$17-$B$18)),IF(AND('Entrada das massas'!I107&lt;=$B$17,'Entrada das massas'!I107&gt;$B$16),'Entrada das massas'!I107-((($C$17-$C$16)*($B$17-'Entrada das massas'!I107)+($B$16*$C$17)-($B$17*$C$17))/($B$16-$B$17)),IF(AND('Entrada das massas'!I107&lt;=$B$16,'Entrada das massas'!I107&gt;$B$15),'Entrada das massas'!I107-((($C$16-$C$15)*($B$16-'Entrada das massas'!I107)+($B$15*$C$16)-($B$16*$C$16))/($B$15-$B$16)),IF(AND('Entrada das massas'!I107&lt;=$B$15,'Entrada das massas'!I107&gt;$B$14),'Entrada das massas'!I107-((($C$15-$C$14)*($B$15-'Entrada das massas'!I107)+($B$14*$C$15)-($B$15*$C$15))/($B$14-$B$15)),IF(AND('Entrada das massas'!I107&lt;=$B$14,'Entrada das massas'!I107&gt;$B$13),'Entrada das massas'!I107-((($C$14-$C$13)*($B$14-'Entrada das massas'!I107)+($B$13*$C$14)-($B$14*$C$14))/($B$13-$B$14)),IF(AND('Entrada das massas'!I107&lt;=$B$13,'Entrada das massas'!I107&gt;$B$12),'Entrada das massas'!I107-((($C$13-$C$12)*($B$13-'Entrada das massas'!I107)+($B$12*$C$13)-($B$13*$C$13))/($B$12-$B$13)),IF(AND('Entrada das massas'!I107&lt;=$B$12,'Entrada das massas'!I107&gt;$B$11),'Entrada das massas'!I107-((($C$12-$C$11)*($B$12-'Entrada das massas'!I107)+($B$11*$C$12)-($B$12*$C$12))/($B$11-$B$12)),IF(AND('Entrada das massas'!I107&lt;=$B$11,'Entrada das massas'!I107&gt;$B$10),'Entrada das massas'!I107-((($C$11-$C$10)*($B$11-'Entrada das massas'!I107)+($B$10*$C$11)-($B$11*$C$11))/($B$10-$B$11)),IF(AND('Entrada das massas'!I107&lt;=$B$10,'Entrada das massas'!I107&gt;$B$9),'Entrada das massas'!I107-((($C$10-$C$9)*($B$10-'Entrada das massas'!I107)+($B$9*$C$10)-($B$10*$C$10))/($B$9-$B$10)),IF(AND('Entrada das massas'!I107&lt;=$B$9,'Entrada das massas'!I107&gt;$B$8),'Entrada das massas'!I107-((($C$9-$C$8)*($B$9-'Entrada das massas'!I107)+($B$8*$C$9)-($B$9*$C$9))/($B$8-$B$9)),IF(AND('Entrada das massas'!I107&lt;=$B$8,'Entrada das massas'!I107&gt;$B$7),'Entrada das massas'!I107-((($C$8-$C$7)*($B$8-'Entrada das massas'!I107)+($B$7*$C$8)-($B$8*$C$8))/($B$7-$B$8)),IF(AND('Entrada das massas'!I107&lt;=$B$7,'Entrada das massas'!I107&gt;$B$6),'Entrada das massas'!I107-((($C$7-$C$6)*($B$7-'Entrada das massas'!I107)+($B$6*$C$7)-($B$7*$C$7))/($B$6-$B$7)),IF(AND('Entrada das massas'!I107&lt;=$B$6,'Entrada das massas'!I107&gt;$B$5),'Entrada das massas'!I107-((($C$6-$C$5)*($B$6-'Entrada das massas'!I107)+($B$5*$C$6)-($B$6*$C$6))/($B$5-$B$6)),IF('Entrada das massas'!I107&lt;=$B$5,'Entrada das massas'!I107-$C$5)))))))))))))))))</f>
        <v/>
      </c>
      <c r="J127" s="117" t="str">
        <f>IF(I127="","",(IF(AND(I127&lt;=$B$20,I127&gt;$B$19),$D$19+($B$19-I127)/($B$19-$B$20)*($D$20-$D$19),IF(AND(I127&lt;=$B$19,I127&gt;$B$18),$D$18+($B$18-I127)/($B$18-$B$19)*($D$19-$D$18),IF(AND(I127&lt;=$B$18,I127&gt;$B$17),$D$17+($B$17-I127)/($B$17-$B$18)*($D$18-$D$17),IF(AND(I127&lt;=$B$17,I127&gt;$B$16),$D$16+($B$16-I127)/($B$16-$B$17)*($D$17-$D$16),IF(AND(I127&lt;=$B$16,I127&gt;$B$15),$D$15+($B$15-I127)/($B$15-$B$16)*($D$16-$D$15),IF(AND(I127&lt;=$B$15,I127&gt;$B$14),$D$14+($B$14-I127)/($B$14-$B$15)*($D$15-$D$14),IF(AND(I127&lt;=$B$14,I127&gt;$B$13),$D$13+($B$13-I127)/($B$13-$B$14)*($D$14-$D$13),IF(AND(I127&lt;=$B$13,I127&gt;$B$12),$D$12+($B$12-I127)/($B$12-$B$13)*($D$13-$D$12),IF(AND(I127&lt;=$B$12,I127&gt;$B$11),$D$11+($B$11-I127)/($B$11-$B$12)*($D$12-$D$11),IF(AND(I127&lt;=$B$11,I127&gt;$B$10),$D$10+($B$10-I127)/($B$10-$B$11)*($D$11-$D$10),IF(AND(I127&lt;=$B$10,I127&gt;$B$9),$D$9+($B$9-I127)/($B$9-$B$10)*($D$10-$D$9),IF(AND(I127&lt;=$B$9,I127&gt;$B$8),$D$8+($B$8-I127)/($B$8-$B$9)*($D$9-$D$8),IF(AND(I127&lt;=$B$8,I127&gt;$B$7),$D$7+($B$7-I127)/($B$7-$B$8)*($D$8-$D$7),IF(AND(I127&lt;=$B$7,I127&gt;$B$6),$D$6+($B$6-I127)/($B$6-$B$7)*($D$7-$D$6),IF(I127&lt;=$B$6,$D$6)))))))))))))))))</f>
        <v/>
      </c>
      <c r="K127" s="117"/>
      <c r="L127" s="117"/>
      <c r="M127" s="118" t="str">
        <f>IFERROR(K129/K128,"")</f>
        <v/>
      </c>
      <c r="N127" s="93"/>
      <c r="O127" s="115" t="str">
        <f>IF(P126="","","Frasco")</f>
        <v/>
      </c>
      <c r="P127" s="95" t="str">
        <f>IF('Entrada das massas'!N107="","",IF(AND('Entrada das massas'!N107&lt;=$B$20,'Entrada das massas'!N107&gt;$B$19),'Entrada das massas'!N107-((($C$20-$C$19)*($B$20-'Entrada das massas'!N107)+($B$19*$C$20)-($B$20*$C$20))/($B$19-$B$20)),IF(AND('Entrada das massas'!N107&lt;=$B$19,'Entrada das massas'!N107&gt;$B$18),'Entrada das massas'!N107-((($C$19-$C$18)*($B$19-'Entrada das massas'!N107)+($B$18*$C$19)-($B$19*$C$19))/($B$18-$B$19)),IF(AND('Entrada das massas'!N107&lt;=$B$18,'Entrada das massas'!N107&gt;$B$17),'Entrada das massas'!N107-((($C$18-$C$17)*($B$18-'Entrada das massas'!N107)+($B$17*$C$18)-($B$18*$C$18))/($B$17-$B$18)),IF(AND('Entrada das massas'!N107&lt;=$B$17,'Entrada das massas'!N107&gt;$B$16),'Entrada das massas'!N107-((($C$17-$C$16)*($B$17-'Entrada das massas'!N107)+($B$16*$C$17)-($B$17*$C$17))/($B$16-$B$17)),IF(AND('Entrada das massas'!N107&lt;=$B$16,'Entrada das massas'!N107&gt;$B$15),'Entrada das massas'!N107-((($C$16-$C$15)*($B$16-'Entrada das massas'!N107)+($B$15*$C$16)-($B$16*$C$16))/($B$15-$B$16)),IF(AND('Entrada das massas'!N107&lt;=$B$15,'Entrada das massas'!N107&gt;$B$14),'Entrada das massas'!N107-((($C$15-$C$14)*($B$15-'Entrada das massas'!N107)+($B$14*$C$15)-($B$15*$C$15))/($B$14-$B$15)),IF(AND('Entrada das massas'!N107&lt;=$B$14,'Entrada das massas'!N107&gt;$B$13),'Entrada das massas'!N107-((($C$14-$C$13)*($B$14-'Entrada das massas'!N107)+($B$13*$C$14)-($B$14*$C$14))/($B$13-$B$14)),IF(AND('Entrada das massas'!N107&lt;=$B$13,'Entrada das massas'!N107&gt;$B$12),'Entrada das massas'!N107-((($C$13-$C$12)*($B$13-'Entrada das massas'!N107)+($B$12*$C$13)-($B$13*$C$13))/($B$12-$B$13)),IF(AND('Entrada das massas'!N107&lt;=$B$12,'Entrada das massas'!N107&gt;$B$11),'Entrada das massas'!N107-((($C$12-$C$11)*($B$12-'Entrada das massas'!N107)+($B$11*$C$12)-($B$12*$C$12))/($B$11-$B$12)),IF(AND('Entrada das massas'!N107&lt;=$B$11,'Entrada das massas'!N107&gt;$B$10),'Entrada das massas'!N107-((($C$11-$C$10)*($B$11-'Entrada das massas'!N107)+($B$10*$C$11)-($B$11*$C$11))/($B$10-$B$11)),IF(AND('Entrada das massas'!N107&lt;=$B$10,'Entrada das massas'!N107&gt;$B$9),'Entrada das massas'!N107-((($C$10-$C$9)*($B$10-'Entrada das massas'!N107)+($B$9*$C$10)-($B$10*$C$10))/($B$9-$B$10)),IF(AND('Entrada das massas'!N107&lt;=$B$9,'Entrada das massas'!N107&gt;$B$8),'Entrada das massas'!N107-((($C$9-$C$8)*($B$9-'Entrada das massas'!N107)+($B$8*$C$9)-($B$9*$C$9))/($B$8-$B$9)),IF(AND('Entrada das massas'!N107&lt;=$B$8,'Entrada das massas'!N107&gt;$B$7),'Entrada das massas'!N107-((($C$8-$C$7)*($B$8-'Entrada das massas'!N107)+($B$7*$C$8)-($B$8*$C$8))/($B$7-$B$8)),IF(AND('Entrada das massas'!N107&lt;=$B$7,'Entrada das massas'!N107&gt;$B$6),'Entrada das massas'!N107-((($C$7-$C$6)*($B$7-'Entrada das massas'!N107)+($B$6*$C$7)-($B$7*$C$7))/($B$6-$B$7)),IF(AND('Entrada das massas'!N107&lt;=$B$6,'Entrada das massas'!N107&gt;$B$5),'Entrada das massas'!N107-((($C$6-$C$5)*($B$6-'Entrada das massas'!N107)+($B$5*$C$6)-($B$6*$C$6))/($B$5-$B$6)),IF('Entrada das massas'!N107&lt;=$B$5,'Entrada das massas'!N107-$C$5)))))))))))))))))</f>
        <v/>
      </c>
      <c r="Q127" s="117" t="str">
        <f>IF(P127="","",(IF(AND(P127&lt;=$B$20,P127&gt;$B$19),$D$19+($B$19-P127)/($B$19-$B$20)*($D$20-$D$19),IF(AND(P127&lt;=$B$19,P127&gt;$B$18),$D$18+($B$18-P127)/($B$18-$B$19)*($D$19-$D$18),IF(AND(P127&lt;=$B$18,P127&gt;$B$17),$D$17+($B$17-P127)/($B$17-$B$18)*($D$18-$D$17),IF(AND(P127&lt;=$B$17,P127&gt;$B$16),$D$16+($B$16-P127)/($B$16-$B$17)*($D$17-$D$16),IF(AND(P127&lt;=$B$16,P127&gt;$B$15),$D$15+($B$15-P127)/($B$15-$B$16)*($D$16-$D$15),IF(AND(P127&lt;=$B$15,P127&gt;$B$14),$D$14+($B$14-P127)/($B$14-$B$15)*($D$15-$D$14),IF(AND(P127&lt;=$B$14,P127&gt;$B$13),$D$13+($B$13-P127)/($B$13-$B$14)*($D$14-$D$13),IF(AND(P127&lt;=$B$13,P127&gt;$B$12),$D$12+($B$12-P127)/($B$12-$B$13)*($D$13-$D$12),IF(AND(P127&lt;=$B$12,P127&gt;$B$11),$D$11+($B$11-P127)/($B$11-$B$12)*($D$12-$D$11),IF(AND(P127&lt;=$B$11,P127&gt;$B$10),$D$10+($B$10-P127)/($B$10-$B$11)*($D$11-$D$10),IF(AND(P127&lt;=$B$10,P127&gt;$B$9),$D$9+($B$9-P127)/($B$9-$B$10)*($D$10-$D$9),IF(AND(P127&lt;=$B$9,P127&gt;$B$8),$D$8+($B$8-P127)/($B$8-$B$9)*($D$9-$D$8),IF(AND(P127&lt;=$B$8,P127&gt;$B$7),$D$7+($B$7-P127)/($B$7-$B$8)*($D$8-$D$7),IF(AND(P127&lt;=$B$7,P127&gt;$B$6),$D$6+($B$6-P127)/($B$6-$B$7)*($D$7-$D$6),IF(P127&lt;=$B$6,$D$6)))))))))))))))))</f>
        <v/>
      </c>
      <c r="R127" s="117"/>
      <c r="S127" s="117"/>
      <c r="T127" s="118" t="str">
        <f>IFERROR(R129/R128,"")</f>
        <v/>
      </c>
      <c r="U127" s="93"/>
      <c r="V127" s="115" t="str">
        <f>IF(W126="","","Frasco")</f>
        <v/>
      </c>
      <c r="W127" s="95" t="str">
        <f>IF('Entrada das massas'!S107="","",IF(AND('Entrada das massas'!S107&lt;=$B$20,'Entrada das massas'!S107&gt;$B$19),'Entrada das massas'!S107-((($C$20-$C$19)*($B$20-'Entrada das massas'!S107)+($B$19*$C$20)-($B$20*$C$20))/($B$19-$B$20)),IF(AND('Entrada das massas'!S107&lt;=$B$19,'Entrada das massas'!S107&gt;$B$18),'Entrada das massas'!S107-((($C$19-$C$18)*($B$19-'Entrada das massas'!S107)+($B$18*$C$19)-($B$19*$C$19))/($B$18-$B$19)),IF(AND('Entrada das massas'!S107&lt;=$B$18,'Entrada das massas'!S107&gt;$B$17),'Entrada das massas'!S107-((($C$18-$C$17)*($B$18-'Entrada das massas'!S107)+($B$17*$C$18)-($B$18*$C$18))/($B$17-$B$18)),IF(AND('Entrada das massas'!S107&lt;=$B$17,'Entrada das massas'!S107&gt;$B$16),'Entrada das massas'!S107-((($C$17-$C$16)*($B$17-'Entrada das massas'!S107)+($B$16*$C$17)-($B$17*$C$17))/($B$16-$B$17)),IF(AND('Entrada das massas'!S107&lt;=$B$16,'Entrada das massas'!S107&gt;$B$15),'Entrada das massas'!S107-((($C$16-$C$15)*($B$16-'Entrada das massas'!S107)+($B$15*$C$16)-($B$16*$C$16))/($B$15-$B$16)),IF(AND('Entrada das massas'!S107&lt;=$B$15,'Entrada das massas'!S107&gt;$B$14),'Entrada das massas'!S107-((($C$15-$C$14)*($B$15-'Entrada das massas'!S107)+($B$14*$C$15)-($B$15*$C$15))/($B$14-$B$15)),IF(AND('Entrada das massas'!S107&lt;=$B$14,'Entrada das massas'!S107&gt;$B$13),'Entrada das massas'!S107-((($C$14-$C$13)*($B$14-'Entrada das massas'!S107)+($B$13*$C$14)-($B$14*$C$14))/($B$13-$B$14)),IF(AND('Entrada das massas'!S107&lt;=$B$13,'Entrada das massas'!S107&gt;$B$12),'Entrada das massas'!S107-((($C$13-$C$12)*($B$13-'Entrada das massas'!S107)+($B$12*$C$13)-($B$13*$C$13))/($B$12-$B$13)),IF(AND('Entrada das massas'!S107&lt;=$B$12,'Entrada das massas'!S107&gt;$B$11),'Entrada das massas'!S107-((($C$12-$C$11)*($B$12-'Entrada das massas'!S107)+($B$11*$C$12)-($B$12*$C$12))/($B$11-$B$12)),IF(AND('Entrada das massas'!S107&lt;=$B$11,'Entrada das massas'!S107&gt;$B$10),'Entrada das massas'!S107-((($C$11-$C$10)*($B$11-'Entrada das massas'!S107)+($B$10*$C$11)-($B$11*$C$11))/($B$10-$B$11)),IF(AND('Entrada das massas'!S107&lt;=$B$10,'Entrada das massas'!S107&gt;$B$9),'Entrada das massas'!S107-((($C$10-$C$9)*($B$10-'Entrada das massas'!S107)+($B$9*$C$10)-($B$10*$C$10))/($B$9-$B$10)),IF(AND('Entrada das massas'!S107&lt;=$B$9,'Entrada das massas'!S107&gt;$B$8),'Entrada das massas'!S107-((($C$9-$C$8)*($B$9-'Entrada das massas'!S107)+($B$8*$C$9)-($B$9*$C$9))/($B$8-$B$9)),IF(AND('Entrada das massas'!S107&lt;=$B$8,'Entrada das massas'!S107&gt;$B$7),'Entrada das massas'!S107-((($C$8-$C$7)*($B$8-'Entrada das massas'!S107)+($B$7*$C$8)-($B$8*$C$8))/($B$7-$B$8)),IF(AND('Entrada das massas'!S107&lt;=$B$7,'Entrada das massas'!S107&gt;$B$6),'Entrada das massas'!S107-((($C$7-$C$6)*($B$7-'Entrada das massas'!S107)+($B$6*$C$7)-($B$7*$C$7))/($B$6-$B$7)),IF(AND('Entrada das massas'!S107&lt;=$B$6,'Entrada das massas'!S107&gt;$B$5),'Entrada das massas'!S107-((($C$6-$C$5)*($B$6-'Entrada das massas'!S107)+($B$5*$C$6)-($B$6*$C$6))/($B$5-$B$6)),IF('Entrada das massas'!S107&lt;=$B$5,'Entrada das massas'!S107-$C$5)))))))))))))))))</f>
        <v/>
      </c>
      <c r="X127" s="117" t="str">
        <f>IF(W127="","",(IF(AND(W127&lt;=$B$20,W127&gt;$B$19),$D$19+($B$19-W127)/($B$19-$B$20)*($D$20-$D$19),IF(AND(W127&lt;=$B$19,W127&gt;$B$18),$D$18+($B$18-W127)/($B$18-$B$19)*($D$19-$D$18),IF(AND(W127&lt;=$B$18,W127&gt;$B$17),$D$17+($B$17-W127)/($B$17-$B$18)*($D$18-$D$17),IF(AND(W127&lt;=$B$17,W127&gt;$B$16),$D$16+($B$16-W127)/($B$16-$B$17)*($D$17-$D$16),IF(AND(W127&lt;=$B$16,W127&gt;$B$15),$D$15+($B$15-W127)/($B$15-$B$16)*($D$16-$D$15),IF(AND(W127&lt;=$B$15,W127&gt;$B$14),$D$14+($B$14-W127)/($B$14-$B$15)*($D$15-$D$14),IF(AND(W127&lt;=$B$14,W127&gt;$B$13),$D$13+($B$13-W127)/($B$13-$B$14)*($D$14-$D$13),IF(AND(W127&lt;=$B$13,W127&gt;$B$12),$D$12+($B$12-W127)/($B$12-$B$13)*($D$13-$D$12),IF(AND(W127&lt;=$B$12,W127&gt;$B$11),$D$11+($B$11-W127)/($B$11-$B$12)*($D$12-$D$11),IF(AND(W127&lt;=$B$11,W127&gt;$B$10),$D$10+($B$10-W127)/($B$10-$B$11)*($D$11-$D$10),IF(AND(W127&lt;=$B$10,W127&gt;$B$9),$D$9+($B$9-W127)/($B$9-$B$10)*($D$10-$D$9),IF(AND(W127&lt;=$B$9,W127&gt;$B$8),$D$8+($B$8-W127)/($B$8-$B$9)*($D$9-$D$8),IF(AND(W127&lt;=$B$8,W127&gt;$B$7),$D$7+($B$7-W127)/($B$7-$B$8)*($D$8-$D$7),IF(AND(W127&lt;=$B$7,W127&gt;$B$6),$D$6+($B$6-W127)/($B$6-$B$7)*($D$7-$D$6),IF(W127&lt;=$B$6,$D$6)))))))))))))))))</f>
        <v/>
      </c>
      <c r="Y127" s="117"/>
      <c r="Z127" s="117"/>
      <c r="AA127" s="118" t="str">
        <f>IFERROR(Y129/Y128,"")</f>
        <v/>
      </c>
      <c r="AB127" s="104"/>
      <c r="AC127" s="104"/>
    </row>
    <row r="128" spans="8:32" x14ac:dyDescent="0.2">
      <c r="H128" s="115" t="str">
        <f>IF(I126="","","Frasco + Amostra")</f>
        <v/>
      </c>
      <c r="I128" s="116" t="str">
        <f>IF('Entrada das massas'!I108="","",IF(AND('Entrada das massas'!I108&lt;=$B$20,'Entrada das massas'!I108&gt;$B$19),'Entrada das massas'!I108-((($C$20-$C$19)*($B$20-'Entrada das massas'!I108)+($B$19*$C$20)-($B$20*$C$20))/($B$19-$B$20)),IF(AND('Entrada das massas'!I108&lt;=$B$19,'Entrada das massas'!I108&gt;$B$18),'Entrada das massas'!I108-((($C$19-$C$18)*($B$19-'Entrada das massas'!I108)+($B$18*$C$19)-($B$19*$C$19))/($B$18-$B$19)),IF(AND('Entrada das massas'!I108&lt;=$B$18,'Entrada das massas'!I108&gt;$B$17),'Entrada das massas'!I108-((($C$18-$C$17)*($B$18-'Entrada das massas'!I108)+($B$17*$C$18)-($B$18*$C$18))/($B$17-$B$18)),IF(AND('Entrada das massas'!I108&lt;=$B$17,'Entrada das massas'!I108&gt;$B$16),'Entrada das massas'!I108-((($C$17-$C$16)*($B$17-'Entrada das massas'!I108)+($B$16*$C$17)-($B$17*$C$17))/($B$16-$B$17)),IF(AND('Entrada das massas'!I108&lt;=$B$16,'Entrada das massas'!I108&gt;$B$15),'Entrada das massas'!I108-((($C$16-$C$15)*($B$16-'Entrada das massas'!I108)+($B$15*$C$16)-($B$16*$C$16))/($B$15-$B$16)),IF(AND('Entrada das massas'!I108&lt;=$B$15,'Entrada das massas'!I108&gt;$B$14),'Entrada das massas'!I108-((($C$15-$C$14)*($B$15-'Entrada das massas'!I108)+($B$14*$C$15)-($B$15*$C$15))/($B$14-$B$15)),IF(AND('Entrada das massas'!I108&lt;=$B$14,'Entrada das massas'!I108&gt;$B$13),'Entrada das massas'!I108-((($C$14-$C$13)*($B$14-'Entrada das massas'!I108)+($B$13*$C$14)-($B$14*$C$14))/($B$13-$B$14)),IF(AND('Entrada das massas'!I108&lt;=$B$13,'Entrada das massas'!I108&gt;$B$12),'Entrada das massas'!I108-((($C$13-$C$12)*($B$13-'Entrada das massas'!I108)+($B$12*$C$13)-($B$13*$C$13))/($B$12-$B$13)),IF(AND('Entrada das massas'!I108&lt;=$B$12,'Entrada das massas'!I108&gt;$B$11),'Entrada das massas'!I108-((($C$12-$C$11)*($B$12-'Entrada das massas'!I108)+($B$11*$C$12)-($B$12*$C$12))/($B$11-$B$12)),IF(AND('Entrada das massas'!I108&lt;=$B$11,'Entrada das massas'!I108&gt;$B$10),'Entrada das massas'!I108-((($C$11-$C$10)*($B$11-'Entrada das massas'!I108)+($B$10*$C$11)-($B$11*$C$11))/($B$10-$B$11)),IF(AND('Entrada das massas'!I108&lt;=$B$10,'Entrada das massas'!I108&gt;$B$9),'Entrada das massas'!I108-((($C$10-$C$9)*($B$10-'Entrada das massas'!I108)+($B$9*$C$10)-($B$10*$C$10))/($B$9-$B$10)),IF(AND('Entrada das massas'!I108&lt;=$B$9,'Entrada das massas'!I108&gt;$B$8),'Entrada das massas'!I108-((($C$9-$C$8)*($B$9-'Entrada das massas'!I108)+($B$8*$C$9)-($B$9*$C$9))/($B$8-$B$9)),IF(AND('Entrada das massas'!I108&lt;=$B$8,'Entrada das massas'!I108&gt;$B$7),'Entrada das massas'!I108-((($C$8-$C$7)*($B$8-'Entrada das massas'!I108)+($B$7*$C$8)-($B$8*$C$8))/($B$7-$B$8)),IF(AND('Entrada das massas'!I108&lt;=$B$7,'Entrada das massas'!I108&gt;$B$6),'Entrada das massas'!I108-((($C$7-$C$6)*($B$7-'Entrada das massas'!I108)+($B$6*$C$7)-($B$7*$C$7))/($B$6-$B$7)),IF(AND('Entrada das massas'!I108&lt;=$B$6,'Entrada das massas'!I108&gt;$B$5),'Entrada das massas'!I108-((($C$6-$C$5)*($B$6-'Entrada das massas'!I108)+($B$5*$C$6)-($B$6*$C$6))/($B$5-$B$6)),IF('Entrada das massas'!I108&lt;=$B$5,'Entrada das massas'!I108-$C$5)))))))))))))))))</f>
        <v/>
      </c>
      <c r="J128" s="117" t="str">
        <f t="shared" ref="J128:J129" si="63">IF(I128="","",(IF(AND(I128&lt;=$B$20,I128&gt;$B$19),$D$19+($B$19-I128)/($B$19-$B$20)*($D$20-$D$19),IF(AND(I128&lt;=$B$19,I128&gt;$B$18),$D$18+($B$18-I128)/($B$18-$B$19)*($D$19-$D$18),IF(AND(I128&lt;=$B$18,I128&gt;$B$17),$D$17+($B$17-I128)/($B$17-$B$18)*($D$18-$D$17),IF(AND(I128&lt;=$B$17,I128&gt;$B$16),$D$16+($B$16-I128)/($B$16-$B$17)*($D$17-$D$16),IF(AND(I128&lt;=$B$16,I128&gt;$B$15),$D$15+($B$15-I128)/($B$15-$B$16)*($D$16-$D$15),IF(AND(I128&lt;=$B$15,I128&gt;$B$14),$D$14+($B$14-I128)/($B$14-$B$15)*($D$15-$D$14),IF(AND(I128&lt;=$B$14,I128&gt;$B$13),$D$13+($B$13-I128)/($B$13-$B$14)*($D$14-$D$13),IF(AND(I128&lt;=$B$13,I128&gt;$B$12),$D$12+($B$12-I128)/($B$12-$B$13)*($D$13-$D$12),IF(AND(I128&lt;=$B$12,I128&gt;$B$11),$D$11+($B$11-I128)/($B$11-$B$12)*($D$12-$D$11),IF(AND(I128&lt;=$B$11,I128&gt;$B$10),$D$10+($B$10-I128)/($B$10-$B$11)*($D$11-$D$10),IF(AND(I128&lt;=$B$10,I128&gt;$B$9),$D$9+($B$9-I128)/($B$9-$B$10)*($D$10-$D$9),IF(AND(I128&lt;=$B$9,I128&gt;$B$8),$D$8+($B$8-I128)/($B$8-$B$9)*($D$9-$D$8),IF(AND(I128&lt;=$B$8,I128&gt;$B$7),$D$7+($B$7-I128)/($B$7-$B$8)*($D$8-$D$7),IF(AND(I128&lt;=$B$7,I128&gt;$B$6),$D$6+($B$6-I128)/($B$6-$B$7)*($D$7-$D$6),IF(I128&lt;=$B$6,$D$6)))))))))))))))))</f>
        <v/>
      </c>
      <c r="K128" s="120" t="str">
        <f>IF(I127="","",I128-I127)</f>
        <v/>
      </c>
      <c r="L128" s="117" t="str">
        <f>IF(J127="","",SQRT(SUMSQ(J127:J128)))</f>
        <v/>
      </c>
      <c r="M128" s="93" t="str">
        <f>IF(I126="","","Amostra")</f>
        <v/>
      </c>
      <c r="N128" s="118"/>
      <c r="O128" s="115" t="str">
        <f>IF(P126="","","Frasco + Amostra")</f>
        <v/>
      </c>
      <c r="P128" s="95" t="str">
        <f>IF('Entrada das massas'!N108="","",IF(AND('Entrada das massas'!N108&lt;=$B$20,'Entrada das massas'!N108&gt;$B$19),'Entrada das massas'!N108-((($C$20-$C$19)*($B$20-'Entrada das massas'!N108)+($B$19*$C$20)-($B$20*$C$20))/($B$19-$B$20)),IF(AND('Entrada das massas'!N108&lt;=$B$19,'Entrada das massas'!N108&gt;$B$18),'Entrada das massas'!N108-((($C$19-$C$18)*($B$19-'Entrada das massas'!N108)+($B$18*$C$19)-($B$19*$C$19))/($B$18-$B$19)),IF(AND('Entrada das massas'!N108&lt;=$B$18,'Entrada das massas'!N108&gt;$B$17),'Entrada das massas'!N108-((($C$18-$C$17)*($B$18-'Entrada das massas'!N108)+($B$17*$C$18)-($B$18*$C$18))/($B$17-$B$18)),IF(AND('Entrada das massas'!N108&lt;=$B$17,'Entrada das massas'!N108&gt;$B$16),'Entrada das massas'!N108-((($C$17-$C$16)*($B$17-'Entrada das massas'!N108)+($B$16*$C$17)-($B$17*$C$17))/($B$16-$B$17)),IF(AND('Entrada das massas'!N108&lt;=$B$16,'Entrada das massas'!N108&gt;$B$15),'Entrada das massas'!N108-((($C$16-$C$15)*($B$16-'Entrada das massas'!N108)+($B$15*$C$16)-($B$16*$C$16))/($B$15-$B$16)),IF(AND('Entrada das massas'!N108&lt;=$B$15,'Entrada das massas'!N108&gt;$B$14),'Entrada das massas'!N108-((($C$15-$C$14)*($B$15-'Entrada das massas'!N108)+($B$14*$C$15)-($B$15*$C$15))/($B$14-$B$15)),IF(AND('Entrada das massas'!N108&lt;=$B$14,'Entrada das massas'!N108&gt;$B$13),'Entrada das massas'!N108-((($C$14-$C$13)*($B$14-'Entrada das massas'!N108)+($B$13*$C$14)-($B$14*$C$14))/($B$13-$B$14)),IF(AND('Entrada das massas'!N108&lt;=$B$13,'Entrada das massas'!N108&gt;$B$12),'Entrada das massas'!N108-((($C$13-$C$12)*($B$13-'Entrada das massas'!N108)+($B$12*$C$13)-($B$13*$C$13))/($B$12-$B$13)),IF(AND('Entrada das massas'!N108&lt;=$B$12,'Entrada das massas'!N108&gt;$B$11),'Entrada das massas'!N108-((($C$12-$C$11)*($B$12-'Entrada das massas'!N108)+($B$11*$C$12)-($B$12*$C$12))/($B$11-$B$12)),IF(AND('Entrada das massas'!N108&lt;=$B$11,'Entrada das massas'!N108&gt;$B$10),'Entrada das massas'!N108-((($C$11-$C$10)*($B$11-'Entrada das massas'!N108)+($B$10*$C$11)-($B$11*$C$11))/($B$10-$B$11)),IF(AND('Entrada das massas'!N108&lt;=$B$10,'Entrada das massas'!N108&gt;$B$9),'Entrada das massas'!N108-((($C$10-$C$9)*($B$10-'Entrada das massas'!N108)+($B$9*$C$10)-($B$10*$C$10))/($B$9-$B$10)),IF(AND('Entrada das massas'!N108&lt;=$B$9,'Entrada das massas'!N108&gt;$B$8),'Entrada das massas'!N108-((($C$9-$C$8)*($B$9-'Entrada das massas'!N108)+($B$8*$C$9)-($B$9*$C$9))/($B$8-$B$9)),IF(AND('Entrada das massas'!N108&lt;=$B$8,'Entrada das massas'!N108&gt;$B$7),'Entrada das massas'!N108-((($C$8-$C$7)*($B$8-'Entrada das massas'!N108)+($B$7*$C$8)-($B$8*$C$8))/($B$7-$B$8)),IF(AND('Entrada das massas'!N108&lt;=$B$7,'Entrada das massas'!N108&gt;$B$6),'Entrada das massas'!N108-((($C$7-$C$6)*($B$7-'Entrada das massas'!N108)+($B$6*$C$7)-($B$7*$C$7))/($B$6-$B$7)),IF(AND('Entrada das massas'!N108&lt;=$B$6,'Entrada das massas'!N108&gt;$B$5),'Entrada das massas'!N108-((($C$6-$C$5)*($B$6-'Entrada das massas'!N108)+($B$5*$C$6)-($B$6*$C$6))/($B$5-$B$6)),IF('Entrada das massas'!N108&lt;=$B$5,'Entrada das massas'!N108-$C$5)))))))))))))))))</f>
        <v/>
      </c>
      <c r="Q128" s="117" t="str">
        <f t="shared" ref="Q128:Q129" si="64">IF(P128="","",(IF(AND(P128&lt;=$B$20,P128&gt;$B$19),$D$19+($B$19-P128)/($B$19-$B$20)*($D$20-$D$19),IF(AND(P128&lt;=$B$19,P128&gt;$B$18),$D$18+($B$18-P128)/($B$18-$B$19)*($D$19-$D$18),IF(AND(P128&lt;=$B$18,P128&gt;$B$17),$D$17+($B$17-P128)/($B$17-$B$18)*($D$18-$D$17),IF(AND(P128&lt;=$B$17,P128&gt;$B$16),$D$16+($B$16-P128)/($B$16-$B$17)*($D$17-$D$16),IF(AND(P128&lt;=$B$16,P128&gt;$B$15),$D$15+($B$15-P128)/($B$15-$B$16)*($D$16-$D$15),IF(AND(P128&lt;=$B$15,P128&gt;$B$14),$D$14+($B$14-P128)/($B$14-$B$15)*($D$15-$D$14),IF(AND(P128&lt;=$B$14,P128&gt;$B$13),$D$13+($B$13-P128)/($B$13-$B$14)*($D$14-$D$13),IF(AND(P128&lt;=$B$13,P128&gt;$B$12),$D$12+($B$12-P128)/($B$12-$B$13)*($D$13-$D$12),IF(AND(P128&lt;=$B$12,P128&gt;$B$11),$D$11+($B$11-P128)/($B$11-$B$12)*($D$12-$D$11),IF(AND(P128&lt;=$B$11,P128&gt;$B$10),$D$10+($B$10-P128)/($B$10-$B$11)*($D$11-$D$10),IF(AND(P128&lt;=$B$10,P128&gt;$B$9),$D$9+($B$9-P128)/($B$9-$B$10)*($D$10-$D$9),IF(AND(P128&lt;=$B$9,P128&gt;$B$8),$D$8+($B$8-P128)/($B$8-$B$9)*($D$9-$D$8),IF(AND(P128&lt;=$B$8,P128&gt;$B$7),$D$7+($B$7-P128)/($B$7-$B$8)*($D$8-$D$7),IF(AND(P128&lt;=$B$7,P128&gt;$B$6),$D$6+($B$6-P128)/($B$6-$B$7)*($D$7-$D$6),IF(P128&lt;=$B$6,$D$6)))))))))))))))))</f>
        <v/>
      </c>
      <c r="R128" s="120" t="str">
        <f>IF(P127="","",P128-P127)</f>
        <v/>
      </c>
      <c r="S128" s="117" t="str">
        <f>IF(Q127="","",SQRT(SUMSQ(Q127:Q128)))</f>
        <v/>
      </c>
      <c r="T128" s="93" t="str">
        <f>IF(P126="","","Amostra")</f>
        <v/>
      </c>
      <c r="U128" s="118"/>
      <c r="V128" s="115" t="str">
        <f>IF(W126="","","Frasco + Amostra")</f>
        <v/>
      </c>
      <c r="W128" s="95" t="str">
        <f>IF('Entrada das massas'!S108="","",IF(AND('Entrada das massas'!S108&lt;=$B$20,'Entrada das massas'!S108&gt;$B$19),'Entrada das massas'!S108-((($C$20-$C$19)*($B$20-'Entrada das massas'!S108)+($B$19*$C$20)-($B$20*$C$20))/($B$19-$B$20)),IF(AND('Entrada das massas'!S108&lt;=$B$19,'Entrada das massas'!S108&gt;$B$18),'Entrada das massas'!S108-((($C$19-$C$18)*($B$19-'Entrada das massas'!S108)+($B$18*$C$19)-($B$19*$C$19))/($B$18-$B$19)),IF(AND('Entrada das massas'!S108&lt;=$B$18,'Entrada das massas'!S108&gt;$B$17),'Entrada das massas'!S108-((($C$18-$C$17)*($B$18-'Entrada das massas'!S108)+($B$17*$C$18)-($B$18*$C$18))/($B$17-$B$18)),IF(AND('Entrada das massas'!S108&lt;=$B$17,'Entrada das massas'!S108&gt;$B$16),'Entrada das massas'!S108-((($C$17-$C$16)*($B$17-'Entrada das massas'!S108)+($B$16*$C$17)-($B$17*$C$17))/($B$16-$B$17)),IF(AND('Entrada das massas'!S108&lt;=$B$16,'Entrada das massas'!S108&gt;$B$15),'Entrada das massas'!S108-((($C$16-$C$15)*($B$16-'Entrada das massas'!S108)+($B$15*$C$16)-($B$16*$C$16))/($B$15-$B$16)),IF(AND('Entrada das massas'!S108&lt;=$B$15,'Entrada das massas'!S108&gt;$B$14),'Entrada das massas'!S108-((($C$15-$C$14)*($B$15-'Entrada das massas'!S108)+($B$14*$C$15)-($B$15*$C$15))/($B$14-$B$15)),IF(AND('Entrada das massas'!S108&lt;=$B$14,'Entrada das massas'!S108&gt;$B$13),'Entrada das massas'!S108-((($C$14-$C$13)*($B$14-'Entrada das massas'!S108)+($B$13*$C$14)-($B$14*$C$14))/($B$13-$B$14)),IF(AND('Entrada das massas'!S108&lt;=$B$13,'Entrada das massas'!S108&gt;$B$12),'Entrada das massas'!S108-((($C$13-$C$12)*($B$13-'Entrada das massas'!S108)+($B$12*$C$13)-($B$13*$C$13))/($B$12-$B$13)),IF(AND('Entrada das massas'!S108&lt;=$B$12,'Entrada das massas'!S108&gt;$B$11),'Entrada das massas'!S108-((($C$12-$C$11)*($B$12-'Entrada das massas'!S108)+($B$11*$C$12)-($B$12*$C$12))/($B$11-$B$12)),IF(AND('Entrada das massas'!S108&lt;=$B$11,'Entrada das massas'!S108&gt;$B$10),'Entrada das massas'!S108-((($C$11-$C$10)*($B$11-'Entrada das massas'!S108)+($B$10*$C$11)-($B$11*$C$11))/($B$10-$B$11)),IF(AND('Entrada das massas'!S108&lt;=$B$10,'Entrada das massas'!S108&gt;$B$9),'Entrada das massas'!S108-((($C$10-$C$9)*($B$10-'Entrada das massas'!S108)+($B$9*$C$10)-($B$10*$C$10))/($B$9-$B$10)),IF(AND('Entrada das massas'!S108&lt;=$B$9,'Entrada das massas'!S108&gt;$B$8),'Entrada das massas'!S108-((($C$9-$C$8)*($B$9-'Entrada das massas'!S108)+($B$8*$C$9)-($B$9*$C$9))/($B$8-$B$9)),IF(AND('Entrada das massas'!S108&lt;=$B$8,'Entrada das massas'!S108&gt;$B$7),'Entrada das massas'!S108-((($C$8-$C$7)*($B$8-'Entrada das massas'!S108)+($B$7*$C$8)-($B$8*$C$8))/($B$7-$B$8)),IF(AND('Entrada das massas'!S108&lt;=$B$7,'Entrada das massas'!S108&gt;$B$6),'Entrada das massas'!S108-((($C$7-$C$6)*($B$7-'Entrada das massas'!S108)+($B$6*$C$7)-($B$7*$C$7))/($B$6-$B$7)),IF(AND('Entrada das massas'!S108&lt;=$B$6,'Entrada das massas'!S108&gt;$B$5),'Entrada das massas'!S108-((($C$6-$C$5)*($B$6-'Entrada das massas'!S108)+($B$5*$C$6)-($B$6*$C$6))/($B$5-$B$6)),IF('Entrada das massas'!S108&lt;=$B$5,'Entrada das massas'!S108-$C$5)))))))))))))))))</f>
        <v/>
      </c>
      <c r="X128" s="117" t="str">
        <f t="shared" ref="X128:X129" si="65">IF(W128="","",(IF(AND(W128&lt;=$B$20,W128&gt;$B$19),$D$19+($B$19-W128)/($B$19-$B$20)*($D$20-$D$19),IF(AND(W128&lt;=$B$19,W128&gt;$B$18),$D$18+($B$18-W128)/($B$18-$B$19)*($D$19-$D$18),IF(AND(W128&lt;=$B$18,W128&gt;$B$17),$D$17+($B$17-W128)/($B$17-$B$18)*($D$18-$D$17),IF(AND(W128&lt;=$B$17,W128&gt;$B$16),$D$16+($B$16-W128)/($B$16-$B$17)*($D$17-$D$16),IF(AND(W128&lt;=$B$16,W128&gt;$B$15),$D$15+($B$15-W128)/($B$15-$B$16)*($D$16-$D$15),IF(AND(W128&lt;=$B$15,W128&gt;$B$14),$D$14+($B$14-W128)/($B$14-$B$15)*($D$15-$D$14),IF(AND(W128&lt;=$B$14,W128&gt;$B$13),$D$13+($B$13-W128)/($B$13-$B$14)*($D$14-$D$13),IF(AND(W128&lt;=$B$13,W128&gt;$B$12),$D$12+($B$12-W128)/($B$12-$B$13)*($D$13-$D$12),IF(AND(W128&lt;=$B$12,W128&gt;$B$11),$D$11+($B$11-W128)/($B$11-$B$12)*($D$12-$D$11),IF(AND(W128&lt;=$B$11,W128&gt;$B$10),$D$10+($B$10-W128)/($B$10-$B$11)*($D$11-$D$10),IF(AND(W128&lt;=$B$10,W128&gt;$B$9),$D$9+($B$9-W128)/($B$9-$B$10)*($D$10-$D$9),IF(AND(W128&lt;=$B$9,W128&gt;$B$8),$D$8+($B$8-W128)/($B$8-$B$9)*($D$9-$D$8),IF(AND(W128&lt;=$B$8,W128&gt;$B$7),$D$7+($B$7-W128)/($B$7-$B$8)*($D$8-$D$7),IF(AND(W128&lt;=$B$7,W128&gt;$B$6),$D$6+($B$6-W128)/($B$6-$B$7)*($D$7-$D$6),IF(W128&lt;=$B$6,$D$6)))))))))))))))))</f>
        <v/>
      </c>
      <c r="Y128" s="120" t="str">
        <f>IF(W127="","",W128-W127)</f>
        <v/>
      </c>
      <c r="Z128" s="117" t="str">
        <f>IF(X127="","",SQRT(SUMSQ(X127:X128)))</f>
        <v/>
      </c>
      <c r="AA128" s="93" t="str">
        <f>IF(W126="","","Amostra")</f>
        <v/>
      </c>
    </row>
    <row r="129" spans="3:27" x14ac:dyDescent="0.2">
      <c r="G129" s="143"/>
      <c r="H129" s="123" t="str">
        <f>IF(I126="","","Massa final")</f>
        <v/>
      </c>
      <c r="I129" s="116" t="str">
        <f>IF('Entrada das massas'!I109="","",IF(AND('Entrada das massas'!I109&lt;=$B$20,'Entrada das massas'!I109&gt;$B$19),'Entrada das massas'!I109-((($C$20-$C$19)*($B$20-'Entrada das massas'!I109)+($B$19*$C$20)-($B$20*$C$20))/($B$19-$B$20)),IF(AND('Entrada das massas'!I109&lt;=$B$19,'Entrada das massas'!I109&gt;$B$18),'Entrada das massas'!I109-((($C$19-$C$18)*($B$19-'Entrada das massas'!I109)+($B$18*$C$19)-($B$19*$C$19))/($B$18-$B$19)),IF(AND('Entrada das massas'!I109&lt;=$B$18,'Entrada das massas'!I109&gt;$B$17),'Entrada das massas'!I109-((($C$18-$C$17)*($B$18-'Entrada das massas'!I109)+($B$17*$C$18)-($B$18*$C$18))/($B$17-$B$18)),IF(AND('Entrada das massas'!I109&lt;=$B$17,'Entrada das massas'!I109&gt;$B$16),'Entrada das massas'!I109-((($C$17-$C$16)*($B$17-'Entrada das massas'!I109)+($B$16*$C$17)-($B$17*$C$17))/($B$16-$B$17)),IF(AND('Entrada das massas'!I109&lt;=$B$16,'Entrada das massas'!I109&gt;$B$15),'Entrada das massas'!I109-((($C$16-$C$15)*($B$16-'Entrada das massas'!I109)+($B$15*$C$16)-($B$16*$C$16))/($B$15-$B$16)),IF(AND('Entrada das massas'!I109&lt;=$B$15,'Entrada das massas'!I109&gt;$B$14),'Entrada das massas'!I109-((($C$15-$C$14)*($B$15-'Entrada das massas'!I109)+($B$14*$C$15)-($B$15*$C$15))/($B$14-$B$15)),IF(AND('Entrada das massas'!I109&lt;=$B$14,'Entrada das massas'!I109&gt;$B$13),'Entrada das massas'!I109-((($C$14-$C$13)*($B$14-'Entrada das massas'!I109)+($B$13*$C$14)-($B$14*$C$14))/($B$13-$B$14)),IF(AND('Entrada das massas'!I109&lt;=$B$13,'Entrada das massas'!I109&gt;$B$12),'Entrada das massas'!I109-((($C$13-$C$12)*($B$13-'Entrada das massas'!I109)+($B$12*$C$13)-($B$13*$C$13))/($B$12-$B$13)),IF(AND('Entrada das massas'!I109&lt;=$B$12,'Entrada das massas'!I109&gt;$B$11),'Entrada das massas'!I109-((($C$12-$C$11)*($B$12-'Entrada das massas'!I109)+($B$11*$C$12)-($B$12*$C$12))/($B$11-$B$12)),IF(AND('Entrada das massas'!I109&lt;=$B$11,'Entrada das massas'!I109&gt;$B$10),'Entrada das massas'!I109-((($C$11-$C$10)*($B$11-'Entrada das massas'!I109)+($B$10*$C$11)-($B$11*$C$11))/($B$10-$B$11)),IF(AND('Entrada das massas'!I109&lt;=$B$10,'Entrada das massas'!I109&gt;$B$9),'Entrada das massas'!I109-((($C$10-$C$9)*($B$10-'Entrada das massas'!I109)+($B$9*$C$10)-($B$10*$C$10))/($B$9-$B$10)),IF(AND('Entrada das massas'!I109&lt;=$B$9,'Entrada das massas'!I109&gt;$B$8),'Entrada das massas'!I109-((($C$9-$C$8)*($B$9-'Entrada das massas'!I109)+($B$8*$C$9)-($B$9*$C$9))/($B$8-$B$9)),IF(AND('Entrada das massas'!I109&lt;=$B$8,'Entrada das massas'!I109&gt;$B$7),'Entrada das massas'!I109-((($C$8-$C$7)*($B$8-'Entrada das massas'!I109)+($B$7*$C$8)-($B$8*$C$8))/($B$7-$B$8)),IF(AND('Entrada das massas'!I109&lt;=$B$7,'Entrada das massas'!I109&gt;$B$6),'Entrada das massas'!I109-((($C$7-$C$6)*($B$7-'Entrada das massas'!I109)+($B$6*$C$7)-($B$7*$C$7))/($B$6-$B$7)),IF(AND('Entrada das massas'!I109&lt;=$B$6,'Entrada das massas'!I109&gt;$B$5),'Entrada das massas'!I109-((($C$6-$C$5)*($B$6-'Entrada das massas'!I109)+($B$5*$C$6)-($B$6*$C$6))/($B$5-$B$6)),IF('Entrada das massas'!I109&lt;=$B$5,'Entrada das massas'!I109-$C$5)))))))))))))))))</f>
        <v/>
      </c>
      <c r="J129" s="117" t="str">
        <f t="shared" si="63"/>
        <v/>
      </c>
      <c r="K129" s="120" t="str">
        <f>IF(I127="","",I129-I127)</f>
        <v/>
      </c>
      <c r="L129" s="117" t="str">
        <f>IF(J127="","",SQRT(SUMSQ(J127,J129)))</f>
        <v/>
      </c>
      <c r="M129" s="93" t="str">
        <f>IF(I126="","","Solução")</f>
        <v/>
      </c>
      <c r="N129" s="93"/>
      <c r="O129" s="123" t="str">
        <f>IF(P126="","","Massa final")</f>
        <v/>
      </c>
      <c r="P129" s="95" t="str">
        <f>IF('Entrada das massas'!N109="","",IF(AND('Entrada das massas'!N109&lt;=$B$20,'Entrada das massas'!N109&gt;$B$19),'Entrada das massas'!N109-((($C$20-$C$19)*($B$20-'Entrada das massas'!N109)+($B$19*$C$20)-($B$20*$C$20))/($B$19-$B$20)),IF(AND('Entrada das massas'!N109&lt;=$B$19,'Entrada das massas'!N109&gt;$B$18),'Entrada das massas'!N109-((($C$19-$C$18)*($B$19-'Entrada das massas'!N109)+($B$18*$C$19)-($B$19*$C$19))/($B$18-$B$19)),IF(AND('Entrada das massas'!N109&lt;=$B$18,'Entrada das massas'!N109&gt;$B$17),'Entrada das massas'!N109-((($C$18-$C$17)*($B$18-'Entrada das massas'!N109)+($B$17*$C$18)-($B$18*$C$18))/($B$17-$B$18)),IF(AND('Entrada das massas'!N109&lt;=$B$17,'Entrada das massas'!N109&gt;$B$16),'Entrada das massas'!N109-((($C$17-$C$16)*($B$17-'Entrada das massas'!N109)+($B$16*$C$17)-($B$17*$C$17))/($B$16-$B$17)),IF(AND('Entrada das massas'!N109&lt;=$B$16,'Entrada das massas'!N109&gt;$B$15),'Entrada das massas'!N109-((($C$16-$C$15)*($B$16-'Entrada das massas'!N109)+($B$15*$C$16)-($B$16*$C$16))/($B$15-$B$16)),IF(AND('Entrada das massas'!N109&lt;=$B$15,'Entrada das massas'!N109&gt;$B$14),'Entrada das massas'!N109-((($C$15-$C$14)*($B$15-'Entrada das massas'!N109)+($B$14*$C$15)-($B$15*$C$15))/($B$14-$B$15)),IF(AND('Entrada das massas'!N109&lt;=$B$14,'Entrada das massas'!N109&gt;$B$13),'Entrada das massas'!N109-((($C$14-$C$13)*($B$14-'Entrada das massas'!N109)+($B$13*$C$14)-($B$14*$C$14))/($B$13-$B$14)),IF(AND('Entrada das massas'!N109&lt;=$B$13,'Entrada das massas'!N109&gt;$B$12),'Entrada das massas'!N109-((($C$13-$C$12)*($B$13-'Entrada das massas'!N109)+($B$12*$C$13)-($B$13*$C$13))/($B$12-$B$13)),IF(AND('Entrada das massas'!N109&lt;=$B$12,'Entrada das massas'!N109&gt;$B$11),'Entrada das massas'!N109-((($C$12-$C$11)*($B$12-'Entrada das massas'!N109)+($B$11*$C$12)-($B$12*$C$12))/($B$11-$B$12)),IF(AND('Entrada das massas'!N109&lt;=$B$11,'Entrada das massas'!N109&gt;$B$10),'Entrada das massas'!N109-((($C$11-$C$10)*($B$11-'Entrada das massas'!N109)+($B$10*$C$11)-($B$11*$C$11))/($B$10-$B$11)),IF(AND('Entrada das massas'!N109&lt;=$B$10,'Entrada das massas'!N109&gt;$B$9),'Entrada das massas'!N109-((($C$10-$C$9)*($B$10-'Entrada das massas'!N109)+($B$9*$C$10)-($B$10*$C$10))/($B$9-$B$10)),IF(AND('Entrada das massas'!N109&lt;=$B$9,'Entrada das massas'!N109&gt;$B$8),'Entrada das massas'!N109-((($C$9-$C$8)*($B$9-'Entrada das massas'!N109)+($B$8*$C$9)-($B$9*$C$9))/($B$8-$B$9)),IF(AND('Entrada das massas'!N109&lt;=$B$8,'Entrada das massas'!N109&gt;$B$7),'Entrada das massas'!N109-((($C$8-$C$7)*($B$8-'Entrada das massas'!N109)+($B$7*$C$8)-($B$8*$C$8))/($B$7-$B$8)),IF(AND('Entrada das massas'!N109&lt;=$B$7,'Entrada das massas'!N109&gt;$B$6),'Entrada das massas'!N109-((($C$7-$C$6)*($B$7-'Entrada das massas'!N109)+($B$6*$C$7)-($B$7*$C$7))/($B$6-$B$7)),IF(AND('Entrada das massas'!N109&lt;=$B$6,'Entrada das massas'!N109&gt;$B$5),'Entrada das massas'!N109-((($C$6-$C$5)*($B$6-'Entrada das massas'!N109)+($B$5*$C$6)-($B$6*$C$6))/($B$5-$B$6)),IF('Entrada das massas'!N109&lt;=$B$5,'Entrada das massas'!N109-$C$5)))))))))))))))))</f>
        <v/>
      </c>
      <c r="Q129" s="117" t="str">
        <f t="shared" si="64"/>
        <v/>
      </c>
      <c r="R129" s="120" t="str">
        <f>IF(P127="","",P129-P127)</f>
        <v/>
      </c>
      <c r="S129" s="117" t="str">
        <f>IF(Q127="","",SQRT(SUMSQ(Q127,Q129)))</f>
        <v/>
      </c>
      <c r="T129" s="93" t="str">
        <f>IF(P126="","","Solução")</f>
        <v/>
      </c>
      <c r="U129" s="93"/>
      <c r="V129" s="123" t="str">
        <f>IF(W126="","","Massa final")</f>
        <v/>
      </c>
      <c r="W129" s="95" t="str">
        <f>IF('Entrada das massas'!S109="","",IF(AND('Entrada das massas'!S109&lt;=$B$20,'Entrada das massas'!S109&gt;$B$19),'Entrada das massas'!S109-((($C$20-$C$19)*($B$20-'Entrada das massas'!S109)+($B$19*$C$20)-($B$20*$C$20))/($B$19-$B$20)),IF(AND('Entrada das massas'!S109&lt;=$B$19,'Entrada das massas'!S109&gt;$B$18),'Entrada das massas'!S109-((($C$19-$C$18)*($B$19-'Entrada das massas'!S109)+($B$18*$C$19)-($B$19*$C$19))/($B$18-$B$19)),IF(AND('Entrada das massas'!S109&lt;=$B$18,'Entrada das massas'!S109&gt;$B$17),'Entrada das massas'!S109-((($C$18-$C$17)*($B$18-'Entrada das massas'!S109)+($B$17*$C$18)-($B$18*$C$18))/($B$17-$B$18)),IF(AND('Entrada das massas'!S109&lt;=$B$17,'Entrada das massas'!S109&gt;$B$16),'Entrada das massas'!S109-((($C$17-$C$16)*($B$17-'Entrada das massas'!S109)+($B$16*$C$17)-($B$17*$C$17))/($B$16-$B$17)),IF(AND('Entrada das massas'!S109&lt;=$B$16,'Entrada das massas'!S109&gt;$B$15),'Entrada das massas'!S109-((($C$16-$C$15)*($B$16-'Entrada das massas'!S109)+($B$15*$C$16)-($B$16*$C$16))/($B$15-$B$16)),IF(AND('Entrada das massas'!S109&lt;=$B$15,'Entrada das massas'!S109&gt;$B$14),'Entrada das massas'!S109-((($C$15-$C$14)*($B$15-'Entrada das massas'!S109)+($B$14*$C$15)-($B$15*$C$15))/($B$14-$B$15)),IF(AND('Entrada das massas'!S109&lt;=$B$14,'Entrada das massas'!S109&gt;$B$13),'Entrada das massas'!S109-((($C$14-$C$13)*($B$14-'Entrada das massas'!S109)+($B$13*$C$14)-($B$14*$C$14))/($B$13-$B$14)),IF(AND('Entrada das massas'!S109&lt;=$B$13,'Entrada das massas'!S109&gt;$B$12),'Entrada das massas'!S109-((($C$13-$C$12)*($B$13-'Entrada das massas'!S109)+($B$12*$C$13)-($B$13*$C$13))/($B$12-$B$13)),IF(AND('Entrada das massas'!S109&lt;=$B$12,'Entrada das massas'!S109&gt;$B$11),'Entrada das massas'!S109-((($C$12-$C$11)*($B$12-'Entrada das massas'!S109)+($B$11*$C$12)-($B$12*$C$12))/($B$11-$B$12)),IF(AND('Entrada das massas'!S109&lt;=$B$11,'Entrada das massas'!S109&gt;$B$10),'Entrada das massas'!S109-((($C$11-$C$10)*($B$11-'Entrada das massas'!S109)+($B$10*$C$11)-($B$11*$C$11))/($B$10-$B$11)),IF(AND('Entrada das massas'!S109&lt;=$B$10,'Entrada das massas'!S109&gt;$B$9),'Entrada das massas'!S109-((($C$10-$C$9)*($B$10-'Entrada das massas'!S109)+($B$9*$C$10)-($B$10*$C$10))/($B$9-$B$10)),IF(AND('Entrada das massas'!S109&lt;=$B$9,'Entrada das massas'!S109&gt;$B$8),'Entrada das massas'!S109-((($C$9-$C$8)*($B$9-'Entrada das massas'!S109)+($B$8*$C$9)-($B$9*$C$9))/($B$8-$B$9)),IF(AND('Entrada das massas'!S109&lt;=$B$8,'Entrada das massas'!S109&gt;$B$7),'Entrada das massas'!S109-((($C$8-$C$7)*($B$8-'Entrada das massas'!S109)+($B$7*$C$8)-($B$8*$C$8))/($B$7-$B$8)),IF(AND('Entrada das massas'!S109&lt;=$B$7,'Entrada das massas'!S109&gt;$B$6),'Entrada das massas'!S109-((($C$7-$C$6)*($B$7-'Entrada das massas'!S109)+($B$6*$C$7)-($B$7*$C$7))/($B$6-$B$7)),IF(AND('Entrada das massas'!S109&lt;=$B$6,'Entrada das massas'!S109&gt;$B$5),'Entrada das massas'!S109-((($C$6-$C$5)*($B$6-'Entrada das massas'!S109)+($B$5*$C$6)-($B$6*$C$6))/($B$5-$B$6)),IF('Entrada das massas'!S109&lt;=$B$5,'Entrada das massas'!S109-$C$5)))))))))))))))))</f>
        <v/>
      </c>
      <c r="X129" s="117" t="str">
        <f t="shared" si="65"/>
        <v/>
      </c>
      <c r="Y129" s="120" t="str">
        <f>IF(W127="","",W129-W127)</f>
        <v/>
      </c>
      <c r="Z129" s="117" t="str">
        <f>IF(X127="","",SQRT(SUMSQ(X127,X129)))</f>
        <v/>
      </c>
      <c r="AA129" s="93" t="str">
        <f>IF(W126="","","Solução")</f>
        <v/>
      </c>
    </row>
    <row r="130" spans="3:27" x14ac:dyDescent="0.2">
      <c r="G130" s="109"/>
      <c r="H130" s="98"/>
      <c r="I130" s="93"/>
      <c r="J130" s="144"/>
      <c r="K130" s="139"/>
      <c r="L130" s="139"/>
      <c r="M130" s="98"/>
      <c r="N130" s="98"/>
      <c r="O130" s="98"/>
      <c r="P130" s="93"/>
      <c r="Q130" s="120"/>
      <c r="R130" s="120"/>
      <c r="S130" s="120"/>
      <c r="T130" s="98"/>
      <c r="U130" s="98"/>
      <c r="V130" s="98"/>
      <c r="W130" s="93"/>
      <c r="X130" s="120"/>
      <c r="Y130" s="120"/>
      <c r="Z130" s="120"/>
      <c r="AA130" s="98"/>
    </row>
    <row r="131" spans="3:27" x14ac:dyDescent="0.2">
      <c r="G131" s="109"/>
      <c r="H131" s="126" t="str">
        <f>IF(I126="","","Amostra")</f>
        <v/>
      </c>
      <c r="I131" s="127" t="str">
        <f>IF('Entrada das massas'!I111="","",'Entrada das massas'!I111)</f>
        <v/>
      </c>
      <c r="J131" s="120" t="str">
        <f>IF(I131="","","uc(g)")</f>
        <v/>
      </c>
      <c r="K131" s="120" t="str">
        <f>IF(J131="","","Massa (g)")</f>
        <v/>
      </c>
      <c r="L131" s="120" t="str">
        <f>IF(K131="","","ucomb (g)")</f>
        <v/>
      </c>
      <c r="M131" s="98" t="str">
        <f>IF(I131="","","Fdiluição")</f>
        <v/>
      </c>
      <c r="N131" s="98"/>
      <c r="O131" s="126" t="str">
        <f>IF(M132="","","Amostra")</f>
        <v/>
      </c>
      <c r="P131" s="127" t="str">
        <f>IF('Entrada das massas'!N111="","",'Entrada das massas'!N111)</f>
        <v/>
      </c>
      <c r="Q131" s="120" t="str">
        <f>IF(P131="","","uc(g)")</f>
        <v/>
      </c>
      <c r="R131" s="120" t="str">
        <f>IF(Q131="","","Massa (g)")</f>
        <v/>
      </c>
      <c r="S131" s="120" t="str">
        <f>IF(R131="","","ucomb (g)")</f>
        <v/>
      </c>
      <c r="T131" s="98" t="str">
        <f>IF(P131="","","Fdiluição")</f>
        <v/>
      </c>
      <c r="U131" s="98"/>
      <c r="V131" s="126" t="str">
        <f>IF(T132="","","Amostra")</f>
        <v/>
      </c>
      <c r="W131" s="127" t="str">
        <f>IF('Entrada das massas'!S111="","",'Entrada das massas'!S111)</f>
        <v/>
      </c>
      <c r="X131" s="120" t="str">
        <f>IF(W131="","","uc(g)")</f>
        <v/>
      </c>
      <c r="Y131" s="120" t="str">
        <f>IF(X131="","","Massa (g)")</f>
        <v/>
      </c>
      <c r="Z131" s="120" t="str">
        <f>IF(Y131="","","ucomb (g)")</f>
        <v/>
      </c>
      <c r="AA131" s="98" t="str">
        <f>IF(W131="","","Fdiluição")</f>
        <v/>
      </c>
    </row>
    <row r="132" spans="3:27" x14ac:dyDescent="0.2">
      <c r="G132" s="109"/>
      <c r="H132" s="115" t="str">
        <f>IF(I131="","","Frasco")</f>
        <v/>
      </c>
      <c r="I132" s="116" t="str">
        <f>IF('Entrada das massas'!I112="","",IF(AND('Entrada das massas'!I112&lt;=$B$20,'Entrada das massas'!I112&gt;$B$19),'Entrada das massas'!I112-((($C$20-$C$19)*($B$20-'Entrada das massas'!I112)+($B$19*$C$20)-($B$20*$C$20))/($B$19-$B$20)),IF(AND('Entrada das massas'!I112&lt;=$B$19,'Entrada das massas'!I112&gt;$B$18),'Entrada das massas'!I112-((($C$19-$C$18)*($B$19-'Entrada das massas'!I112)+($B$18*$C$19)-($B$19*$C$19))/($B$18-$B$19)),IF(AND('Entrada das massas'!I112&lt;=$B$18,'Entrada das massas'!I112&gt;$B$17),'Entrada das massas'!I112-((($C$18-$C$17)*($B$18-'Entrada das massas'!I112)+($B$17*$C$18)-($B$18*$C$18))/($B$17-$B$18)),IF(AND('Entrada das massas'!I112&lt;=$B$17,'Entrada das massas'!I112&gt;$B$16),'Entrada das massas'!I112-((($C$17-$C$16)*($B$17-'Entrada das massas'!I112)+($B$16*$C$17)-($B$17*$C$17))/($B$16-$B$17)),IF(AND('Entrada das massas'!I112&lt;=$B$16,'Entrada das massas'!I112&gt;$B$15),'Entrada das massas'!I112-((($C$16-$C$15)*($B$16-'Entrada das massas'!I112)+($B$15*$C$16)-($B$16*$C$16))/($B$15-$B$16)),IF(AND('Entrada das massas'!I112&lt;=$B$15,'Entrada das massas'!I112&gt;$B$14),'Entrada das massas'!I112-((($C$15-$C$14)*($B$15-'Entrada das massas'!I112)+($B$14*$C$15)-($B$15*$C$15))/($B$14-$B$15)),IF(AND('Entrada das massas'!I112&lt;=$B$14,'Entrada das massas'!I112&gt;$B$13),'Entrada das massas'!I112-((($C$14-$C$13)*($B$14-'Entrada das massas'!I112)+($B$13*$C$14)-($B$14*$C$14))/($B$13-$B$14)),IF(AND('Entrada das massas'!I112&lt;=$B$13,'Entrada das massas'!I112&gt;$B$12),'Entrada das massas'!I112-((($C$13-$C$12)*($B$13-'Entrada das massas'!I112)+($B$12*$C$13)-($B$13*$C$13))/($B$12-$B$13)),IF(AND('Entrada das massas'!I112&lt;=$B$12,'Entrada das massas'!I112&gt;$B$11),'Entrada das massas'!I112-((($C$12-$C$11)*($B$12-'Entrada das massas'!I112)+($B$11*$C$12)-($B$12*$C$12))/($B$11-$B$12)),IF(AND('Entrada das massas'!I112&lt;=$B$11,'Entrada das massas'!I112&gt;$B$10),'Entrada das massas'!I112-((($C$11-$C$10)*($B$11-'Entrada das massas'!I112)+($B$10*$C$11)-($B$11*$C$11))/($B$10-$B$11)),IF(AND('Entrada das massas'!I112&lt;=$B$10,'Entrada das massas'!I112&gt;$B$9),'Entrada das massas'!I112-((($C$10-$C$9)*($B$10-'Entrada das massas'!I112)+($B$9*$C$10)-($B$10*$C$10))/($B$9-$B$10)),IF(AND('Entrada das massas'!I112&lt;=$B$9,'Entrada das massas'!I112&gt;$B$8),'Entrada das massas'!I112-((($C$9-$C$8)*($B$9-'Entrada das massas'!I112)+($B$8*$C$9)-($B$9*$C$9))/($B$8-$B$9)),IF(AND('Entrada das massas'!I112&lt;=$B$8,'Entrada das massas'!I112&gt;$B$7),'Entrada das massas'!I112-((($C$8-$C$7)*($B$8-'Entrada das massas'!I112)+($B$7*$C$8)-($B$8*$C$8))/($B$7-$B$8)),IF(AND('Entrada das massas'!I112&lt;=$B$7,'Entrada das massas'!I112&gt;$B$6),'Entrada das massas'!I112-((($C$7-$C$6)*($B$7-'Entrada das massas'!I112)+($B$6*$C$7)-($B$7*$C$7))/($B$6-$B$7)),IF(AND('Entrada das massas'!I112&lt;=$B$6,'Entrada das massas'!I112&gt;$B$5),'Entrada das massas'!I112-((($C$6-$C$5)*($B$6-'Entrada das massas'!I112)+($B$5*$C$6)-($B$6*$C$6))/($B$5-$B$6)),IF('Entrada das massas'!I112&lt;=$B$5,'Entrada das massas'!I112-$C$5)))))))))))))))))</f>
        <v/>
      </c>
      <c r="J132" s="117" t="str">
        <f>IF(I132="","",(IF(AND(I132&lt;=$B$20,I132&gt;$B$19),$D$19+($B$19-I132)/($B$19-$B$20)*($D$20-$D$19),IF(AND(I132&lt;=$B$19,I132&gt;$B$18),$D$18+($B$18-I132)/($B$18-$B$19)*($D$19-$D$18),IF(AND(I132&lt;=$B$18,I132&gt;$B$17),$D$17+($B$17-I132)/($B$17-$B$18)*($D$18-$D$17),IF(AND(I132&lt;=$B$17,I132&gt;$B$16),$D$16+($B$16-I132)/($B$16-$B$17)*($D$17-$D$16),IF(AND(I132&lt;=$B$16,I132&gt;$B$15),$D$15+($B$15-I132)/($B$15-$B$16)*($D$16-$D$15),IF(AND(I132&lt;=$B$15,I132&gt;$B$14),$D$14+($B$14-I132)/($B$14-$B$15)*($D$15-$D$14),IF(AND(I132&lt;=$B$14,I132&gt;$B$13),$D$13+($B$13-I132)/($B$13-$B$14)*($D$14-$D$13),IF(AND(I132&lt;=$B$13,I132&gt;$B$12),$D$12+($B$12-I132)/($B$12-$B$13)*($D$13-$D$12),IF(AND(I132&lt;=$B$12,I132&gt;$B$11),$D$11+($B$11-I132)/($B$11-$B$12)*($D$12-$D$11),IF(AND(I132&lt;=$B$11,I132&gt;$B$10),$D$10+($B$10-I132)/($B$10-$B$11)*($D$11-$D$10),IF(AND(I132&lt;=$B$10,I132&gt;$B$9),$D$9+($B$9-I132)/($B$9-$B$10)*($D$10-$D$9),IF(AND(I132&lt;=$B$9,I132&gt;$B$8),$D$8+($B$8-I132)/($B$8-$B$9)*($D$9-$D$8),IF(AND(I132&lt;=$B$8,I132&gt;$B$7),$D$7+($B$7-I132)/($B$7-$B$8)*($D$8-$D$7),IF(AND(I132&lt;=$B$7,I132&gt;$B$6),$D$6+($B$6-I132)/($B$6-$B$7)*($D$7-$D$6),IF(I132&lt;=$B$6,$D$6)))))))))))))))))</f>
        <v/>
      </c>
      <c r="K132" s="117"/>
      <c r="L132" s="117"/>
      <c r="M132" s="118" t="str">
        <f>IFERROR(K134/K133,"")</f>
        <v/>
      </c>
      <c r="N132" s="93"/>
      <c r="O132" s="115" t="str">
        <f>IF(P131="","","Frasco")</f>
        <v/>
      </c>
      <c r="P132" s="95" t="str">
        <f>IF('Entrada das massas'!N112="","",IF(AND('Entrada das massas'!N112&lt;=$B$20,'Entrada das massas'!N112&gt;$B$19),'Entrada das massas'!N112-((($C$20-$C$19)*($B$20-'Entrada das massas'!N112)+($B$19*$C$20)-($B$20*$C$20))/($B$19-$B$20)),IF(AND('Entrada das massas'!N112&lt;=$B$19,'Entrada das massas'!N112&gt;$B$18),'Entrada das massas'!N112-((($C$19-$C$18)*($B$19-'Entrada das massas'!N112)+($B$18*$C$19)-($B$19*$C$19))/($B$18-$B$19)),IF(AND('Entrada das massas'!N112&lt;=$B$18,'Entrada das massas'!N112&gt;$B$17),'Entrada das massas'!N112-((($C$18-$C$17)*($B$18-'Entrada das massas'!N112)+($B$17*$C$18)-($B$18*$C$18))/($B$17-$B$18)),IF(AND('Entrada das massas'!N112&lt;=$B$17,'Entrada das massas'!N112&gt;$B$16),'Entrada das massas'!N112-((($C$17-$C$16)*($B$17-'Entrada das massas'!N112)+($B$16*$C$17)-($B$17*$C$17))/($B$16-$B$17)),IF(AND('Entrada das massas'!N112&lt;=$B$16,'Entrada das massas'!N112&gt;$B$15),'Entrada das massas'!N112-((($C$16-$C$15)*($B$16-'Entrada das massas'!N112)+($B$15*$C$16)-($B$16*$C$16))/($B$15-$B$16)),IF(AND('Entrada das massas'!N112&lt;=$B$15,'Entrada das massas'!N112&gt;$B$14),'Entrada das massas'!N112-((($C$15-$C$14)*($B$15-'Entrada das massas'!N112)+($B$14*$C$15)-($B$15*$C$15))/($B$14-$B$15)),IF(AND('Entrada das massas'!N112&lt;=$B$14,'Entrada das massas'!N112&gt;$B$13),'Entrada das massas'!N112-((($C$14-$C$13)*($B$14-'Entrada das massas'!N112)+($B$13*$C$14)-($B$14*$C$14))/($B$13-$B$14)),IF(AND('Entrada das massas'!N112&lt;=$B$13,'Entrada das massas'!N112&gt;$B$12),'Entrada das massas'!N112-((($C$13-$C$12)*($B$13-'Entrada das massas'!N112)+($B$12*$C$13)-($B$13*$C$13))/($B$12-$B$13)),IF(AND('Entrada das massas'!N112&lt;=$B$12,'Entrada das massas'!N112&gt;$B$11),'Entrada das massas'!N112-((($C$12-$C$11)*($B$12-'Entrada das massas'!N112)+($B$11*$C$12)-($B$12*$C$12))/($B$11-$B$12)),IF(AND('Entrada das massas'!N112&lt;=$B$11,'Entrada das massas'!N112&gt;$B$10),'Entrada das massas'!N112-((($C$11-$C$10)*($B$11-'Entrada das massas'!N112)+($B$10*$C$11)-($B$11*$C$11))/($B$10-$B$11)),IF(AND('Entrada das massas'!N112&lt;=$B$10,'Entrada das massas'!N112&gt;$B$9),'Entrada das massas'!N112-((($C$10-$C$9)*($B$10-'Entrada das massas'!N112)+($B$9*$C$10)-($B$10*$C$10))/($B$9-$B$10)),IF(AND('Entrada das massas'!N112&lt;=$B$9,'Entrada das massas'!N112&gt;$B$8),'Entrada das massas'!N112-((($C$9-$C$8)*($B$9-'Entrada das massas'!N112)+($B$8*$C$9)-($B$9*$C$9))/($B$8-$B$9)),IF(AND('Entrada das massas'!N112&lt;=$B$8,'Entrada das massas'!N112&gt;$B$7),'Entrada das massas'!N112-((($C$8-$C$7)*($B$8-'Entrada das massas'!N112)+($B$7*$C$8)-($B$8*$C$8))/($B$7-$B$8)),IF(AND('Entrada das massas'!N112&lt;=$B$7,'Entrada das massas'!N112&gt;$B$6),'Entrada das massas'!N112-((($C$7-$C$6)*($B$7-'Entrada das massas'!N112)+($B$6*$C$7)-($B$7*$C$7))/($B$6-$B$7)),IF(AND('Entrada das massas'!N112&lt;=$B$6,'Entrada das massas'!N112&gt;$B$5),'Entrada das massas'!N112-((($C$6-$C$5)*($B$6-'Entrada das massas'!N112)+($B$5*$C$6)-($B$6*$C$6))/($B$5-$B$6)),IF('Entrada das massas'!N112&lt;=$B$5,'Entrada das massas'!N112-$C$5)))))))))))))))))</f>
        <v/>
      </c>
      <c r="Q132" s="117" t="str">
        <f>IF(P132="","",(IF(AND(P132&lt;=$B$20,P132&gt;$B$19),$D$19+($B$19-P132)/($B$19-$B$20)*($D$20-$D$19),IF(AND(P132&lt;=$B$19,P132&gt;$B$18),$D$18+($B$18-P132)/($B$18-$B$19)*($D$19-$D$18),IF(AND(P132&lt;=$B$18,P132&gt;$B$17),$D$17+($B$17-P132)/($B$17-$B$18)*($D$18-$D$17),IF(AND(P132&lt;=$B$17,P132&gt;$B$16),$D$16+($B$16-P132)/($B$16-$B$17)*($D$17-$D$16),IF(AND(P132&lt;=$B$16,P132&gt;$B$15),$D$15+($B$15-P132)/($B$15-$B$16)*($D$16-$D$15),IF(AND(P132&lt;=$B$15,P132&gt;$B$14),$D$14+($B$14-P132)/($B$14-$B$15)*($D$15-$D$14),IF(AND(P132&lt;=$B$14,P132&gt;$B$13),$D$13+($B$13-P132)/($B$13-$B$14)*($D$14-$D$13),IF(AND(P132&lt;=$B$13,P132&gt;$B$12),$D$12+($B$12-P132)/($B$12-$B$13)*($D$13-$D$12),IF(AND(P132&lt;=$B$12,P132&gt;$B$11),$D$11+($B$11-P132)/($B$11-$B$12)*($D$12-$D$11),IF(AND(P132&lt;=$B$11,P132&gt;$B$10),$D$10+($B$10-P132)/($B$10-$B$11)*($D$11-$D$10),IF(AND(P132&lt;=$B$10,P132&gt;$B$9),$D$9+($B$9-P132)/($B$9-$B$10)*($D$10-$D$9),IF(AND(P132&lt;=$B$9,P132&gt;$B$8),$D$8+($B$8-P132)/($B$8-$B$9)*($D$9-$D$8),IF(AND(P132&lt;=$B$8,P132&gt;$B$7),$D$7+($B$7-P132)/($B$7-$B$8)*($D$8-$D$7),IF(AND(P132&lt;=$B$7,P132&gt;$B$6),$D$6+($B$6-P132)/($B$6-$B$7)*($D$7-$D$6),IF(P132&lt;=$B$6,$D$6)))))))))))))))))</f>
        <v/>
      </c>
      <c r="R132" s="117"/>
      <c r="S132" s="117"/>
      <c r="T132" s="118" t="str">
        <f>IFERROR(R134/R133,"")</f>
        <v/>
      </c>
      <c r="U132" s="93"/>
      <c r="V132" s="115" t="str">
        <f>IF(W131="","","Frasco")</f>
        <v/>
      </c>
      <c r="W132" s="95" t="str">
        <f>IF('Entrada das massas'!S112="","",IF(AND('Entrada das massas'!S112&lt;=$B$20,'Entrada das massas'!S112&gt;$B$19),'Entrada das massas'!S112-((($C$20-$C$19)*($B$20-'Entrada das massas'!S112)+($B$19*$C$20)-($B$20*$C$20))/($B$19-$B$20)),IF(AND('Entrada das massas'!S112&lt;=$B$19,'Entrada das massas'!S112&gt;$B$18),'Entrada das massas'!S112-((($C$19-$C$18)*($B$19-'Entrada das massas'!S112)+($B$18*$C$19)-($B$19*$C$19))/($B$18-$B$19)),IF(AND('Entrada das massas'!S112&lt;=$B$18,'Entrada das massas'!S112&gt;$B$17),'Entrada das massas'!S112-((($C$18-$C$17)*($B$18-'Entrada das massas'!S112)+($B$17*$C$18)-($B$18*$C$18))/($B$17-$B$18)),IF(AND('Entrada das massas'!S112&lt;=$B$17,'Entrada das massas'!S112&gt;$B$16),'Entrada das massas'!S112-((($C$17-$C$16)*($B$17-'Entrada das massas'!S112)+($B$16*$C$17)-($B$17*$C$17))/($B$16-$B$17)),IF(AND('Entrada das massas'!S112&lt;=$B$16,'Entrada das massas'!S112&gt;$B$15),'Entrada das massas'!S112-((($C$16-$C$15)*($B$16-'Entrada das massas'!S112)+($B$15*$C$16)-($B$16*$C$16))/($B$15-$B$16)),IF(AND('Entrada das massas'!S112&lt;=$B$15,'Entrada das massas'!S112&gt;$B$14),'Entrada das massas'!S112-((($C$15-$C$14)*($B$15-'Entrada das massas'!S112)+($B$14*$C$15)-($B$15*$C$15))/($B$14-$B$15)),IF(AND('Entrada das massas'!S112&lt;=$B$14,'Entrada das massas'!S112&gt;$B$13),'Entrada das massas'!S112-((($C$14-$C$13)*($B$14-'Entrada das massas'!S112)+($B$13*$C$14)-($B$14*$C$14))/($B$13-$B$14)),IF(AND('Entrada das massas'!S112&lt;=$B$13,'Entrada das massas'!S112&gt;$B$12),'Entrada das massas'!S112-((($C$13-$C$12)*($B$13-'Entrada das massas'!S112)+($B$12*$C$13)-($B$13*$C$13))/($B$12-$B$13)),IF(AND('Entrada das massas'!S112&lt;=$B$12,'Entrada das massas'!S112&gt;$B$11),'Entrada das massas'!S112-((($C$12-$C$11)*($B$12-'Entrada das massas'!S112)+($B$11*$C$12)-($B$12*$C$12))/($B$11-$B$12)),IF(AND('Entrada das massas'!S112&lt;=$B$11,'Entrada das massas'!S112&gt;$B$10),'Entrada das massas'!S112-((($C$11-$C$10)*($B$11-'Entrada das massas'!S112)+($B$10*$C$11)-($B$11*$C$11))/($B$10-$B$11)),IF(AND('Entrada das massas'!S112&lt;=$B$10,'Entrada das massas'!S112&gt;$B$9),'Entrada das massas'!S112-((($C$10-$C$9)*($B$10-'Entrada das massas'!S112)+($B$9*$C$10)-($B$10*$C$10))/($B$9-$B$10)),IF(AND('Entrada das massas'!S112&lt;=$B$9,'Entrada das massas'!S112&gt;$B$8),'Entrada das massas'!S112-((($C$9-$C$8)*($B$9-'Entrada das massas'!S112)+($B$8*$C$9)-($B$9*$C$9))/($B$8-$B$9)),IF(AND('Entrada das massas'!S112&lt;=$B$8,'Entrada das massas'!S112&gt;$B$7),'Entrada das massas'!S112-((($C$8-$C$7)*($B$8-'Entrada das massas'!S112)+($B$7*$C$8)-($B$8*$C$8))/($B$7-$B$8)),IF(AND('Entrada das massas'!S112&lt;=$B$7,'Entrada das massas'!S112&gt;$B$6),'Entrada das massas'!S112-((($C$7-$C$6)*($B$7-'Entrada das massas'!S112)+($B$6*$C$7)-($B$7*$C$7))/($B$6-$B$7)),IF(AND('Entrada das massas'!S112&lt;=$B$6,'Entrada das massas'!S112&gt;$B$5),'Entrada das massas'!S112-((($C$6-$C$5)*($B$6-'Entrada das massas'!S112)+($B$5*$C$6)-($B$6*$C$6))/($B$5-$B$6)),IF('Entrada das massas'!S112&lt;=$B$5,'Entrada das massas'!S112-$C$5)))))))))))))))))</f>
        <v/>
      </c>
      <c r="X132" s="117" t="str">
        <f>IF(W132="","",(IF(AND(W132&lt;=$B$20,W132&gt;$B$19),$D$19+($B$19-W132)/($B$19-$B$20)*($D$20-$D$19),IF(AND(W132&lt;=$B$19,W132&gt;$B$18),$D$18+($B$18-W132)/($B$18-$B$19)*($D$19-$D$18),IF(AND(W132&lt;=$B$18,W132&gt;$B$17),$D$17+($B$17-W132)/($B$17-$B$18)*($D$18-$D$17),IF(AND(W132&lt;=$B$17,W132&gt;$B$16),$D$16+($B$16-W132)/($B$16-$B$17)*($D$17-$D$16),IF(AND(W132&lt;=$B$16,W132&gt;$B$15),$D$15+($B$15-W132)/($B$15-$B$16)*($D$16-$D$15),IF(AND(W132&lt;=$B$15,W132&gt;$B$14),$D$14+($B$14-W132)/($B$14-$B$15)*($D$15-$D$14),IF(AND(W132&lt;=$B$14,W132&gt;$B$13),$D$13+($B$13-W132)/($B$13-$B$14)*($D$14-$D$13),IF(AND(W132&lt;=$B$13,W132&gt;$B$12),$D$12+($B$12-W132)/($B$12-$B$13)*($D$13-$D$12),IF(AND(W132&lt;=$B$12,W132&gt;$B$11),$D$11+($B$11-W132)/($B$11-$B$12)*($D$12-$D$11),IF(AND(W132&lt;=$B$11,W132&gt;$B$10),$D$10+($B$10-W132)/($B$10-$B$11)*($D$11-$D$10),IF(AND(W132&lt;=$B$10,W132&gt;$B$9),$D$9+($B$9-W132)/($B$9-$B$10)*($D$10-$D$9),IF(AND(W132&lt;=$B$9,W132&gt;$B$8),$D$8+($B$8-W132)/($B$8-$B$9)*($D$9-$D$8),IF(AND(W132&lt;=$B$8,W132&gt;$B$7),$D$7+($B$7-W132)/($B$7-$B$8)*($D$8-$D$7),IF(AND(W132&lt;=$B$7,W132&gt;$B$6),$D$6+($B$6-W132)/($B$6-$B$7)*($D$7-$D$6),IF(W132&lt;=$B$6,$D$6)))))))))))))))))</f>
        <v/>
      </c>
      <c r="Y132" s="117"/>
      <c r="Z132" s="117"/>
      <c r="AA132" s="118" t="str">
        <f>IFERROR(Y134/Y133,"")</f>
        <v/>
      </c>
    </row>
    <row r="133" spans="3:27" x14ac:dyDescent="0.2">
      <c r="G133" s="143"/>
      <c r="H133" s="115" t="str">
        <f>IF(I131="","","Frasco + Amostra")</f>
        <v/>
      </c>
      <c r="I133" s="116" t="str">
        <f>IF('Entrada das massas'!I113="","",IF(AND('Entrada das massas'!I113&lt;=$B$20,'Entrada das massas'!I113&gt;$B$19),'Entrada das massas'!I113-((($C$20-$C$19)*($B$20-'Entrada das massas'!I113)+($B$19*$C$20)-($B$20*$C$20))/($B$19-$B$20)),IF(AND('Entrada das massas'!I113&lt;=$B$19,'Entrada das massas'!I113&gt;$B$18),'Entrada das massas'!I113-((($C$19-$C$18)*($B$19-'Entrada das massas'!I113)+($B$18*$C$19)-($B$19*$C$19))/($B$18-$B$19)),IF(AND('Entrada das massas'!I113&lt;=$B$18,'Entrada das massas'!I113&gt;$B$17),'Entrada das massas'!I113-((($C$18-$C$17)*($B$18-'Entrada das massas'!I113)+($B$17*$C$18)-($B$18*$C$18))/($B$17-$B$18)),IF(AND('Entrada das massas'!I113&lt;=$B$17,'Entrada das massas'!I113&gt;$B$16),'Entrada das massas'!I113-((($C$17-$C$16)*($B$17-'Entrada das massas'!I113)+($B$16*$C$17)-($B$17*$C$17))/($B$16-$B$17)),IF(AND('Entrada das massas'!I113&lt;=$B$16,'Entrada das massas'!I113&gt;$B$15),'Entrada das massas'!I113-((($C$16-$C$15)*($B$16-'Entrada das massas'!I113)+($B$15*$C$16)-($B$16*$C$16))/($B$15-$B$16)),IF(AND('Entrada das massas'!I113&lt;=$B$15,'Entrada das massas'!I113&gt;$B$14),'Entrada das massas'!I113-((($C$15-$C$14)*($B$15-'Entrada das massas'!I113)+($B$14*$C$15)-($B$15*$C$15))/($B$14-$B$15)),IF(AND('Entrada das massas'!I113&lt;=$B$14,'Entrada das massas'!I113&gt;$B$13),'Entrada das massas'!I113-((($C$14-$C$13)*($B$14-'Entrada das massas'!I113)+($B$13*$C$14)-($B$14*$C$14))/($B$13-$B$14)),IF(AND('Entrada das massas'!I113&lt;=$B$13,'Entrada das massas'!I113&gt;$B$12),'Entrada das massas'!I113-((($C$13-$C$12)*($B$13-'Entrada das massas'!I113)+($B$12*$C$13)-($B$13*$C$13))/($B$12-$B$13)),IF(AND('Entrada das massas'!I113&lt;=$B$12,'Entrada das massas'!I113&gt;$B$11),'Entrada das massas'!I113-((($C$12-$C$11)*($B$12-'Entrada das massas'!I113)+($B$11*$C$12)-($B$12*$C$12))/($B$11-$B$12)),IF(AND('Entrada das massas'!I113&lt;=$B$11,'Entrada das massas'!I113&gt;$B$10),'Entrada das massas'!I113-((($C$11-$C$10)*($B$11-'Entrada das massas'!I113)+($B$10*$C$11)-($B$11*$C$11))/($B$10-$B$11)),IF(AND('Entrada das massas'!I113&lt;=$B$10,'Entrada das massas'!I113&gt;$B$9),'Entrada das massas'!I113-((($C$10-$C$9)*($B$10-'Entrada das massas'!I113)+($B$9*$C$10)-($B$10*$C$10))/($B$9-$B$10)),IF(AND('Entrada das massas'!I113&lt;=$B$9,'Entrada das massas'!I113&gt;$B$8),'Entrada das massas'!I113-((($C$9-$C$8)*($B$9-'Entrada das massas'!I113)+($B$8*$C$9)-($B$9*$C$9))/($B$8-$B$9)),IF(AND('Entrada das massas'!I113&lt;=$B$8,'Entrada das massas'!I113&gt;$B$7),'Entrada das massas'!I113-((($C$8-$C$7)*($B$8-'Entrada das massas'!I113)+($B$7*$C$8)-($B$8*$C$8))/($B$7-$B$8)),IF(AND('Entrada das massas'!I113&lt;=$B$7,'Entrada das massas'!I113&gt;$B$6),'Entrada das massas'!I113-((($C$7-$C$6)*($B$7-'Entrada das massas'!I113)+($B$6*$C$7)-($B$7*$C$7))/($B$6-$B$7)),IF(AND('Entrada das massas'!I113&lt;=$B$6,'Entrada das massas'!I113&gt;$B$5),'Entrada das massas'!I113-((($C$6-$C$5)*($B$6-'Entrada das massas'!I113)+($B$5*$C$6)-($B$6*$C$6))/($B$5-$B$6)),IF('Entrada das massas'!I113&lt;=$B$5,'Entrada das massas'!I113-$C$5)))))))))))))))))</f>
        <v/>
      </c>
      <c r="J133" s="117" t="str">
        <f t="shared" ref="J133:J134" si="66">IF(I133="","",(IF(AND(I133&lt;=$B$20,I133&gt;$B$19),$D$19+($B$19-I133)/($B$19-$B$20)*($D$20-$D$19),IF(AND(I133&lt;=$B$19,I133&gt;$B$18),$D$18+($B$18-I133)/($B$18-$B$19)*($D$19-$D$18),IF(AND(I133&lt;=$B$18,I133&gt;$B$17),$D$17+($B$17-I133)/($B$17-$B$18)*($D$18-$D$17),IF(AND(I133&lt;=$B$17,I133&gt;$B$16),$D$16+($B$16-I133)/($B$16-$B$17)*($D$17-$D$16),IF(AND(I133&lt;=$B$16,I133&gt;$B$15),$D$15+($B$15-I133)/($B$15-$B$16)*($D$16-$D$15),IF(AND(I133&lt;=$B$15,I133&gt;$B$14),$D$14+($B$14-I133)/($B$14-$B$15)*($D$15-$D$14),IF(AND(I133&lt;=$B$14,I133&gt;$B$13),$D$13+($B$13-I133)/($B$13-$B$14)*($D$14-$D$13),IF(AND(I133&lt;=$B$13,I133&gt;$B$12),$D$12+($B$12-I133)/($B$12-$B$13)*($D$13-$D$12),IF(AND(I133&lt;=$B$12,I133&gt;$B$11),$D$11+($B$11-I133)/($B$11-$B$12)*($D$12-$D$11),IF(AND(I133&lt;=$B$11,I133&gt;$B$10),$D$10+($B$10-I133)/($B$10-$B$11)*($D$11-$D$10),IF(AND(I133&lt;=$B$10,I133&gt;$B$9),$D$9+($B$9-I133)/($B$9-$B$10)*($D$10-$D$9),IF(AND(I133&lt;=$B$9,I133&gt;$B$8),$D$8+($B$8-I133)/($B$8-$B$9)*($D$9-$D$8),IF(AND(I133&lt;=$B$8,I133&gt;$B$7),$D$7+($B$7-I133)/($B$7-$B$8)*($D$8-$D$7),IF(AND(I133&lt;=$B$7,I133&gt;$B$6),$D$6+($B$6-I133)/($B$6-$B$7)*($D$7-$D$6),IF(I133&lt;=$B$6,$D$6)))))))))))))))))</f>
        <v/>
      </c>
      <c r="K133" s="120" t="str">
        <f>IF(I132="","",I133-I132)</f>
        <v/>
      </c>
      <c r="L133" s="117" t="str">
        <f>IF(J132="","",SQRT(SUMSQ(J132:J133)))</f>
        <v/>
      </c>
      <c r="M133" s="93" t="str">
        <f>IF(I131="","","Amostra")</f>
        <v/>
      </c>
      <c r="N133" s="118"/>
      <c r="O133" s="115" t="str">
        <f>IF(P131="","","Frasco + Amostra")</f>
        <v/>
      </c>
      <c r="P133" s="95" t="str">
        <f>IF('Entrada das massas'!N113="","",IF(AND('Entrada das massas'!N113&lt;=$B$20,'Entrada das massas'!N113&gt;$B$19),'Entrada das massas'!N113-((($C$20-$C$19)*($B$20-'Entrada das massas'!N113)+($B$19*$C$20)-($B$20*$C$20))/($B$19-$B$20)),IF(AND('Entrada das massas'!N113&lt;=$B$19,'Entrada das massas'!N113&gt;$B$18),'Entrada das massas'!N113-((($C$19-$C$18)*($B$19-'Entrada das massas'!N113)+($B$18*$C$19)-($B$19*$C$19))/($B$18-$B$19)),IF(AND('Entrada das massas'!N113&lt;=$B$18,'Entrada das massas'!N113&gt;$B$17),'Entrada das massas'!N113-((($C$18-$C$17)*($B$18-'Entrada das massas'!N113)+($B$17*$C$18)-($B$18*$C$18))/($B$17-$B$18)),IF(AND('Entrada das massas'!N113&lt;=$B$17,'Entrada das massas'!N113&gt;$B$16),'Entrada das massas'!N113-((($C$17-$C$16)*($B$17-'Entrada das massas'!N113)+($B$16*$C$17)-($B$17*$C$17))/($B$16-$B$17)),IF(AND('Entrada das massas'!N113&lt;=$B$16,'Entrada das massas'!N113&gt;$B$15),'Entrada das massas'!N113-((($C$16-$C$15)*($B$16-'Entrada das massas'!N113)+($B$15*$C$16)-($B$16*$C$16))/($B$15-$B$16)),IF(AND('Entrada das massas'!N113&lt;=$B$15,'Entrada das massas'!N113&gt;$B$14),'Entrada das massas'!N113-((($C$15-$C$14)*($B$15-'Entrada das massas'!N113)+($B$14*$C$15)-($B$15*$C$15))/($B$14-$B$15)),IF(AND('Entrada das massas'!N113&lt;=$B$14,'Entrada das massas'!N113&gt;$B$13),'Entrada das massas'!N113-((($C$14-$C$13)*($B$14-'Entrada das massas'!N113)+($B$13*$C$14)-($B$14*$C$14))/($B$13-$B$14)),IF(AND('Entrada das massas'!N113&lt;=$B$13,'Entrada das massas'!N113&gt;$B$12),'Entrada das massas'!N113-((($C$13-$C$12)*($B$13-'Entrada das massas'!N113)+($B$12*$C$13)-($B$13*$C$13))/($B$12-$B$13)),IF(AND('Entrada das massas'!N113&lt;=$B$12,'Entrada das massas'!N113&gt;$B$11),'Entrada das massas'!N113-((($C$12-$C$11)*($B$12-'Entrada das massas'!N113)+($B$11*$C$12)-($B$12*$C$12))/($B$11-$B$12)),IF(AND('Entrada das massas'!N113&lt;=$B$11,'Entrada das massas'!N113&gt;$B$10),'Entrada das massas'!N113-((($C$11-$C$10)*($B$11-'Entrada das massas'!N113)+($B$10*$C$11)-($B$11*$C$11))/($B$10-$B$11)),IF(AND('Entrada das massas'!N113&lt;=$B$10,'Entrada das massas'!N113&gt;$B$9),'Entrada das massas'!N113-((($C$10-$C$9)*($B$10-'Entrada das massas'!N113)+($B$9*$C$10)-($B$10*$C$10))/($B$9-$B$10)),IF(AND('Entrada das massas'!N113&lt;=$B$9,'Entrada das massas'!N113&gt;$B$8),'Entrada das massas'!N113-((($C$9-$C$8)*($B$9-'Entrada das massas'!N113)+($B$8*$C$9)-($B$9*$C$9))/($B$8-$B$9)),IF(AND('Entrada das massas'!N113&lt;=$B$8,'Entrada das massas'!N113&gt;$B$7),'Entrada das massas'!N113-((($C$8-$C$7)*($B$8-'Entrada das massas'!N113)+($B$7*$C$8)-($B$8*$C$8))/($B$7-$B$8)),IF(AND('Entrada das massas'!N113&lt;=$B$7,'Entrada das massas'!N113&gt;$B$6),'Entrada das massas'!N113-((($C$7-$C$6)*($B$7-'Entrada das massas'!N113)+($B$6*$C$7)-($B$7*$C$7))/($B$6-$B$7)),IF(AND('Entrada das massas'!N113&lt;=$B$6,'Entrada das massas'!N113&gt;$B$5),'Entrada das massas'!N113-((($C$6-$C$5)*($B$6-'Entrada das massas'!N113)+($B$5*$C$6)-($B$6*$C$6))/($B$5-$B$6)),IF('Entrada das massas'!N113&lt;=$B$5,'Entrada das massas'!N113-$C$5)))))))))))))))))</f>
        <v/>
      </c>
      <c r="Q133" s="117" t="str">
        <f t="shared" ref="Q133:Q134" si="67">IF(P133="","",(IF(AND(P133&lt;=$B$20,P133&gt;$B$19),$D$19+($B$19-P133)/($B$19-$B$20)*($D$20-$D$19),IF(AND(P133&lt;=$B$19,P133&gt;$B$18),$D$18+($B$18-P133)/($B$18-$B$19)*($D$19-$D$18),IF(AND(P133&lt;=$B$18,P133&gt;$B$17),$D$17+($B$17-P133)/($B$17-$B$18)*($D$18-$D$17),IF(AND(P133&lt;=$B$17,P133&gt;$B$16),$D$16+($B$16-P133)/($B$16-$B$17)*($D$17-$D$16),IF(AND(P133&lt;=$B$16,P133&gt;$B$15),$D$15+($B$15-P133)/($B$15-$B$16)*($D$16-$D$15),IF(AND(P133&lt;=$B$15,P133&gt;$B$14),$D$14+($B$14-P133)/($B$14-$B$15)*($D$15-$D$14),IF(AND(P133&lt;=$B$14,P133&gt;$B$13),$D$13+($B$13-P133)/($B$13-$B$14)*($D$14-$D$13),IF(AND(P133&lt;=$B$13,P133&gt;$B$12),$D$12+($B$12-P133)/($B$12-$B$13)*($D$13-$D$12),IF(AND(P133&lt;=$B$12,P133&gt;$B$11),$D$11+($B$11-P133)/($B$11-$B$12)*($D$12-$D$11),IF(AND(P133&lt;=$B$11,P133&gt;$B$10),$D$10+($B$10-P133)/($B$10-$B$11)*($D$11-$D$10),IF(AND(P133&lt;=$B$10,P133&gt;$B$9),$D$9+($B$9-P133)/($B$9-$B$10)*($D$10-$D$9),IF(AND(P133&lt;=$B$9,P133&gt;$B$8),$D$8+($B$8-P133)/($B$8-$B$9)*($D$9-$D$8),IF(AND(P133&lt;=$B$8,P133&gt;$B$7),$D$7+($B$7-P133)/($B$7-$B$8)*($D$8-$D$7),IF(AND(P133&lt;=$B$7,P133&gt;$B$6),$D$6+($B$6-P133)/($B$6-$B$7)*($D$7-$D$6),IF(P133&lt;=$B$6,$D$6)))))))))))))))))</f>
        <v/>
      </c>
      <c r="R133" s="120" t="str">
        <f>IF(P132="","",P133-P132)</f>
        <v/>
      </c>
      <c r="S133" s="117" t="str">
        <f>IF(Q132="","",SQRT(SUMSQ(Q132:Q133)))</f>
        <v/>
      </c>
      <c r="T133" s="93" t="str">
        <f>IF(P131="","","Amostra")</f>
        <v/>
      </c>
      <c r="U133" s="118"/>
      <c r="V133" s="115" t="str">
        <f>IF(W131="","","Frasco + Amostra")</f>
        <v/>
      </c>
      <c r="W133" s="95" t="str">
        <f>IF('Entrada das massas'!S113="","",IF(AND('Entrada das massas'!S113&lt;=$B$20,'Entrada das massas'!S113&gt;$B$19),'Entrada das massas'!S113-((($C$20-$C$19)*($B$20-'Entrada das massas'!S113)+($B$19*$C$20)-($B$20*$C$20))/($B$19-$B$20)),IF(AND('Entrada das massas'!S113&lt;=$B$19,'Entrada das massas'!S113&gt;$B$18),'Entrada das massas'!S113-((($C$19-$C$18)*($B$19-'Entrada das massas'!S113)+($B$18*$C$19)-($B$19*$C$19))/($B$18-$B$19)),IF(AND('Entrada das massas'!S113&lt;=$B$18,'Entrada das massas'!S113&gt;$B$17),'Entrada das massas'!S113-((($C$18-$C$17)*($B$18-'Entrada das massas'!S113)+($B$17*$C$18)-($B$18*$C$18))/($B$17-$B$18)),IF(AND('Entrada das massas'!S113&lt;=$B$17,'Entrada das massas'!S113&gt;$B$16),'Entrada das massas'!S113-((($C$17-$C$16)*($B$17-'Entrada das massas'!S113)+($B$16*$C$17)-($B$17*$C$17))/($B$16-$B$17)),IF(AND('Entrada das massas'!S113&lt;=$B$16,'Entrada das massas'!S113&gt;$B$15),'Entrada das massas'!S113-((($C$16-$C$15)*($B$16-'Entrada das massas'!S113)+($B$15*$C$16)-($B$16*$C$16))/($B$15-$B$16)),IF(AND('Entrada das massas'!S113&lt;=$B$15,'Entrada das massas'!S113&gt;$B$14),'Entrada das massas'!S113-((($C$15-$C$14)*($B$15-'Entrada das massas'!S113)+($B$14*$C$15)-($B$15*$C$15))/($B$14-$B$15)),IF(AND('Entrada das massas'!S113&lt;=$B$14,'Entrada das massas'!S113&gt;$B$13),'Entrada das massas'!S113-((($C$14-$C$13)*($B$14-'Entrada das massas'!S113)+($B$13*$C$14)-($B$14*$C$14))/($B$13-$B$14)),IF(AND('Entrada das massas'!S113&lt;=$B$13,'Entrada das massas'!S113&gt;$B$12),'Entrada das massas'!S113-((($C$13-$C$12)*($B$13-'Entrada das massas'!S113)+($B$12*$C$13)-($B$13*$C$13))/($B$12-$B$13)),IF(AND('Entrada das massas'!S113&lt;=$B$12,'Entrada das massas'!S113&gt;$B$11),'Entrada das massas'!S113-((($C$12-$C$11)*($B$12-'Entrada das massas'!S113)+($B$11*$C$12)-($B$12*$C$12))/($B$11-$B$12)),IF(AND('Entrada das massas'!S113&lt;=$B$11,'Entrada das massas'!S113&gt;$B$10),'Entrada das massas'!S113-((($C$11-$C$10)*($B$11-'Entrada das massas'!S113)+($B$10*$C$11)-($B$11*$C$11))/($B$10-$B$11)),IF(AND('Entrada das massas'!S113&lt;=$B$10,'Entrada das massas'!S113&gt;$B$9),'Entrada das massas'!S113-((($C$10-$C$9)*($B$10-'Entrada das massas'!S113)+($B$9*$C$10)-($B$10*$C$10))/($B$9-$B$10)),IF(AND('Entrada das massas'!S113&lt;=$B$9,'Entrada das massas'!S113&gt;$B$8),'Entrada das massas'!S113-((($C$9-$C$8)*($B$9-'Entrada das massas'!S113)+($B$8*$C$9)-($B$9*$C$9))/($B$8-$B$9)),IF(AND('Entrada das massas'!S113&lt;=$B$8,'Entrada das massas'!S113&gt;$B$7),'Entrada das massas'!S113-((($C$8-$C$7)*($B$8-'Entrada das massas'!S113)+($B$7*$C$8)-($B$8*$C$8))/($B$7-$B$8)),IF(AND('Entrada das massas'!S113&lt;=$B$7,'Entrada das massas'!S113&gt;$B$6),'Entrada das massas'!S113-((($C$7-$C$6)*($B$7-'Entrada das massas'!S113)+($B$6*$C$7)-($B$7*$C$7))/($B$6-$B$7)),IF(AND('Entrada das massas'!S113&lt;=$B$6,'Entrada das massas'!S113&gt;$B$5),'Entrada das massas'!S113-((($C$6-$C$5)*($B$6-'Entrada das massas'!S113)+($B$5*$C$6)-($B$6*$C$6))/($B$5-$B$6)),IF('Entrada das massas'!S113&lt;=$B$5,'Entrada das massas'!S113-$C$5)))))))))))))))))</f>
        <v/>
      </c>
      <c r="X133" s="117" t="str">
        <f t="shared" ref="X133:X134" si="68">IF(W133="","",(IF(AND(W133&lt;=$B$20,W133&gt;$B$19),$D$19+($B$19-W133)/($B$19-$B$20)*($D$20-$D$19),IF(AND(W133&lt;=$B$19,W133&gt;$B$18),$D$18+($B$18-W133)/($B$18-$B$19)*($D$19-$D$18),IF(AND(W133&lt;=$B$18,W133&gt;$B$17),$D$17+($B$17-W133)/($B$17-$B$18)*($D$18-$D$17),IF(AND(W133&lt;=$B$17,W133&gt;$B$16),$D$16+($B$16-W133)/($B$16-$B$17)*($D$17-$D$16),IF(AND(W133&lt;=$B$16,W133&gt;$B$15),$D$15+($B$15-W133)/($B$15-$B$16)*($D$16-$D$15),IF(AND(W133&lt;=$B$15,W133&gt;$B$14),$D$14+($B$14-W133)/($B$14-$B$15)*($D$15-$D$14),IF(AND(W133&lt;=$B$14,W133&gt;$B$13),$D$13+($B$13-W133)/($B$13-$B$14)*($D$14-$D$13),IF(AND(W133&lt;=$B$13,W133&gt;$B$12),$D$12+($B$12-W133)/($B$12-$B$13)*($D$13-$D$12),IF(AND(W133&lt;=$B$12,W133&gt;$B$11),$D$11+($B$11-W133)/($B$11-$B$12)*($D$12-$D$11),IF(AND(W133&lt;=$B$11,W133&gt;$B$10),$D$10+($B$10-W133)/($B$10-$B$11)*($D$11-$D$10),IF(AND(W133&lt;=$B$10,W133&gt;$B$9),$D$9+($B$9-W133)/($B$9-$B$10)*($D$10-$D$9),IF(AND(W133&lt;=$B$9,W133&gt;$B$8),$D$8+($B$8-W133)/($B$8-$B$9)*($D$9-$D$8),IF(AND(W133&lt;=$B$8,W133&gt;$B$7),$D$7+($B$7-W133)/($B$7-$B$8)*($D$8-$D$7),IF(AND(W133&lt;=$B$7,W133&gt;$B$6),$D$6+($B$6-W133)/($B$6-$B$7)*($D$7-$D$6),IF(W133&lt;=$B$6,$D$6)))))))))))))))))</f>
        <v/>
      </c>
      <c r="Y133" s="120" t="str">
        <f>IF(W132="","",W133-W132)</f>
        <v/>
      </c>
      <c r="Z133" s="117" t="str">
        <f>IF(X132="","",SQRT(SUMSQ(X132:X133)))</f>
        <v/>
      </c>
      <c r="AA133" s="93" t="str">
        <f>IF(W131="","","Amostra")</f>
        <v/>
      </c>
    </row>
    <row r="134" spans="3:27" x14ac:dyDescent="0.2">
      <c r="C134" s="104"/>
      <c r="F134" s="104"/>
      <c r="G134" s="143"/>
      <c r="H134" s="123" t="str">
        <f>IF(I131="","","Massa final")</f>
        <v/>
      </c>
      <c r="I134" s="116" t="str">
        <f>IF('Entrada das massas'!I114="","",IF(AND('Entrada das massas'!I114&lt;=$B$20,'Entrada das massas'!I114&gt;$B$19),'Entrada das massas'!I114-((($C$20-$C$19)*($B$20-'Entrada das massas'!I114)+($B$19*$C$20)-($B$20*$C$20))/($B$19-$B$20)),IF(AND('Entrada das massas'!I114&lt;=$B$19,'Entrada das massas'!I114&gt;$B$18),'Entrada das massas'!I114-((($C$19-$C$18)*($B$19-'Entrada das massas'!I114)+($B$18*$C$19)-($B$19*$C$19))/($B$18-$B$19)),IF(AND('Entrada das massas'!I114&lt;=$B$18,'Entrada das massas'!I114&gt;$B$17),'Entrada das massas'!I114-((($C$18-$C$17)*($B$18-'Entrada das massas'!I114)+($B$17*$C$18)-($B$18*$C$18))/($B$17-$B$18)),IF(AND('Entrada das massas'!I114&lt;=$B$17,'Entrada das massas'!I114&gt;$B$16),'Entrada das massas'!I114-((($C$17-$C$16)*($B$17-'Entrada das massas'!I114)+($B$16*$C$17)-($B$17*$C$17))/($B$16-$B$17)),IF(AND('Entrada das massas'!I114&lt;=$B$16,'Entrada das massas'!I114&gt;$B$15),'Entrada das massas'!I114-((($C$16-$C$15)*($B$16-'Entrada das massas'!I114)+($B$15*$C$16)-($B$16*$C$16))/($B$15-$B$16)),IF(AND('Entrada das massas'!I114&lt;=$B$15,'Entrada das massas'!I114&gt;$B$14),'Entrada das massas'!I114-((($C$15-$C$14)*($B$15-'Entrada das massas'!I114)+($B$14*$C$15)-($B$15*$C$15))/($B$14-$B$15)),IF(AND('Entrada das massas'!I114&lt;=$B$14,'Entrada das massas'!I114&gt;$B$13),'Entrada das massas'!I114-((($C$14-$C$13)*($B$14-'Entrada das massas'!I114)+($B$13*$C$14)-($B$14*$C$14))/($B$13-$B$14)),IF(AND('Entrada das massas'!I114&lt;=$B$13,'Entrada das massas'!I114&gt;$B$12),'Entrada das massas'!I114-((($C$13-$C$12)*($B$13-'Entrada das massas'!I114)+($B$12*$C$13)-($B$13*$C$13))/($B$12-$B$13)),IF(AND('Entrada das massas'!I114&lt;=$B$12,'Entrada das massas'!I114&gt;$B$11),'Entrada das massas'!I114-((($C$12-$C$11)*($B$12-'Entrada das massas'!I114)+($B$11*$C$12)-($B$12*$C$12))/($B$11-$B$12)),IF(AND('Entrada das massas'!I114&lt;=$B$11,'Entrada das massas'!I114&gt;$B$10),'Entrada das massas'!I114-((($C$11-$C$10)*($B$11-'Entrada das massas'!I114)+($B$10*$C$11)-($B$11*$C$11))/($B$10-$B$11)),IF(AND('Entrada das massas'!I114&lt;=$B$10,'Entrada das massas'!I114&gt;$B$9),'Entrada das massas'!I114-((($C$10-$C$9)*($B$10-'Entrada das massas'!I114)+($B$9*$C$10)-($B$10*$C$10))/($B$9-$B$10)),IF(AND('Entrada das massas'!I114&lt;=$B$9,'Entrada das massas'!I114&gt;$B$8),'Entrada das massas'!I114-((($C$9-$C$8)*($B$9-'Entrada das massas'!I114)+($B$8*$C$9)-($B$9*$C$9))/($B$8-$B$9)),IF(AND('Entrada das massas'!I114&lt;=$B$8,'Entrada das massas'!I114&gt;$B$7),'Entrada das massas'!I114-((($C$8-$C$7)*($B$8-'Entrada das massas'!I114)+($B$7*$C$8)-($B$8*$C$8))/($B$7-$B$8)),IF(AND('Entrada das massas'!I114&lt;=$B$7,'Entrada das massas'!I114&gt;$B$6),'Entrada das massas'!I114-((($C$7-$C$6)*($B$7-'Entrada das massas'!I114)+($B$6*$C$7)-($B$7*$C$7))/($B$6-$B$7)),IF(AND('Entrada das massas'!I114&lt;=$B$6,'Entrada das massas'!I114&gt;$B$5),'Entrada das massas'!I114-((($C$6-$C$5)*($B$6-'Entrada das massas'!I114)+($B$5*$C$6)-($B$6*$C$6))/($B$5-$B$6)),IF('Entrada das massas'!I114&lt;=$B$5,'Entrada das massas'!I114-$C$5)))))))))))))))))</f>
        <v/>
      </c>
      <c r="J134" s="117" t="str">
        <f t="shared" si="66"/>
        <v/>
      </c>
      <c r="K134" s="120" t="str">
        <f>IF(I132="","",I134-I132)</f>
        <v/>
      </c>
      <c r="L134" s="117" t="str">
        <f>IF(J132="","",SQRT(SUMSQ(J132,J134)))</f>
        <v/>
      </c>
      <c r="M134" s="93" t="str">
        <f>IF(I131="","","Solução")</f>
        <v/>
      </c>
      <c r="N134" s="93"/>
      <c r="O134" s="123" t="str">
        <f>IF(P131="","","Massa final")</f>
        <v/>
      </c>
      <c r="P134" s="95" t="str">
        <f>IF('Entrada das massas'!N114="","",IF(AND('Entrada das massas'!N114&lt;=$B$20,'Entrada das massas'!N114&gt;$B$19),'Entrada das massas'!N114-((($C$20-$C$19)*($B$20-'Entrada das massas'!N114)+($B$19*$C$20)-($B$20*$C$20))/($B$19-$B$20)),IF(AND('Entrada das massas'!N114&lt;=$B$19,'Entrada das massas'!N114&gt;$B$18),'Entrada das massas'!N114-((($C$19-$C$18)*($B$19-'Entrada das massas'!N114)+($B$18*$C$19)-($B$19*$C$19))/($B$18-$B$19)),IF(AND('Entrada das massas'!N114&lt;=$B$18,'Entrada das massas'!N114&gt;$B$17),'Entrada das massas'!N114-((($C$18-$C$17)*($B$18-'Entrada das massas'!N114)+($B$17*$C$18)-($B$18*$C$18))/($B$17-$B$18)),IF(AND('Entrada das massas'!N114&lt;=$B$17,'Entrada das massas'!N114&gt;$B$16),'Entrada das massas'!N114-((($C$17-$C$16)*($B$17-'Entrada das massas'!N114)+($B$16*$C$17)-($B$17*$C$17))/($B$16-$B$17)),IF(AND('Entrada das massas'!N114&lt;=$B$16,'Entrada das massas'!N114&gt;$B$15),'Entrada das massas'!N114-((($C$16-$C$15)*($B$16-'Entrada das massas'!N114)+($B$15*$C$16)-($B$16*$C$16))/($B$15-$B$16)),IF(AND('Entrada das massas'!N114&lt;=$B$15,'Entrada das massas'!N114&gt;$B$14),'Entrada das massas'!N114-((($C$15-$C$14)*($B$15-'Entrada das massas'!N114)+($B$14*$C$15)-($B$15*$C$15))/($B$14-$B$15)),IF(AND('Entrada das massas'!N114&lt;=$B$14,'Entrada das massas'!N114&gt;$B$13),'Entrada das massas'!N114-((($C$14-$C$13)*($B$14-'Entrada das massas'!N114)+($B$13*$C$14)-($B$14*$C$14))/($B$13-$B$14)),IF(AND('Entrada das massas'!N114&lt;=$B$13,'Entrada das massas'!N114&gt;$B$12),'Entrada das massas'!N114-((($C$13-$C$12)*($B$13-'Entrada das massas'!N114)+($B$12*$C$13)-($B$13*$C$13))/($B$12-$B$13)),IF(AND('Entrada das massas'!N114&lt;=$B$12,'Entrada das massas'!N114&gt;$B$11),'Entrada das massas'!N114-((($C$12-$C$11)*($B$12-'Entrada das massas'!N114)+($B$11*$C$12)-($B$12*$C$12))/($B$11-$B$12)),IF(AND('Entrada das massas'!N114&lt;=$B$11,'Entrada das massas'!N114&gt;$B$10),'Entrada das massas'!N114-((($C$11-$C$10)*($B$11-'Entrada das massas'!N114)+($B$10*$C$11)-($B$11*$C$11))/($B$10-$B$11)),IF(AND('Entrada das massas'!N114&lt;=$B$10,'Entrada das massas'!N114&gt;$B$9),'Entrada das massas'!N114-((($C$10-$C$9)*($B$10-'Entrada das massas'!N114)+($B$9*$C$10)-($B$10*$C$10))/($B$9-$B$10)),IF(AND('Entrada das massas'!N114&lt;=$B$9,'Entrada das massas'!N114&gt;$B$8),'Entrada das massas'!N114-((($C$9-$C$8)*($B$9-'Entrada das massas'!N114)+($B$8*$C$9)-($B$9*$C$9))/($B$8-$B$9)),IF(AND('Entrada das massas'!N114&lt;=$B$8,'Entrada das massas'!N114&gt;$B$7),'Entrada das massas'!N114-((($C$8-$C$7)*($B$8-'Entrada das massas'!N114)+($B$7*$C$8)-($B$8*$C$8))/($B$7-$B$8)),IF(AND('Entrada das massas'!N114&lt;=$B$7,'Entrada das massas'!N114&gt;$B$6),'Entrada das massas'!N114-((($C$7-$C$6)*($B$7-'Entrada das massas'!N114)+($B$6*$C$7)-($B$7*$C$7))/($B$6-$B$7)),IF(AND('Entrada das massas'!N114&lt;=$B$6,'Entrada das massas'!N114&gt;$B$5),'Entrada das massas'!N114-((($C$6-$C$5)*($B$6-'Entrada das massas'!N114)+($B$5*$C$6)-($B$6*$C$6))/($B$5-$B$6)),IF('Entrada das massas'!N114&lt;=$B$5,'Entrada das massas'!N114-$C$5)))))))))))))))))</f>
        <v/>
      </c>
      <c r="Q134" s="117" t="str">
        <f t="shared" si="67"/>
        <v/>
      </c>
      <c r="R134" s="120" t="str">
        <f>IF(P132="","",P134-P132)</f>
        <v/>
      </c>
      <c r="S134" s="117" t="str">
        <f>IF(Q132="","",SQRT(SUMSQ(Q132,Q134)))</f>
        <v/>
      </c>
      <c r="T134" s="93" t="str">
        <f>IF(P131="","","Solução")</f>
        <v/>
      </c>
      <c r="U134" s="93"/>
      <c r="V134" s="123" t="str">
        <f>IF(W131="","","Massa final")</f>
        <v/>
      </c>
      <c r="W134" s="95" t="str">
        <f>IF('Entrada das massas'!S114="","",IF(AND('Entrada das massas'!S114&lt;=$B$20,'Entrada das massas'!S114&gt;$B$19),'Entrada das massas'!S114-((($C$20-$C$19)*($B$20-'Entrada das massas'!S114)+($B$19*$C$20)-($B$20*$C$20))/($B$19-$B$20)),IF(AND('Entrada das massas'!S114&lt;=$B$19,'Entrada das massas'!S114&gt;$B$18),'Entrada das massas'!S114-((($C$19-$C$18)*($B$19-'Entrada das massas'!S114)+($B$18*$C$19)-($B$19*$C$19))/($B$18-$B$19)),IF(AND('Entrada das massas'!S114&lt;=$B$18,'Entrada das massas'!S114&gt;$B$17),'Entrada das massas'!S114-((($C$18-$C$17)*($B$18-'Entrada das massas'!S114)+($B$17*$C$18)-($B$18*$C$18))/($B$17-$B$18)),IF(AND('Entrada das massas'!S114&lt;=$B$17,'Entrada das massas'!S114&gt;$B$16),'Entrada das massas'!S114-((($C$17-$C$16)*($B$17-'Entrada das massas'!S114)+($B$16*$C$17)-($B$17*$C$17))/($B$16-$B$17)),IF(AND('Entrada das massas'!S114&lt;=$B$16,'Entrada das massas'!S114&gt;$B$15),'Entrada das massas'!S114-((($C$16-$C$15)*($B$16-'Entrada das massas'!S114)+($B$15*$C$16)-($B$16*$C$16))/($B$15-$B$16)),IF(AND('Entrada das massas'!S114&lt;=$B$15,'Entrada das massas'!S114&gt;$B$14),'Entrada das massas'!S114-((($C$15-$C$14)*($B$15-'Entrada das massas'!S114)+($B$14*$C$15)-($B$15*$C$15))/($B$14-$B$15)),IF(AND('Entrada das massas'!S114&lt;=$B$14,'Entrada das massas'!S114&gt;$B$13),'Entrada das massas'!S114-((($C$14-$C$13)*($B$14-'Entrada das massas'!S114)+($B$13*$C$14)-($B$14*$C$14))/($B$13-$B$14)),IF(AND('Entrada das massas'!S114&lt;=$B$13,'Entrada das massas'!S114&gt;$B$12),'Entrada das massas'!S114-((($C$13-$C$12)*($B$13-'Entrada das massas'!S114)+($B$12*$C$13)-($B$13*$C$13))/($B$12-$B$13)),IF(AND('Entrada das massas'!S114&lt;=$B$12,'Entrada das massas'!S114&gt;$B$11),'Entrada das massas'!S114-((($C$12-$C$11)*($B$12-'Entrada das massas'!S114)+($B$11*$C$12)-($B$12*$C$12))/($B$11-$B$12)),IF(AND('Entrada das massas'!S114&lt;=$B$11,'Entrada das massas'!S114&gt;$B$10),'Entrada das massas'!S114-((($C$11-$C$10)*($B$11-'Entrada das massas'!S114)+($B$10*$C$11)-($B$11*$C$11))/($B$10-$B$11)),IF(AND('Entrada das massas'!S114&lt;=$B$10,'Entrada das massas'!S114&gt;$B$9),'Entrada das massas'!S114-((($C$10-$C$9)*($B$10-'Entrada das massas'!S114)+($B$9*$C$10)-($B$10*$C$10))/($B$9-$B$10)),IF(AND('Entrada das massas'!S114&lt;=$B$9,'Entrada das massas'!S114&gt;$B$8),'Entrada das massas'!S114-((($C$9-$C$8)*($B$9-'Entrada das massas'!S114)+($B$8*$C$9)-($B$9*$C$9))/($B$8-$B$9)),IF(AND('Entrada das massas'!S114&lt;=$B$8,'Entrada das massas'!S114&gt;$B$7),'Entrada das massas'!S114-((($C$8-$C$7)*($B$8-'Entrada das massas'!S114)+($B$7*$C$8)-($B$8*$C$8))/($B$7-$B$8)),IF(AND('Entrada das massas'!S114&lt;=$B$7,'Entrada das massas'!S114&gt;$B$6),'Entrada das massas'!S114-((($C$7-$C$6)*($B$7-'Entrada das massas'!S114)+($B$6*$C$7)-($B$7*$C$7))/($B$6-$B$7)),IF(AND('Entrada das massas'!S114&lt;=$B$6,'Entrada das massas'!S114&gt;$B$5),'Entrada das massas'!S114-((($C$6-$C$5)*($B$6-'Entrada das massas'!S114)+($B$5*$C$6)-($B$6*$C$6))/($B$5-$B$6)),IF('Entrada das massas'!S114&lt;=$B$5,'Entrada das massas'!S114-$C$5)))))))))))))))))</f>
        <v/>
      </c>
      <c r="X134" s="117" t="str">
        <f t="shared" si="68"/>
        <v/>
      </c>
      <c r="Y134" s="120" t="str">
        <f>IF(W132="","",W134-W132)</f>
        <v/>
      </c>
      <c r="Z134" s="117" t="str">
        <f>IF(X132="","",SQRT(SUMSQ(X132,X134)))</f>
        <v/>
      </c>
      <c r="AA134" s="93" t="str">
        <f>IF(W131="","","Solução")</f>
        <v/>
      </c>
    </row>
    <row r="135" spans="3:27" x14ac:dyDescent="0.2">
      <c r="C135" s="104"/>
      <c r="D135" s="143"/>
      <c r="F135" s="104"/>
      <c r="G135" s="109"/>
      <c r="H135" s="98"/>
      <c r="I135" s="93"/>
      <c r="J135" s="139"/>
      <c r="K135" s="139"/>
      <c r="L135" s="139"/>
      <c r="M135" s="98"/>
      <c r="N135" s="98"/>
      <c r="O135" s="98"/>
      <c r="P135" s="93"/>
      <c r="Q135" s="120"/>
      <c r="R135" s="120"/>
      <c r="S135" s="120"/>
      <c r="T135" s="98"/>
      <c r="U135" s="98"/>
      <c r="V135" s="98"/>
      <c r="W135" s="93"/>
      <c r="X135" s="120"/>
      <c r="Y135" s="120"/>
      <c r="Z135" s="120"/>
      <c r="AA135" s="98"/>
    </row>
    <row r="136" spans="3:27" x14ac:dyDescent="0.2">
      <c r="C136" s="109"/>
      <c r="D136" s="109"/>
      <c r="F136" s="104"/>
      <c r="G136" s="109"/>
      <c r="H136" s="126" t="str">
        <f>IF(I131="","","Amostra")</f>
        <v/>
      </c>
      <c r="I136" s="127" t="str">
        <f>IF('Entrada das massas'!I116="","",'Entrada das massas'!I116)</f>
        <v/>
      </c>
      <c r="J136" s="120" t="str">
        <f>IF(I136="","","uc(g)")</f>
        <v/>
      </c>
      <c r="K136" s="120" t="str">
        <f>IF(J136="","","Massa (g)")</f>
        <v/>
      </c>
      <c r="L136" s="120" t="str">
        <f>IF(K136="","","ucomb (g)")</f>
        <v/>
      </c>
      <c r="M136" s="98" t="str">
        <f>IF(I136="","","Fdiluição")</f>
        <v/>
      </c>
      <c r="N136" s="98"/>
      <c r="O136" s="126" t="str">
        <f>IF(M137="","","Amostra")</f>
        <v/>
      </c>
      <c r="P136" s="127" t="str">
        <f>IF('Entrada das massas'!N116="","",'Entrada das massas'!N116)</f>
        <v/>
      </c>
      <c r="Q136" s="120" t="str">
        <f>IF(P136="","","uc(g)")</f>
        <v/>
      </c>
      <c r="R136" s="120" t="str">
        <f>IF(Q136="","","Massa (g)")</f>
        <v/>
      </c>
      <c r="S136" s="120" t="str">
        <f>IF(R136="","","ucomb (g)")</f>
        <v/>
      </c>
      <c r="T136" s="98" t="str">
        <f>IF(P136="","","Fdiluição")</f>
        <v/>
      </c>
      <c r="U136" s="98"/>
      <c r="V136" s="126" t="str">
        <f>IF(T137="","","Amostra")</f>
        <v/>
      </c>
      <c r="W136" s="127" t="str">
        <f>IF('Entrada das massas'!S116="","",'Entrada das massas'!S116)</f>
        <v/>
      </c>
      <c r="X136" s="120" t="str">
        <f>IF(W136="","","uc(g)")</f>
        <v/>
      </c>
      <c r="Y136" s="120" t="str">
        <f>IF(X136="","","Massa (g)")</f>
        <v/>
      </c>
      <c r="Z136" s="120" t="str">
        <f>IF(Y136="","","ucomb (g)")</f>
        <v/>
      </c>
      <c r="AA136" s="98" t="str">
        <f>IF(W136="","","Fdiluição")</f>
        <v/>
      </c>
    </row>
    <row r="137" spans="3:27" x14ac:dyDescent="0.2">
      <c r="C137" s="104"/>
      <c r="D137" s="109"/>
      <c r="E137" s="163"/>
      <c r="F137" s="109"/>
      <c r="G137" s="109"/>
      <c r="H137" s="115" t="str">
        <f>IF(I136="","","Frasco")</f>
        <v/>
      </c>
      <c r="I137" s="116" t="str">
        <f>IF('Entrada das massas'!I117="","",IF(AND('Entrada das massas'!I117&lt;=$B$20,'Entrada das massas'!I117&gt;$B$19),'Entrada das massas'!I117-((($C$20-$C$19)*($B$20-'Entrada das massas'!I117)+($B$19*$C$20)-($B$20*$C$20))/($B$19-$B$20)),IF(AND('Entrada das massas'!I117&lt;=$B$19,'Entrada das massas'!I117&gt;$B$18),'Entrada das massas'!I117-((($C$19-$C$18)*($B$19-'Entrada das massas'!I117)+($B$18*$C$19)-($B$19*$C$19))/($B$18-$B$19)),IF(AND('Entrada das massas'!I117&lt;=$B$18,'Entrada das massas'!I117&gt;$B$17),'Entrada das massas'!I117-((($C$18-$C$17)*($B$18-'Entrada das massas'!I117)+($B$17*$C$18)-($B$18*$C$18))/($B$17-$B$18)),IF(AND('Entrada das massas'!I117&lt;=$B$17,'Entrada das massas'!I117&gt;$B$16),'Entrada das massas'!I117-((($C$17-$C$16)*($B$17-'Entrada das massas'!I117)+($B$16*$C$17)-($B$17*$C$17))/($B$16-$B$17)),IF(AND('Entrada das massas'!I117&lt;=$B$16,'Entrada das massas'!I117&gt;$B$15),'Entrada das massas'!I117-((($C$16-$C$15)*($B$16-'Entrada das massas'!I117)+($B$15*$C$16)-($B$16*$C$16))/($B$15-$B$16)),IF(AND('Entrada das massas'!I117&lt;=$B$15,'Entrada das massas'!I117&gt;$B$14),'Entrada das massas'!I117-((($C$15-$C$14)*($B$15-'Entrada das massas'!I117)+($B$14*$C$15)-($B$15*$C$15))/($B$14-$B$15)),IF(AND('Entrada das massas'!I117&lt;=$B$14,'Entrada das massas'!I117&gt;$B$13),'Entrada das massas'!I117-((($C$14-$C$13)*($B$14-'Entrada das massas'!I117)+($B$13*$C$14)-($B$14*$C$14))/($B$13-$B$14)),IF(AND('Entrada das massas'!I117&lt;=$B$13,'Entrada das massas'!I117&gt;$B$12),'Entrada das massas'!I117-((($C$13-$C$12)*($B$13-'Entrada das massas'!I117)+($B$12*$C$13)-($B$13*$C$13))/($B$12-$B$13)),IF(AND('Entrada das massas'!I117&lt;=$B$12,'Entrada das massas'!I117&gt;$B$11),'Entrada das massas'!I117-((($C$12-$C$11)*($B$12-'Entrada das massas'!I117)+($B$11*$C$12)-($B$12*$C$12))/($B$11-$B$12)),IF(AND('Entrada das massas'!I117&lt;=$B$11,'Entrada das massas'!I117&gt;$B$10),'Entrada das massas'!I117-((($C$11-$C$10)*($B$11-'Entrada das massas'!I117)+($B$10*$C$11)-($B$11*$C$11))/($B$10-$B$11)),IF(AND('Entrada das massas'!I117&lt;=$B$10,'Entrada das massas'!I117&gt;$B$9),'Entrada das massas'!I117-((($C$10-$C$9)*($B$10-'Entrada das massas'!I117)+($B$9*$C$10)-($B$10*$C$10))/($B$9-$B$10)),IF(AND('Entrada das massas'!I117&lt;=$B$9,'Entrada das massas'!I117&gt;$B$8),'Entrada das massas'!I117-((($C$9-$C$8)*($B$9-'Entrada das massas'!I117)+($B$8*$C$9)-($B$9*$C$9))/($B$8-$B$9)),IF(AND('Entrada das massas'!I117&lt;=$B$8,'Entrada das massas'!I117&gt;$B$7),'Entrada das massas'!I117-((($C$8-$C$7)*($B$8-'Entrada das massas'!I117)+($B$7*$C$8)-($B$8*$C$8))/($B$7-$B$8)),IF(AND('Entrada das massas'!I117&lt;=$B$7,'Entrada das massas'!I117&gt;$B$6),'Entrada das massas'!I117-((($C$7-$C$6)*($B$7-'Entrada das massas'!I117)+($B$6*$C$7)-($B$7*$C$7))/($B$6-$B$7)),IF(AND('Entrada das massas'!I117&lt;=$B$6,'Entrada das massas'!I117&gt;$B$5),'Entrada das massas'!I117-((($C$6-$C$5)*($B$6-'Entrada das massas'!I117)+($B$5*$C$6)-($B$6*$C$6))/($B$5-$B$6)),IF('Entrada das massas'!I117&lt;=$B$5,'Entrada das massas'!I117-$C$5)))))))))))))))))</f>
        <v/>
      </c>
      <c r="J137" s="117" t="str">
        <f>IF(I137="","",(IF(AND(I137&lt;=$B$20,I137&gt;$B$19),$D$19+($B$19-I137)/($B$19-$B$20)*($D$20-$D$19),IF(AND(I137&lt;=$B$19,I137&gt;$B$18),$D$18+($B$18-I137)/($B$18-$B$19)*($D$19-$D$18),IF(AND(I137&lt;=$B$18,I137&gt;$B$17),$D$17+($B$17-I137)/($B$17-$B$18)*($D$18-$D$17),IF(AND(I137&lt;=$B$17,I137&gt;$B$16),$D$16+($B$16-I137)/($B$16-$B$17)*($D$17-$D$16),IF(AND(I137&lt;=$B$16,I137&gt;$B$15),$D$15+($B$15-I137)/($B$15-$B$16)*($D$16-$D$15),IF(AND(I137&lt;=$B$15,I137&gt;$B$14),$D$14+($B$14-I137)/($B$14-$B$15)*($D$15-$D$14),IF(AND(I137&lt;=$B$14,I137&gt;$B$13),$D$13+($B$13-I137)/($B$13-$B$14)*($D$14-$D$13),IF(AND(I137&lt;=$B$13,I137&gt;$B$12),$D$12+($B$12-I137)/($B$12-$B$13)*($D$13-$D$12),IF(AND(I137&lt;=$B$12,I137&gt;$B$11),$D$11+($B$11-I137)/($B$11-$B$12)*($D$12-$D$11),IF(AND(I137&lt;=$B$11,I137&gt;$B$10),$D$10+($B$10-I137)/($B$10-$B$11)*($D$11-$D$10),IF(AND(I137&lt;=$B$10,I137&gt;$B$9),$D$9+($B$9-I137)/($B$9-$B$10)*($D$10-$D$9),IF(AND(I137&lt;=$B$9,I137&gt;$B$8),$D$8+($B$8-I137)/($B$8-$B$9)*($D$9-$D$8),IF(AND(I137&lt;=$B$8,I137&gt;$B$7),$D$7+($B$7-I137)/($B$7-$B$8)*($D$8-$D$7),IF(AND(I137&lt;=$B$7,I137&gt;$B$6),$D$6+($B$6-I137)/($B$6-$B$7)*($D$7-$D$6),IF(I137&lt;=$B$6,$D$6)))))))))))))))))</f>
        <v/>
      </c>
      <c r="K137" s="117"/>
      <c r="L137" s="117"/>
      <c r="M137" s="118" t="str">
        <f>IFERROR(K139/K138,"")</f>
        <v/>
      </c>
      <c r="N137" s="93"/>
      <c r="O137" s="115" t="str">
        <f>IF(P136="","","Frasco")</f>
        <v/>
      </c>
      <c r="P137" s="95" t="str">
        <f>IF('Entrada das massas'!N117="","",IF(AND('Entrada das massas'!N117&lt;=$B$20,'Entrada das massas'!N117&gt;$B$19),'Entrada das massas'!N117-((($C$20-$C$19)*($B$20-'Entrada das massas'!N117)+($B$19*$C$20)-($B$20*$C$20))/($B$19-$B$20)),IF(AND('Entrada das massas'!N117&lt;=$B$19,'Entrada das massas'!N117&gt;$B$18),'Entrada das massas'!N117-((($C$19-$C$18)*($B$19-'Entrada das massas'!N117)+($B$18*$C$19)-($B$19*$C$19))/($B$18-$B$19)),IF(AND('Entrada das massas'!N117&lt;=$B$18,'Entrada das massas'!N117&gt;$B$17),'Entrada das massas'!N117-((($C$18-$C$17)*($B$18-'Entrada das massas'!N117)+($B$17*$C$18)-($B$18*$C$18))/($B$17-$B$18)),IF(AND('Entrada das massas'!N117&lt;=$B$17,'Entrada das massas'!N117&gt;$B$16),'Entrada das massas'!N117-((($C$17-$C$16)*($B$17-'Entrada das massas'!N117)+($B$16*$C$17)-($B$17*$C$17))/($B$16-$B$17)),IF(AND('Entrada das massas'!N117&lt;=$B$16,'Entrada das massas'!N117&gt;$B$15),'Entrada das massas'!N117-((($C$16-$C$15)*($B$16-'Entrada das massas'!N117)+($B$15*$C$16)-($B$16*$C$16))/($B$15-$B$16)),IF(AND('Entrada das massas'!N117&lt;=$B$15,'Entrada das massas'!N117&gt;$B$14),'Entrada das massas'!N117-((($C$15-$C$14)*($B$15-'Entrada das massas'!N117)+($B$14*$C$15)-($B$15*$C$15))/($B$14-$B$15)),IF(AND('Entrada das massas'!N117&lt;=$B$14,'Entrada das massas'!N117&gt;$B$13),'Entrada das massas'!N117-((($C$14-$C$13)*($B$14-'Entrada das massas'!N117)+($B$13*$C$14)-($B$14*$C$14))/($B$13-$B$14)),IF(AND('Entrada das massas'!N117&lt;=$B$13,'Entrada das massas'!N117&gt;$B$12),'Entrada das massas'!N117-((($C$13-$C$12)*($B$13-'Entrada das massas'!N117)+($B$12*$C$13)-($B$13*$C$13))/($B$12-$B$13)),IF(AND('Entrada das massas'!N117&lt;=$B$12,'Entrada das massas'!N117&gt;$B$11),'Entrada das massas'!N117-((($C$12-$C$11)*($B$12-'Entrada das massas'!N117)+($B$11*$C$12)-($B$12*$C$12))/($B$11-$B$12)),IF(AND('Entrada das massas'!N117&lt;=$B$11,'Entrada das massas'!N117&gt;$B$10),'Entrada das massas'!N117-((($C$11-$C$10)*($B$11-'Entrada das massas'!N117)+($B$10*$C$11)-($B$11*$C$11))/($B$10-$B$11)),IF(AND('Entrada das massas'!N117&lt;=$B$10,'Entrada das massas'!N117&gt;$B$9),'Entrada das massas'!N117-((($C$10-$C$9)*($B$10-'Entrada das massas'!N117)+($B$9*$C$10)-($B$10*$C$10))/($B$9-$B$10)),IF(AND('Entrada das massas'!N117&lt;=$B$9,'Entrada das massas'!N117&gt;$B$8),'Entrada das massas'!N117-((($C$9-$C$8)*($B$9-'Entrada das massas'!N117)+($B$8*$C$9)-($B$9*$C$9))/($B$8-$B$9)),IF(AND('Entrada das massas'!N117&lt;=$B$8,'Entrada das massas'!N117&gt;$B$7),'Entrada das massas'!N117-((($C$8-$C$7)*($B$8-'Entrada das massas'!N117)+($B$7*$C$8)-($B$8*$C$8))/($B$7-$B$8)),IF(AND('Entrada das massas'!N117&lt;=$B$7,'Entrada das massas'!N117&gt;$B$6),'Entrada das massas'!N117-((($C$7-$C$6)*($B$7-'Entrada das massas'!N117)+($B$6*$C$7)-($B$7*$C$7))/($B$6-$B$7)),IF(AND('Entrada das massas'!N117&lt;=$B$6,'Entrada das massas'!N117&gt;$B$5),'Entrada das massas'!N117-((($C$6-$C$5)*($B$6-'Entrada das massas'!N117)+($B$5*$C$6)-($B$6*$C$6))/($B$5-$B$6)),IF('Entrada das massas'!N117&lt;=$B$5,'Entrada das massas'!N117-$C$5)))))))))))))))))</f>
        <v/>
      </c>
      <c r="Q137" s="117" t="str">
        <f>IF(P137="","",(IF(AND(P137&lt;=$B$20,P137&gt;$B$19),$D$19+($B$19-P137)/($B$19-$B$20)*($D$20-$D$19),IF(AND(P137&lt;=$B$19,P137&gt;$B$18),$D$18+($B$18-P137)/($B$18-$B$19)*($D$19-$D$18),IF(AND(P137&lt;=$B$18,P137&gt;$B$17),$D$17+($B$17-P137)/($B$17-$B$18)*($D$18-$D$17),IF(AND(P137&lt;=$B$17,P137&gt;$B$16),$D$16+($B$16-P137)/($B$16-$B$17)*($D$17-$D$16),IF(AND(P137&lt;=$B$16,P137&gt;$B$15),$D$15+($B$15-P137)/($B$15-$B$16)*($D$16-$D$15),IF(AND(P137&lt;=$B$15,P137&gt;$B$14),$D$14+($B$14-P137)/($B$14-$B$15)*($D$15-$D$14),IF(AND(P137&lt;=$B$14,P137&gt;$B$13),$D$13+($B$13-P137)/($B$13-$B$14)*($D$14-$D$13),IF(AND(P137&lt;=$B$13,P137&gt;$B$12),$D$12+($B$12-P137)/($B$12-$B$13)*($D$13-$D$12),IF(AND(P137&lt;=$B$12,P137&gt;$B$11),$D$11+($B$11-P137)/($B$11-$B$12)*($D$12-$D$11),IF(AND(P137&lt;=$B$11,P137&gt;$B$10),$D$10+($B$10-P137)/($B$10-$B$11)*($D$11-$D$10),IF(AND(P137&lt;=$B$10,P137&gt;$B$9),$D$9+($B$9-P137)/($B$9-$B$10)*($D$10-$D$9),IF(AND(P137&lt;=$B$9,P137&gt;$B$8),$D$8+($B$8-P137)/($B$8-$B$9)*($D$9-$D$8),IF(AND(P137&lt;=$B$8,P137&gt;$B$7),$D$7+($B$7-P137)/($B$7-$B$8)*($D$8-$D$7),IF(AND(P137&lt;=$B$7,P137&gt;$B$6),$D$6+($B$6-P137)/($B$6-$B$7)*($D$7-$D$6),IF(P137&lt;=$B$6,$D$6)))))))))))))))))</f>
        <v/>
      </c>
      <c r="R137" s="117"/>
      <c r="S137" s="117"/>
      <c r="T137" s="118" t="str">
        <f>IFERROR(R139/R138,"")</f>
        <v/>
      </c>
      <c r="U137" s="93"/>
      <c r="V137" s="115" t="str">
        <f>IF(W136="","","Frasco")</f>
        <v/>
      </c>
      <c r="W137" s="95" t="str">
        <f>IF('Entrada das massas'!S117="","",IF(AND('Entrada das massas'!S117&lt;=$B$20,'Entrada das massas'!S117&gt;$B$19),'Entrada das massas'!S117-((($C$20-$C$19)*($B$20-'Entrada das massas'!S117)+($B$19*$C$20)-($B$20*$C$20))/($B$19-$B$20)),IF(AND('Entrada das massas'!S117&lt;=$B$19,'Entrada das massas'!S117&gt;$B$18),'Entrada das massas'!S117-((($C$19-$C$18)*($B$19-'Entrada das massas'!S117)+($B$18*$C$19)-($B$19*$C$19))/($B$18-$B$19)),IF(AND('Entrada das massas'!S117&lt;=$B$18,'Entrada das massas'!S117&gt;$B$17),'Entrada das massas'!S117-((($C$18-$C$17)*($B$18-'Entrada das massas'!S117)+($B$17*$C$18)-($B$18*$C$18))/($B$17-$B$18)),IF(AND('Entrada das massas'!S117&lt;=$B$17,'Entrada das massas'!S117&gt;$B$16),'Entrada das massas'!S117-((($C$17-$C$16)*($B$17-'Entrada das massas'!S117)+($B$16*$C$17)-($B$17*$C$17))/($B$16-$B$17)),IF(AND('Entrada das massas'!S117&lt;=$B$16,'Entrada das massas'!S117&gt;$B$15),'Entrada das massas'!S117-((($C$16-$C$15)*($B$16-'Entrada das massas'!S117)+($B$15*$C$16)-($B$16*$C$16))/($B$15-$B$16)),IF(AND('Entrada das massas'!S117&lt;=$B$15,'Entrada das massas'!S117&gt;$B$14),'Entrada das massas'!S117-((($C$15-$C$14)*($B$15-'Entrada das massas'!S117)+($B$14*$C$15)-($B$15*$C$15))/($B$14-$B$15)),IF(AND('Entrada das massas'!S117&lt;=$B$14,'Entrada das massas'!S117&gt;$B$13),'Entrada das massas'!S117-((($C$14-$C$13)*($B$14-'Entrada das massas'!S117)+($B$13*$C$14)-($B$14*$C$14))/($B$13-$B$14)),IF(AND('Entrada das massas'!S117&lt;=$B$13,'Entrada das massas'!S117&gt;$B$12),'Entrada das massas'!S117-((($C$13-$C$12)*($B$13-'Entrada das massas'!S117)+($B$12*$C$13)-($B$13*$C$13))/($B$12-$B$13)),IF(AND('Entrada das massas'!S117&lt;=$B$12,'Entrada das massas'!S117&gt;$B$11),'Entrada das massas'!S117-((($C$12-$C$11)*($B$12-'Entrada das massas'!S117)+($B$11*$C$12)-($B$12*$C$12))/($B$11-$B$12)),IF(AND('Entrada das massas'!S117&lt;=$B$11,'Entrada das massas'!S117&gt;$B$10),'Entrada das massas'!S117-((($C$11-$C$10)*($B$11-'Entrada das massas'!S117)+($B$10*$C$11)-($B$11*$C$11))/($B$10-$B$11)),IF(AND('Entrada das massas'!S117&lt;=$B$10,'Entrada das massas'!S117&gt;$B$9),'Entrada das massas'!S117-((($C$10-$C$9)*($B$10-'Entrada das massas'!S117)+($B$9*$C$10)-($B$10*$C$10))/($B$9-$B$10)),IF(AND('Entrada das massas'!S117&lt;=$B$9,'Entrada das massas'!S117&gt;$B$8),'Entrada das massas'!S117-((($C$9-$C$8)*($B$9-'Entrada das massas'!S117)+($B$8*$C$9)-($B$9*$C$9))/($B$8-$B$9)),IF(AND('Entrada das massas'!S117&lt;=$B$8,'Entrada das massas'!S117&gt;$B$7),'Entrada das massas'!S117-((($C$8-$C$7)*($B$8-'Entrada das massas'!S117)+($B$7*$C$8)-($B$8*$C$8))/($B$7-$B$8)),IF(AND('Entrada das massas'!S117&lt;=$B$7,'Entrada das massas'!S117&gt;$B$6),'Entrada das massas'!S117-((($C$7-$C$6)*($B$7-'Entrada das massas'!S117)+($B$6*$C$7)-($B$7*$C$7))/($B$6-$B$7)),IF(AND('Entrada das massas'!S117&lt;=$B$6,'Entrada das massas'!S117&gt;$B$5),'Entrada das massas'!S117-((($C$6-$C$5)*($B$6-'Entrada das massas'!S117)+($B$5*$C$6)-($B$6*$C$6))/($B$5-$B$6)),IF('Entrada das massas'!S117&lt;=$B$5,'Entrada das massas'!S117-$C$5)))))))))))))))))</f>
        <v/>
      </c>
      <c r="X137" s="117" t="str">
        <f>IF(W137="","",(IF(AND(W137&lt;=$B$20,W137&gt;$B$19),$D$19+($B$19-W137)/($B$19-$B$20)*($D$20-$D$19),IF(AND(W137&lt;=$B$19,W137&gt;$B$18),$D$18+($B$18-W137)/($B$18-$B$19)*($D$19-$D$18),IF(AND(W137&lt;=$B$18,W137&gt;$B$17),$D$17+($B$17-W137)/($B$17-$B$18)*($D$18-$D$17),IF(AND(W137&lt;=$B$17,W137&gt;$B$16),$D$16+($B$16-W137)/($B$16-$B$17)*($D$17-$D$16),IF(AND(W137&lt;=$B$16,W137&gt;$B$15),$D$15+($B$15-W137)/($B$15-$B$16)*($D$16-$D$15),IF(AND(W137&lt;=$B$15,W137&gt;$B$14),$D$14+($B$14-W137)/($B$14-$B$15)*($D$15-$D$14),IF(AND(W137&lt;=$B$14,W137&gt;$B$13),$D$13+($B$13-W137)/($B$13-$B$14)*($D$14-$D$13),IF(AND(W137&lt;=$B$13,W137&gt;$B$12),$D$12+($B$12-W137)/($B$12-$B$13)*($D$13-$D$12),IF(AND(W137&lt;=$B$12,W137&gt;$B$11),$D$11+($B$11-W137)/($B$11-$B$12)*($D$12-$D$11),IF(AND(W137&lt;=$B$11,W137&gt;$B$10),$D$10+($B$10-W137)/($B$10-$B$11)*($D$11-$D$10),IF(AND(W137&lt;=$B$10,W137&gt;$B$9),$D$9+($B$9-W137)/($B$9-$B$10)*($D$10-$D$9),IF(AND(W137&lt;=$B$9,W137&gt;$B$8),$D$8+($B$8-W137)/($B$8-$B$9)*($D$9-$D$8),IF(AND(W137&lt;=$B$8,W137&gt;$B$7),$D$7+($B$7-W137)/($B$7-$B$8)*($D$8-$D$7),IF(AND(W137&lt;=$B$7,W137&gt;$B$6),$D$6+($B$6-W137)/($B$6-$B$7)*($D$7-$D$6),IF(W137&lt;=$B$6,$D$6)))))))))))))))))</f>
        <v/>
      </c>
      <c r="Y137" s="117"/>
      <c r="Z137" s="117"/>
      <c r="AA137" s="118" t="str">
        <f>IFERROR(Y139/Y138,"")</f>
        <v/>
      </c>
    </row>
    <row r="138" spans="3:27" x14ac:dyDescent="0.2">
      <c r="C138" s="104"/>
      <c r="D138" s="109"/>
      <c r="E138" s="164"/>
      <c r="F138" s="104"/>
      <c r="H138" s="115" t="str">
        <f>IF(I136="","","Frasco + Amostra")</f>
        <v/>
      </c>
      <c r="I138" s="116" t="str">
        <f>IF('Entrada das massas'!I118="","",IF(AND('Entrada das massas'!I118&lt;=$B$20,'Entrada das massas'!I118&gt;$B$19),'Entrada das massas'!I118-((($C$20-$C$19)*($B$20-'Entrada das massas'!I118)+($B$19*$C$20)-($B$20*$C$20))/($B$19-$B$20)),IF(AND('Entrada das massas'!I118&lt;=$B$19,'Entrada das massas'!I118&gt;$B$18),'Entrada das massas'!I118-((($C$19-$C$18)*($B$19-'Entrada das massas'!I118)+($B$18*$C$19)-($B$19*$C$19))/($B$18-$B$19)),IF(AND('Entrada das massas'!I118&lt;=$B$18,'Entrada das massas'!I118&gt;$B$17),'Entrada das massas'!I118-((($C$18-$C$17)*($B$18-'Entrada das massas'!I118)+($B$17*$C$18)-($B$18*$C$18))/($B$17-$B$18)),IF(AND('Entrada das massas'!I118&lt;=$B$17,'Entrada das massas'!I118&gt;$B$16),'Entrada das massas'!I118-((($C$17-$C$16)*($B$17-'Entrada das massas'!I118)+($B$16*$C$17)-($B$17*$C$17))/($B$16-$B$17)),IF(AND('Entrada das massas'!I118&lt;=$B$16,'Entrada das massas'!I118&gt;$B$15),'Entrada das massas'!I118-((($C$16-$C$15)*($B$16-'Entrada das massas'!I118)+($B$15*$C$16)-($B$16*$C$16))/($B$15-$B$16)),IF(AND('Entrada das massas'!I118&lt;=$B$15,'Entrada das massas'!I118&gt;$B$14),'Entrada das massas'!I118-((($C$15-$C$14)*($B$15-'Entrada das massas'!I118)+($B$14*$C$15)-($B$15*$C$15))/($B$14-$B$15)),IF(AND('Entrada das massas'!I118&lt;=$B$14,'Entrada das massas'!I118&gt;$B$13),'Entrada das massas'!I118-((($C$14-$C$13)*($B$14-'Entrada das massas'!I118)+($B$13*$C$14)-($B$14*$C$14))/($B$13-$B$14)),IF(AND('Entrada das massas'!I118&lt;=$B$13,'Entrada das massas'!I118&gt;$B$12),'Entrada das massas'!I118-((($C$13-$C$12)*($B$13-'Entrada das massas'!I118)+($B$12*$C$13)-($B$13*$C$13))/($B$12-$B$13)),IF(AND('Entrada das massas'!I118&lt;=$B$12,'Entrada das massas'!I118&gt;$B$11),'Entrada das massas'!I118-((($C$12-$C$11)*($B$12-'Entrada das massas'!I118)+($B$11*$C$12)-($B$12*$C$12))/($B$11-$B$12)),IF(AND('Entrada das massas'!I118&lt;=$B$11,'Entrada das massas'!I118&gt;$B$10),'Entrada das massas'!I118-((($C$11-$C$10)*($B$11-'Entrada das massas'!I118)+($B$10*$C$11)-($B$11*$C$11))/($B$10-$B$11)),IF(AND('Entrada das massas'!I118&lt;=$B$10,'Entrada das massas'!I118&gt;$B$9),'Entrada das massas'!I118-((($C$10-$C$9)*($B$10-'Entrada das massas'!I118)+($B$9*$C$10)-($B$10*$C$10))/($B$9-$B$10)),IF(AND('Entrada das massas'!I118&lt;=$B$9,'Entrada das massas'!I118&gt;$B$8),'Entrada das massas'!I118-((($C$9-$C$8)*($B$9-'Entrada das massas'!I118)+($B$8*$C$9)-($B$9*$C$9))/($B$8-$B$9)),IF(AND('Entrada das massas'!I118&lt;=$B$8,'Entrada das massas'!I118&gt;$B$7),'Entrada das massas'!I118-((($C$8-$C$7)*($B$8-'Entrada das massas'!I118)+($B$7*$C$8)-($B$8*$C$8))/($B$7-$B$8)),IF(AND('Entrada das massas'!I118&lt;=$B$7,'Entrada das massas'!I118&gt;$B$6),'Entrada das massas'!I118-((($C$7-$C$6)*($B$7-'Entrada das massas'!I118)+($B$6*$C$7)-($B$7*$C$7))/($B$6-$B$7)),IF(AND('Entrada das massas'!I118&lt;=$B$6,'Entrada das massas'!I118&gt;$B$5),'Entrada das massas'!I118-((($C$6-$C$5)*($B$6-'Entrada das massas'!I118)+($B$5*$C$6)-($B$6*$C$6))/($B$5-$B$6)),IF('Entrada das massas'!I118&lt;=$B$5,'Entrada das massas'!I118-$C$5)))))))))))))))))</f>
        <v/>
      </c>
      <c r="J138" s="117" t="str">
        <f t="shared" ref="J138:J139" si="69">IF(I138="","",(IF(AND(I138&lt;=$B$20,I138&gt;$B$19),$D$19+($B$19-I138)/($B$19-$B$20)*($D$20-$D$19),IF(AND(I138&lt;=$B$19,I138&gt;$B$18),$D$18+($B$18-I138)/($B$18-$B$19)*($D$19-$D$18),IF(AND(I138&lt;=$B$18,I138&gt;$B$17),$D$17+($B$17-I138)/($B$17-$B$18)*($D$18-$D$17),IF(AND(I138&lt;=$B$17,I138&gt;$B$16),$D$16+($B$16-I138)/($B$16-$B$17)*($D$17-$D$16),IF(AND(I138&lt;=$B$16,I138&gt;$B$15),$D$15+($B$15-I138)/($B$15-$B$16)*($D$16-$D$15),IF(AND(I138&lt;=$B$15,I138&gt;$B$14),$D$14+($B$14-I138)/($B$14-$B$15)*($D$15-$D$14),IF(AND(I138&lt;=$B$14,I138&gt;$B$13),$D$13+($B$13-I138)/($B$13-$B$14)*($D$14-$D$13),IF(AND(I138&lt;=$B$13,I138&gt;$B$12),$D$12+($B$12-I138)/($B$12-$B$13)*($D$13-$D$12),IF(AND(I138&lt;=$B$12,I138&gt;$B$11),$D$11+($B$11-I138)/($B$11-$B$12)*($D$12-$D$11),IF(AND(I138&lt;=$B$11,I138&gt;$B$10),$D$10+($B$10-I138)/($B$10-$B$11)*($D$11-$D$10),IF(AND(I138&lt;=$B$10,I138&gt;$B$9),$D$9+($B$9-I138)/($B$9-$B$10)*($D$10-$D$9),IF(AND(I138&lt;=$B$9,I138&gt;$B$8),$D$8+($B$8-I138)/($B$8-$B$9)*($D$9-$D$8),IF(AND(I138&lt;=$B$8,I138&gt;$B$7),$D$7+($B$7-I138)/($B$7-$B$8)*($D$8-$D$7),IF(AND(I138&lt;=$B$7,I138&gt;$B$6),$D$6+($B$6-I138)/($B$6-$B$7)*($D$7-$D$6),IF(I138&lt;=$B$6,$D$6)))))))))))))))))</f>
        <v/>
      </c>
      <c r="K138" s="120" t="str">
        <f>IF(I137="","",I138-I137)</f>
        <v/>
      </c>
      <c r="L138" s="117" t="str">
        <f>IF(J137="","",SQRT(SUMSQ(J137:J138)))</f>
        <v/>
      </c>
      <c r="M138" s="93" t="str">
        <f>IF(I136="","","Amostra")</f>
        <v/>
      </c>
      <c r="N138" s="118"/>
      <c r="O138" s="115" t="str">
        <f>IF(P136="","","Frasco + Amostra")</f>
        <v/>
      </c>
      <c r="P138" s="95" t="str">
        <f>IF('Entrada das massas'!N118="","",IF(AND('Entrada das massas'!N118&lt;=$B$20,'Entrada das massas'!N118&gt;$B$19),'Entrada das massas'!N118-((($C$20-$C$19)*($B$20-'Entrada das massas'!N118)+($B$19*$C$20)-($B$20*$C$20))/($B$19-$B$20)),IF(AND('Entrada das massas'!N118&lt;=$B$19,'Entrada das massas'!N118&gt;$B$18),'Entrada das massas'!N118-((($C$19-$C$18)*($B$19-'Entrada das massas'!N118)+($B$18*$C$19)-($B$19*$C$19))/($B$18-$B$19)),IF(AND('Entrada das massas'!N118&lt;=$B$18,'Entrada das massas'!N118&gt;$B$17),'Entrada das massas'!N118-((($C$18-$C$17)*($B$18-'Entrada das massas'!N118)+($B$17*$C$18)-($B$18*$C$18))/($B$17-$B$18)),IF(AND('Entrada das massas'!N118&lt;=$B$17,'Entrada das massas'!N118&gt;$B$16),'Entrada das massas'!N118-((($C$17-$C$16)*($B$17-'Entrada das massas'!N118)+($B$16*$C$17)-($B$17*$C$17))/($B$16-$B$17)),IF(AND('Entrada das massas'!N118&lt;=$B$16,'Entrada das massas'!N118&gt;$B$15),'Entrada das massas'!N118-((($C$16-$C$15)*($B$16-'Entrada das massas'!N118)+($B$15*$C$16)-($B$16*$C$16))/($B$15-$B$16)),IF(AND('Entrada das massas'!N118&lt;=$B$15,'Entrada das massas'!N118&gt;$B$14),'Entrada das massas'!N118-((($C$15-$C$14)*($B$15-'Entrada das massas'!N118)+($B$14*$C$15)-($B$15*$C$15))/($B$14-$B$15)),IF(AND('Entrada das massas'!N118&lt;=$B$14,'Entrada das massas'!N118&gt;$B$13),'Entrada das massas'!N118-((($C$14-$C$13)*($B$14-'Entrada das massas'!N118)+($B$13*$C$14)-($B$14*$C$14))/($B$13-$B$14)),IF(AND('Entrada das massas'!N118&lt;=$B$13,'Entrada das massas'!N118&gt;$B$12),'Entrada das massas'!N118-((($C$13-$C$12)*($B$13-'Entrada das massas'!N118)+($B$12*$C$13)-($B$13*$C$13))/($B$12-$B$13)),IF(AND('Entrada das massas'!N118&lt;=$B$12,'Entrada das massas'!N118&gt;$B$11),'Entrada das massas'!N118-((($C$12-$C$11)*($B$12-'Entrada das massas'!N118)+($B$11*$C$12)-($B$12*$C$12))/($B$11-$B$12)),IF(AND('Entrada das massas'!N118&lt;=$B$11,'Entrada das massas'!N118&gt;$B$10),'Entrada das massas'!N118-((($C$11-$C$10)*($B$11-'Entrada das massas'!N118)+($B$10*$C$11)-($B$11*$C$11))/($B$10-$B$11)),IF(AND('Entrada das massas'!N118&lt;=$B$10,'Entrada das massas'!N118&gt;$B$9),'Entrada das massas'!N118-((($C$10-$C$9)*($B$10-'Entrada das massas'!N118)+($B$9*$C$10)-($B$10*$C$10))/($B$9-$B$10)),IF(AND('Entrada das massas'!N118&lt;=$B$9,'Entrada das massas'!N118&gt;$B$8),'Entrada das massas'!N118-((($C$9-$C$8)*($B$9-'Entrada das massas'!N118)+($B$8*$C$9)-($B$9*$C$9))/($B$8-$B$9)),IF(AND('Entrada das massas'!N118&lt;=$B$8,'Entrada das massas'!N118&gt;$B$7),'Entrada das massas'!N118-((($C$8-$C$7)*($B$8-'Entrada das massas'!N118)+($B$7*$C$8)-($B$8*$C$8))/($B$7-$B$8)),IF(AND('Entrada das massas'!N118&lt;=$B$7,'Entrada das massas'!N118&gt;$B$6),'Entrada das massas'!N118-((($C$7-$C$6)*($B$7-'Entrada das massas'!N118)+($B$6*$C$7)-($B$7*$C$7))/($B$6-$B$7)),IF(AND('Entrada das massas'!N118&lt;=$B$6,'Entrada das massas'!N118&gt;$B$5),'Entrada das massas'!N118-((($C$6-$C$5)*($B$6-'Entrada das massas'!N118)+($B$5*$C$6)-($B$6*$C$6))/($B$5-$B$6)),IF('Entrada das massas'!N118&lt;=$B$5,'Entrada das massas'!N118-$C$5)))))))))))))))))</f>
        <v/>
      </c>
      <c r="Q138" s="117" t="str">
        <f t="shared" ref="Q138:Q139" si="70">IF(P138="","",(IF(AND(P138&lt;=$B$20,P138&gt;$B$19),$D$19+($B$19-P138)/($B$19-$B$20)*($D$20-$D$19),IF(AND(P138&lt;=$B$19,P138&gt;$B$18),$D$18+($B$18-P138)/($B$18-$B$19)*($D$19-$D$18),IF(AND(P138&lt;=$B$18,P138&gt;$B$17),$D$17+($B$17-P138)/($B$17-$B$18)*($D$18-$D$17),IF(AND(P138&lt;=$B$17,P138&gt;$B$16),$D$16+($B$16-P138)/($B$16-$B$17)*($D$17-$D$16),IF(AND(P138&lt;=$B$16,P138&gt;$B$15),$D$15+($B$15-P138)/($B$15-$B$16)*($D$16-$D$15),IF(AND(P138&lt;=$B$15,P138&gt;$B$14),$D$14+($B$14-P138)/($B$14-$B$15)*($D$15-$D$14),IF(AND(P138&lt;=$B$14,P138&gt;$B$13),$D$13+($B$13-P138)/($B$13-$B$14)*($D$14-$D$13),IF(AND(P138&lt;=$B$13,P138&gt;$B$12),$D$12+($B$12-P138)/($B$12-$B$13)*($D$13-$D$12),IF(AND(P138&lt;=$B$12,P138&gt;$B$11),$D$11+($B$11-P138)/($B$11-$B$12)*($D$12-$D$11),IF(AND(P138&lt;=$B$11,P138&gt;$B$10),$D$10+($B$10-P138)/($B$10-$B$11)*($D$11-$D$10),IF(AND(P138&lt;=$B$10,P138&gt;$B$9),$D$9+($B$9-P138)/($B$9-$B$10)*($D$10-$D$9),IF(AND(P138&lt;=$B$9,P138&gt;$B$8),$D$8+($B$8-P138)/($B$8-$B$9)*($D$9-$D$8),IF(AND(P138&lt;=$B$8,P138&gt;$B$7),$D$7+($B$7-P138)/($B$7-$B$8)*($D$8-$D$7),IF(AND(P138&lt;=$B$7,P138&gt;$B$6),$D$6+($B$6-P138)/($B$6-$B$7)*($D$7-$D$6),IF(P138&lt;=$B$6,$D$6)))))))))))))))))</f>
        <v/>
      </c>
      <c r="R138" s="120" t="str">
        <f>IF(P137="","",P138-P137)</f>
        <v/>
      </c>
      <c r="S138" s="117" t="str">
        <f>IF(Q137="","",SQRT(SUMSQ(Q137:Q138)))</f>
        <v/>
      </c>
      <c r="T138" s="93" t="str">
        <f>IF(P136="","","Amostra")</f>
        <v/>
      </c>
      <c r="U138" s="118"/>
      <c r="V138" s="115" t="str">
        <f>IF(W136="","","Frasco + Amostra")</f>
        <v/>
      </c>
      <c r="W138" s="95" t="str">
        <f>IF('Entrada das massas'!S118="","",IF(AND('Entrada das massas'!S118&lt;=$B$20,'Entrada das massas'!S118&gt;$B$19),'Entrada das massas'!S118-((($C$20-$C$19)*($B$20-'Entrada das massas'!S118)+($B$19*$C$20)-($B$20*$C$20))/($B$19-$B$20)),IF(AND('Entrada das massas'!S118&lt;=$B$19,'Entrada das massas'!S118&gt;$B$18),'Entrada das massas'!S118-((($C$19-$C$18)*($B$19-'Entrada das massas'!S118)+($B$18*$C$19)-($B$19*$C$19))/($B$18-$B$19)),IF(AND('Entrada das massas'!S118&lt;=$B$18,'Entrada das massas'!S118&gt;$B$17),'Entrada das massas'!S118-((($C$18-$C$17)*($B$18-'Entrada das massas'!S118)+($B$17*$C$18)-($B$18*$C$18))/($B$17-$B$18)),IF(AND('Entrada das massas'!S118&lt;=$B$17,'Entrada das massas'!S118&gt;$B$16),'Entrada das massas'!S118-((($C$17-$C$16)*($B$17-'Entrada das massas'!S118)+($B$16*$C$17)-($B$17*$C$17))/($B$16-$B$17)),IF(AND('Entrada das massas'!S118&lt;=$B$16,'Entrada das massas'!S118&gt;$B$15),'Entrada das massas'!S118-((($C$16-$C$15)*($B$16-'Entrada das massas'!S118)+($B$15*$C$16)-($B$16*$C$16))/($B$15-$B$16)),IF(AND('Entrada das massas'!S118&lt;=$B$15,'Entrada das massas'!S118&gt;$B$14),'Entrada das massas'!S118-((($C$15-$C$14)*($B$15-'Entrada das massas'!S118)+($B$14*$C$15)-($B$15*$C$15))/($B$14-$B$15)),IF(AND('Entrada das massas'!S118&lt;=$B$14,'Entrada das massas'!S118&gt;$B$13),'Entrada das massas'!S118-((($C$14-$C$13)*($B$14-'Entrada das massas'!S118)+($B$13*$C$14)-($B$14*$C$14))/($B$13-$B$14)),IF(AND('Entrada das massas'!S118&lt;=$B$13,'Entrada das massas'!S118&gt;$B$12),'Entrada das massas'!S118-((($C$13-$C$12)*($B$13-'Entrada das massas'!S118)+($B$12*$C$13)-($B$13*$C$13))/($B$12-$B$13)),IF(AND('Entrada das massas'!S118&lt;=$B$12,'Entrada das massas'!S118&gt;$B$11),'Entrada das massas'!S118-((($C$12-$C$11)*($B$12-'Entrada das massas'!S118)+($B$11*$C$12)-($B$12*$C$12))/($B$11-$B$12)),IF(AND('Entrada das massas'!S118&lt;=$B$11,'Entrada das massas'!S118&gt;$B$10),'Entrada das massas'!S118-((($C$11-$C$10)*($B$11-'Entrada das massas'!S118)+($B$10*$C$11)-($B$11*$C$11))/($B$10-$B$11)),IF(AND('Entrada das massas'!S118&lt;=$B$10,'Entrada das massas'!S118&gt;$B$9),'Entrada das massas'!S118-((($C$10-$C$9)*($B$10-'Entrada das massas'!S118)+($B$9*$C$10)-($B$10*$C$10))/($B$9-$B$10)),IF(AND('Entrada das massas'!S118&lt;=$B$9,'Entrada das massas'!S118&gt;$B$8),'Entrada das massas'!S118-((($C$9-$C$8)*($B$9-'Entrada das massas'!S118)+($B$8*$C$9)-($B$9*$C$9))/($B$8-$B$9)),IF(AND('Entrada das massas'!S118&lt;=$B$8,'Entrada das massas'!S118&gt;$B$7),'Entrada das massas'!S118-((($C$8-$C$7)*($B$8-'Entrada das massas'!S118)+($B$7*$C$8)-($B$8*$C$8))/($B$7-$B$8)),IF(AND('Entrada das massas'!S118&lt;=$B$7,'Entrada das massas'!S118&gt;$B$6),'Entrada das massas'!S118-((($C$7-$C$6)*($B$7-'Entrada das massas'!S118)+($B$6*$C$7)-($B$7*$C$7))/($B$6-$B$7)),IF(AND('Entrada das massas'!S118&lt;=$B$6,'Entrada das massas'!S118&gt;$B$5),'Entrada das massas'!S118-((($C$6-$C$5)*($B$6-'Entrada das massas'!S118)+($B$5*$C$6)-($B$6*$C$6))/($B$5-$B$6)),IF('Entrada das massas'!S118&lt;=$B$5,'Entrada das massas'!S118-$C$5)))))))))))))))))</f>
        <v/>
      </c>
      <c r="X138" s="117" t="str">
        <f t="shared" ref="X138:X139" si="71">IF(W138="","",(IF(AND(W138&lt;=$B$20,W138&gt;$B$19),$D$19+($B$19-W138)/($B$19-$B$20)*($D$20-$D$19),IF(AND(W138&lt;=$B$19,W138&gt;$B$18),$D$18+($B$18-W138)/($B$18-$B$19)*($D$19-$D$18),IF(AND(W138&lt;=$B$18,W138&gt;$B$17),$D$17+($B$17-W138)/($B$17-$B$18)*($D$18-$D$17),IF(AND(W138&lt;=$B$17,W138&gt;$B$16),$D$16+($B$16-W138)/($B$16-$B$17)*($D$17-$D$16),IF(AND(W138&lt;=$B$16,W138&gt;$B$15),$D$15+($B$15-W138)/($B$15-$B$16)*($D$16-$D$15),IF(AND(W138&lt;=$B$15,W138&gt;$B$14),$D$14+($B$14-W138)/($B$14-$B$15)*($D$15-$D$14),IF(AND(W138&lt;=$B$14,W138&gt;$B$13),$D$13+($B$13-W138)/($B$13-$B$14)*($D$14-$D$13),IF(AND(W138&lt;=$B$13,W138&gt;$B$12),$D$12+($B$12-W138)/($B$12-$B$13)*($D$13-$D$12),IF(AND(W138&lt;=$B$12,W138&gt;$B$11),$D$11+($B$11-W138)/($B$11-$B$12)*($D$12-$D$11),IF(AND(W138&lt;=$B$11,W138&gt;$B$10),$D$10+($B$10-W138)/($B$10-$B$11)*($D$11-$D$10),IF(AND(W138&lt;=$B$10,W138&gt;$B$9),$D$9+($B$9-W138)/($B$9-$B$10)*($D$10-$D$9),IF(AND(W138&lt;=$B$9,W138&gt;$B$8),$D$8+($B$8-W138)/($B$8-$B$9)*($D$9-$D$8),IF(AND(W138&lt;=$B$8,W138&gt;$B$7),$D$7+($B$7-W138)/($B$7-$B$8)*($D$8-$D$7),IF(AND(W138&lt;=$B$7,W138&gt;$B$6),$D$6+($B$6-W138)/($B$6-$B$7)*($D$7-$D$6),IF(W138&lt;=$B$6,$D$6)))))))))))))))))</f>
        <v/>
      </c>
      <c r="Y138" s="120" t="str">
        <f>IF(W137="","",W138-W137)</f>
        <v/>
      </c>
      <c r="Z138" s="117" t="str">
        <f>IF(X137="","",SQRT(SUMSQ(X137:X138)))</f>
        <v/>
      </c>
      <c r="AA138" s="93" t="str">
        <f>IF(W136="","","Amostra")</f>
        <v/>
      </c>
    </row>
    <row r="139" spans="3:27" x14ac:dyDescent="0.2">
      <c r="C139" s="104"/>
      <c r="D139" s="143"/>
      <c r="F139" s="104"/>
      <c r="G139" s="143"/>
      <c r="H139" s="123" t="str">
        <f>IF(I136="","","Massa final")</f>
        <v/>
      </c>
      <c r="I139" s="116" t="str">
        <f>IF('Entrada das massas'!I119="","",IF(AND('Entrada das massas'!I119&lt;=$B$20,'Entrada das massas'!I119&gt;$B$19),'Entrada das massas'!I119-((($C$20-$C$19)*($B$20-'Entrada das massas'!I119)+($B$19*$C$20)-($B$20*$C$20))/($B$19-$B$20)),IF(AND('Entrada das massas'!I119&lt;=$B$19,'Entrada das massas'!I119&gt;$B$18),'Entrada das massas'!I119-((($C$19-$C$18)*($B$19-'Entrada das massas'!I119)+($B$18*$C$19)-($B$19*$C$19))/($B$18-$B$19)),IF(AND('Entrada das massas'!I119&lt;=$B$18,'Entrada das massas'!I119&gt;$B$17),'Entrada das massas'!I119-((($C$18-$C$17)*($B$18-'Entrada das massas'!I119)+($B$17*$C$18)-($B$18*$C$18))/($B$17-$B$18)),IF(AND('Entrada das massas'!I119&lt;=$B$17,'Entrada das massas'!I119&gt;$B$16),'Entrada das massas'!I119-((($C$17-$C$16)*($B$17-'Entrada das massas'!I119)+($B$16*$C$17)-($B$17*$C$17))/($B$16-$B$17)),IF(AND('Entrada das massas'!I119&lt;=$B$16,'Entrada das massas'!I119&gt;$B$15),'Entrada das massas'!I119-((($C$16-$C$15)*($B$16-'Entrada das massas'!I119)+($B$15*$C$16)-($B$16*$C$16))/($B$15-$B$16)),IF(AND('Entrada das massas'!I119&lt;=$B$15,'Entrada das massas'!I119&gt;$B$14),'Entrada das massas'!I119-((($C$15-$C$14)*($B$15-'Entrada das massas'!I119)+($B$14*$C$15)-($B$15*$C$15))/($B$14-$B$15)),IF(AND('Entrada das massas'!I119&lt;=$B$14,'Entrada das massas'!I119&gt;$B$13),'Entrada das massas'!I119-((($C$14-$C$13)*($B$14-'Entrada das massas'!I119)+($B$13*$C$14)-($B$14*$C$14))/($B$13-$B$14)),IF(AND('Entrada das massas'!I119&lt;=$B$13,'Entrada das massas'!I119&gt;$B$12),'Entrada das massas'!I119-((($C$13-$C$12)*($B$13-'Entrada das massas'!I119)+($B$12*$C$13)-($B$13*$C$13))/($B$12-$B$13)),IF(AND('Entrada das massas'!I119&lt;=$B$12,'Entrada das massas'!I119&gt;$B$11),'Entrada das massas'!I119-((($C$12-$C$11)*($B$12-'Entrada das massas'!I119)+($B$11*$C$12)-($B$12*$C$12))/($B$11-$B$12)),IF(AND('Entrada das massas'!I119&lt;=$B$11,'Entrada das massas'!I119&gt;$B$10),'Entrada das massas'!I119-((($C$11-$C$10)*($B$11-'Entrada das massas'!I119)+($B$10*$C$11)-($B$11*$C$11))/($B$10-$B$11)),IF(AND('Entrada das massas'!I119&lt;=$B$10,'Entrada das massas'!I119&gt;$B$9),'Entrada das massas'!I119-((($C$10-$C$9)*($B$10-'Entrada das massas'!I119)+($B$9*$C$10)-($B$10*$C$10))/($B$9-$B$10)),IF(AND('Entrada das massas'!I119&lt;=$B$9,'Entrada das massas'!I119&gt;$B$8),'Entrada das massas'!I119-((($C$9-$C$8)*($B$9-'Entrada das massas'!I119)+($B$8*$C$9)-($B$9*$C$9))/($B$8-$B$9)),IF(AND('Entrada das massas'!I119&lt;=$B$8,'Entrada das massas'!I119&gt;$B$7),'Entrada das massas'!I119-((($C$8-$C$7)*($B$8-'Entrada das massas'!I119)+($B$7*$C$8)-($B$8*$C$8))/($B$7-$B$8)),IF(AND('Entrada das massas'!I119&lt;=$B$7,'Entrada das massas'!I119&gt;$B$6),'Entrada das massas'!I119-((($C$7-$C$6)*($B$7-'Entrada das massas'!I119)+($B$6*$C$7)-($B$7*$C$7))/($B$6-$B$7)),IF(AND('Entrada das massas'!I119&lt;=$B$6,'Entrada das massas'!I119&gt;$B$5),'Entrada das massas'!I119-((($C$6-$C$5)*($B$6-'Entrada das massas'!I119)+($B$5*$C$6)-($B$6*$C$6))/($B$5-$B$6)),IF('Entrada das massas'!I119&lt;=$B$5,'Entrada das massas'!I119-$C$5)))))))))))))))))</f>
        <v/>
      </c>
      <c r="J139" s="117" t="str">
        <f t="shared" si="69"/>
        <v/>
      </c>
      <c r="K139" s="120" t="str">
        <f>IF(I137="","",I139-I137)</f>
        <v/>
      </c>
      <c r="L139" s="117" t="str">
        <f>IF(J137="","",SQRT(SUMSQ(J137,J139)))</f>
        <v/>
      </c>
      <c r="M139" s="93" t="str">
        <f>IF(I136="","","Solução")</f>
        <v/>
      </c>
      <c r="N139" s="93"/>
      <c r="O139" s="123" t="str">
        <f>IF(P136="","","Massa final")</f>
        <v/>
      </c>
      <c r="P139" s="95" t="str">
        <f>IF('Entrada das massas'!N119="","",IF(AND('Entrada das massas'!N119&lt;=$B$20,'Entrada das massas'!N119&gt;$B$19),'Entrada das massas'!N119-((($C$20-$C$19)*($B$20-'Entrada das massas'!N119)+($B$19*$C$20)-($B$20*$C$20))/($B$19-$B$20)),IF(AND('Entrada das massas'!N119&lt;=$B$19,'Entrada das massas'!N119&gt;$B$18),'Entrada das massas'!N119-((($C$19-$C$18)*($B$19-'Entrada das massas'!N119)+($B$18*$C$19)-($B$19*$C$19))/($B$18-$B$19)),IF(AND('Entrada das massas'!N119&lt;=$B$18,'Entrada das massas'!N119&gt;$B$17),'Entrada das massas'!N119-((($C$18-$C$17)*($B$18-'Entrada das massas'!N119)+($B$17*$C$18)-($B$18*$C$18))/($B$17-$B$18)),IF(AND('Entrada das massas'!N119&lt;=$B$17,'Entrada das massas'!N119&gt;$B$16),'Entrada das massas'!N119-((($C$17-$C$16)*($B$17-'Entrada das massas'!N119)+($B$16*$C$17)-($B$17*$C$17))/($B$16-$B$17)),IF(AND('Entrada das massas'!N119&lt;=$B$16,'Entrada das massas'!N119&gt;$B$15),'Entrada das massas'!N119-((($C$16-$C$15)*($B$16-'Entrada das massas'!N119)+($B$15*$C$16)-($B$16*$C$16))/($B$15-$B$16)),IF(AND('Entrada das massas'!N119&lt;=$B$15,'Entrada das massas'!N119&gt;$B$14),'Entrada das massas'!N119-((($C$15-$C$14)*($B$15-'Entrada das massas'!N119)+($B$14*$C$15)-($B$15*$C$15))/($B$14-$B$15)),IF(AND('Entrada das massas'!N119&lt;=$B$14,'Entrada das massas'!N119&gt;$B$13),'Entrada das massas'!N119-((($C$14-$C$13)*($B$14-'Entrada das massas'!N119)+($B$13*$C$14)-($B$14*$C$14))/($B$13-$B$14)),IF(AND('Entrada das massas'!N119&lt;=$B$13,'Entrada das massas'!N119&gt;$B$12),'Entrada das massas'!N119-((($C$13-$C$12)*($B$13-'Entrada das massas'!N119)+($B$12*$C$13)-($B$13*$C$13))/($B$12-$B$13)),IF(AND('Entrada das massas'!N119&lt;=$B$12,'Entrada das massas'!N119&gt;$B$11),'Entrada das massas'!N119-((($C$12-$C$11)*($B$12-'Entrada das massas'!N119)+($B$11*$C$12)-($B$12*$C$12))/($B$11-$B$12)),IF(AND('Entrada das massas'!N119&lt;=$B$11,'Entrada das massas'!N119&gt;$B$10),'Entrada das massas'!N119-((($C$11-$C$10)*($B$11-'Entrada das massas'!N119)+($B$10*$C$11)-($B$11*$C$11))/($B$10-$B$11)),IF(AND('Entrada das massas'!N119&lt;=$B$10,'Entrada das massas'!N119&gt;$B$9),'Entrada das massas'!N119-((($C$10-$C$9)*($B$10-'Entrada das massas'!N119)+($B$9*$C$10)-($B$10*$C$10))/($B$9-$B$10)),IF(AND('Entrada das massas'!N119&lt;=$B$9,'Entrada das massas'!N119&gt;$B$8),'Entrada das massas'!N119-((($C$9-$C$8)*($B$9-'Entrada das massas'!N119)+($B$8*$C$9)-($B$9*$C$9))/($B$8-$B$9)),IF(AND('Entrada das massas'!N119&lt;=$B$8,'Entrada das massas'!N119&gt;$B$7),'Entrada das massas'!N119-((($C$8-$C$7)*($B$8-'Entrada das massas'!N119)+($B$7*$C$8)-($B$8*$C$8))/($B$7-$B$8)),IF(AND('Entrada das massas'!N119&lt;=$B$7,'Entrada das massas'!N119&gt;$B$6),'Entrada das massas'!N119-((($C$7-$C$6)*($B$7-'Entrada das massas'!N119)+($B$6*$C$7)-($B$7*$C$7))/($B$6-$B$7)),IF(AND('Entrada das massas'!N119&lt;=$B$6,'Entrada das massas'!N119&gt;$B$5),'Entrada das massas'!N119-((($C$6-$C$5)*($B$6-'Entrada das massas'!N119)+($B$5*$C$6)-($B$6*$C$6))/($B$5-$B$6)),IF('Entrada das massas'!N119&lt;=$B$5,'Entrada das massas'!N119-$C$5)))))))))))))))))</f>
        <v/>
      </c>
      <c r="Q139" s="117" t="str">
        <f t="shared" si="70"/>
        <v/>
      </c>
      <c r="R139" s="120" t="str">
        <f>IF(P137="","",P139-P137)</f>
        <v/>
      </c>
      <c r="S139" s="117" t="str">
        <f>IF(Q137="","",SQRT(SUMSQ(Q137,Q139)))</f>
        <v/>
      </c>
      <c r="T139" s="93" t="str">
        <f>IF(P136="","","Solução")</f>
        <v/>
      </c>
      <c r="U139" s="93"/>
      <c r="V139" s="123" t="str">
        <f>IF(W136="","","Massa final")</f>
        <v/>
      </c>
      <c r="W139" s="95" t="str">
        <f>IF('Entrada das massas'!S119="","",IF(AND('Entrada das massas'!S119&lt;=$B$20,'Entrada das massas'!S119&gt;$B$19),'Entrada das massas'!S119-((($C$20-$C$19)*($B$20-'Entrada das massas'!S119)+($B$19*$C$20)-($B$20*$C$20))/($B$19-$B$20)),IF(AND('Entrada das massas'!S119&lt;=$B$19,'Entrada das massas'!S119&gt;$B$18),'Entrada das massas'!S119-((($C$19-$C$18)*($B$19-'Entrada das massas'!S119)+($B$18*$C$19)-($B$19*$C$19))/($B$18-$B$19)),IF(AND('Entrada das massas'!S119&lt;=$B$18,'Entrada das massas'!S119&gt;$B$17),'Entrada das massas'!S119-((($C$18-$C$17)*($B$18-'Entrada das massas'!S119)+($B$17*$C$18)-($B$18*$C$18))/($B$17-$B$18)),IF(AND('Entrada das massas'!S119&lt;=$B$17,'Entrada das massas'!S119&gt;$B$16),'Entrada das massas'!S119-((($C$17-$C$16)*($B$17-'Entrada das massas'!S119)+($B$16*$C$17)-($B$17*$C$17))/($B$16-$B$17)),IF(AND('Entrada das massas'!S119&lt;=$B$16,'Entrada das massas'!S119&gt;$B$15),'Entrada das massas'!S119-((($C$16-$C$15)*($B$16-'Entrada das massas'!S119)+($B$15*$C$16)-($B$16*$C$16))/($B$15-$B$16)),IF(AND('Entrada das massas'!S119&lt;=$B$15,'Entrada das massas'!S119&gt;$B$14),'Entrada das massas'!S119-((($C$15-$C$14)*($B$15-'Entrada das massas'!S119)+($B$14*$C$15)-($B$15*$C$15))/($B$14-$B$15)),IF(AND('Entrada das massas'!S119&lt;=$B$14,'Entrada das massas'!S119&gt;$B$13),'Entrada das massas'!S119-((($C$14-$C$13)*($B$14-'Entrada das massas'!S119)+($B$13*$C$14)-($B$14*$C$14))/($B$13-$B$14)),IF(AND('Entrada das massas'!S119&lt;=$B$13,'Entrada das massas'!S119&gt;$B$12),'Entrada das massas'!S119-((($C$13-$C$12)*($B$13-'Entrada das massas'!S119)+($B$12*$C$13)-($B$13*$C$13))/($B$12-$B$13)),IF(AND('Entrada das massas'!S119&lt;=$B$12,'Entrada das massas'!S119&gt;$B$11),'Entrada das massas'!S119-((($C$12-$C$11)*($B$12-'Entrada das massas'!S119)+($B$11*$C$12)-($B$12*$C$12))/($B$11-$B$12)),IF(AND('Entrada das massas'!S119&lt;=$B$11,'Entrada das massas'!S119&gt;$B$10),'Entrada das massas'!S119-((($C$11-$C$10)*($B$11-'Entrada das massas'!S119)+($B$10*$C$11)-($B$11*$C$11))/($B$10-$B$11)),IF(AND('Entrada das massas'!S119&lt;=$B$10,'Entrada das massas'!S119&gt;$B$9),'Entrada das massas'!S119-((($C$10-$C$9)*($B$10-'Entrada das massas'!S119)+($B$9*$C$10)-($B$10*$C$10))/($B$9-$B$10)),IF(AND('Entrada das massas'!S119&lt;=$B$9,'Entrada das massas'!S119&gt;$B$8),'Entrada das massas'!S119-((($C$9-$C$8)*($B$9-'Entrada das massas'!S119)+($B$8*$C$9)-($B$9*$C$9))/($B$8-$B$9)),IF(AND('Entrada das massas'!S119&lt;=$B$8,'Entrada das massas'!S119&gt;$B$7),'Entrada das massas'!S119-((($C$8-$C$7)*($B$8-'Entrada das massas'!S119)+($B$7*$C$8)-($B$8*$C$8))/($B$7-$B$8)),IF(AND('Entrada das massas'!S119&lt;=$B$7,'Entrada das massas'!S119&gt;$B$6),'Entrada das massas'!S119-((($C$7-$C$6)*($B$7-'Entrada das massas'!S119)+($B$6*$C$7)-($B$7*$C$7))/($B$6-$B$7)),IF(AND('Entrada das massas'!S119&lt;=$B$6,'Entrada das massas'!S119&gt;$B$5),'Entrada das massas'!S119-((($C$6-$C$5)*($B$6-'Entrada das massas'!S119)+($B$5*$C$6)-($B$6*$C$6))/($B$5-$B$6)),IF('Entrada das massas'!S119&lt;=$B$5,'Entrada das massas'!S119-$C$5)))))))))))))))))</f>
        <v/>
      </c>
      <c r="X139" s="117" t="str">
        <f t="shared" si="71"/>
        <v/>
      </c>
      <c r="Y139" s="120" t="str">
        <f>IF(W137="","",W139-W137)</f>
        <v/>
      </c>
      <c r="Z139" s="117" t="str">
        <f>IF(X137="","",SQRT(SUMSQ(X137,X139)))</f>
        <v/>
      </c>
      <c r="AA139" s="93" t="str">
        <f>IF(W136="","","Solução")</f>
        <v/>
      </c>
    </row>
    <row r="140" spans="3:27" x14ac:dyDescent="0.2">
      <c r="C140" s="104"/>
      <c r="D140" s="143"/>
      <c r="F140" s="104"/>
      <c r="G140" s="109"/>
      <c r="H140" s="98"/>
      <c r="I140" s="93"/>
      <c r="J140" s="139"/>
      <c r="K140" s="139"/>
      <c r="L140" s="139"/>
      <c r="M140" s="98"/>
      <c r="N140" s="98"/>
      <c r="O140" s="98"/>
      <c r="P140" s="93"/>
      <c r="Q140" s="120"/>
      <c r="R140" s="120"/>
      <c r="S140" s="120"/>
      <c r="T140" s="98"/>
      <c r="U140" s="98"/>
      <c r="V140" s="98"/>
      <c r="W140" s="93"/>
      <c r="X140" s="120"/>
      <c r="Y140" s="120"/>
      <c r="Z140" s="120"/>
      <c r="AA140" s="98"/>
    </row>
    <row r="141" spans="3:27" x14ac:dyDescent="0.2">
      <c r="C141" s="109"/>
      <c r="D141" s="109"/>
      <c r="F141" s="104"/>
      <c r="G141" s="109"/>
      <c r="H141" s="126" t="str">
        <f>IF(I136="","","Amostra")</f>
        <v/>
      </c>
      <c r="I141" s="127" t="str">
        <f>IF('Entrada das massas'!I121="","",'Entrada das massas'!I121)</f>
        <v/>
      </c>
      <c r="J141" s="120" t="str">
        <f>IF(I141="","","uc(g)")</f>
        <v/>
      </c>
      <c r="K141" s="120" t="str">
        <f>IF(J141="","","Massa (g)")</f>
        <v/>
      </c>
      <c r="L141" s="120" t="str">
        <f>IF(K141="","","ucomb (g)")</f>
        <v/>
      </c>
      <c r="M141" s="98" t="str">
        <f>IF(I141="","","Fdiluição")</f>
        <v/>
      </c>
      <c r="N141" s="98"/>
      <c r="O141" s="126" t="str">
        <f>IF(M142="","","Amostra")</f>
        <v/>
      </c>
      <c r="P141" s="127" t="str">
        <f>IF('Entrada das massas'!N121="","",'Entrada das massas'!N121)</f>
        <v/>
      </c>
      <c r="Q141" s="120" t="str">
        <f>IF(P141="","","uc(g)")</f>
        <v/>
      </c>
      <c r="R141" s="120" t="str">
        <f>IF(Q141="","","Massa (g)")</f>
        <v/>
      </c>
      <c r="S141" s="120" t="str">
        <f>IF(R141="","","ucomb (g)")</f>
        <v/>
      </c>
      <c r="T141" s="98" t="str">
        <f>IF(P141="","","Fdiluição")</f>
        <v/>
      </c>
      <c r="U141" s="98"/>
      <c r="V141" s="126" t="str">
        <f>IF(T142="","","Amostra")</f>
        <v/>
      </c>
      <c r="W141" s="127" t="str">
        <f>IF('Entrada das massas'!S121="","",'Entrada das massas'!S121)</f>
        <v/>
      </c>
      <c r="X141" s="120" t="str">
        <f>IF(W141="","","uc(g)")</f>
        <v/>
      </c>
      <c r="Y141" s="120" t="str">
        <f>IF(X141="","","Massa (g)")</f>
        <v/>
      </c>
      <c r="Z141" s="120" t="str">
        <f>IF(Y141="","","ucomb (g)")</f>
        <v/>
      </c>
      <c r="AA141" s="98" t="str">
        <f>IF(W141="","","Fdiluição")</f>
        <v/>
      </c>
    </row>
    <row r="142" spans="3:27" x14ac:dyDescent="0.2">
      <c r="C142" s="104"/>
      <c r="D142" s="109"/>
      <c r="E142" s="163"/>
      <c r="F142" s="109"/>
      <c r="G142" s="109"/>
      <c r="H142" s="115" t="str">
        <f>IF(I141="","","Frasco")</f>
        <v/>
      </c>
      <c r="I142" s="116" t="str">
        <f>IF('Entrada das massas'!I122="","",IF(AND('Entrada das massas'!I122&lt;=$B$20,'Entrada das massas'!I122&gt;$B$19),'Entrada das massas'!I122-((($C$20-$C$19)*($B$20-'Entrada das massas'!I122)+($B$19*$C$20)-($B$20*$C$20))/($B$19-$B$20)),IF(AND('Entrada das massas'!I122&lt;=$B$19,'Entrada das massas'!I122&gt;$B$18),'Entrada das massas'!I122-((($C$19-$C$18)*($B$19-'Entrada das massas'!I122)+($B$18*$C$19)-($B$19*$C$19))/($B$18-$B$19)),IF(AND('Entrada das massas'!I122&lt;=$B$18,'Entrada das massas'!I122&gt;$B$17),'Entrada das massas'!I122-((($C$18-$C$17)*($B$18-'Entrada das massas'!I122)+($B$17*$C$18)-($B$18*$C$18))/($B$17-$B$18)),IF(AND('Entrada das massas'!I122&lt;=$B$17,'Entrada das massas'!I122&gt;$B$16),'Entrada das massas'!I122-((($C$17-$C$16)*($B$17-'Entrada das massas'!I122)+($B$16*$C$17)-($B$17*$C$17))/($B$16-$B$17)),IF(AND('Entrada das massas'!I122&lt;=$B$16,'Entrada das massas'!I122&gt;$B$15),'Entrada das massas'!I122-((($C$16-$C$15)*($B$16-'Entrada das massas'!I122)+($B$15*$C$16)-($B$16*$C$16))/($B$15-$B$16)),IF(AND('Entrada das massas'!I122&lt;=$B$15,'Entrada das massas'!I122&gt;$B$14),'Entrada das massas'!I122-((($C$15-$C$14)*($B$15-'Entrada das massas'!I122)+($B$14*$C$15)-($B$15*$C$15))/($B$14-$B$15)),IF(AND('Entrada das massas'!I122&lt;=$B$14,'Entrada das massas'!I122&gt;$B$13),'Entrada das massas'!I122-((($C$14-$C$13)*($B$14-'Entrada das massas'!I122)+($B$13*$C$14)-($B$14*$C$14))/($B$13-$B$14)),IF(AND('Entrada das massas'!I122&lt;=$B$13,'Entrada das massas'!I122&gt;$B$12),'Entrada das massas'!I122-((($C$13-$C$12)*($B$13-'Entrada das massas'!I122)+($B$12*$C$13)-($B$13*$C$13))/($B$12-$B$13)),IF(AND('Entrada das massas'!I122&lt;=$B$12,'Entrada das massas'!I122&gt;$B$11),'Entrada das massas'!I122-((($C$12-$C$11)*($B$12-'Entrada das massas'!I122)+($B$11*$C$12)-($B$12*$C$12))/($B$11-$B$12)),IF(AND('Entrada das massas'!I122&lt;=$B$11,'Entrada das massas'!I122&gt;$B$10),'Entrada das massas'!I122-((($C$11-$C$10)*($B$11-'Entrada das massas'!I122)+($B$10*$C$11)-($B$11*$C$11))/($B$10-$B$11)),IF(AND('Entrada das massas'!I122&lt;=$B$10,'Entrada das massas'!I122&gt;$B$9),'Entrada das massas'!I122-((($C$10-$C$9)*($B$10-'Entrada das massas'!I122)+($B$9*$C$10)-($B$10*$C$10))/($B$9-$B$10)),IF(AND('Entrada das massas'!I122&lt;=$B$9,'Entrada das massas'!I122&gt;$B$8),'Entrada das massas'!I122-((($C$9-$C$8)*($B$9-'Entrada das massas'!I122)+($B$8*$C$9)-($B$9*$C$9))/($B$8-$B$9)),IF(AND('Entrada das massas'!I122&lt;=$B$8,'Entrada das massas'!I122&gt;$B$7),'Entrada das massas'!I122-((($C$8-$C$7)*($B$8-'Entrada das massas'!I122)+($B$7*$C$8)-($B$8*$C$8))/($B$7-$B$8)),IF(AND('Entrada das massas'!I122&lt;=$B$7,'Entrada das massas'!I122&gt;$B$6),'Entrada das massas'!I122-((($C$7-$C$6)*($B$7-'Entrada das massas'!I122)+($B$6*$C$7)-($B$7*$C$7))/($B$6-$B$7)),IF(AND('Entrada das massas'!I122&lt;=$B$6,'Entrada das massas'!I122&gt;$B$5),'Entrada das massas'!I122-((($C$6-$C$5)*($B$6-'Entrada das massas'!I122)+($B$5*$C$6)-($B$6*$C$6))/($B$5-$B$6)),IF('Entrada das massas'!I122&lt;=$B$5,'Entrada das massas'!I122-$C$5)))))))))))))))))</f>
        <v/>
      </c>
      <c r="J142" s="117" t="str">
        <f>IF(I142="","",(IF(AND(I142&lt;=$B$20,I142&gt;$B$19),$D$19+($B$19-I142)/($B$19-$B$20)*($D$20-$D$19),IF(AND(I142&lt;=$B$19,I142&gt;$B$18),$D$18+($B$18-I142)/($B$18-$B$19)*($D$19-$D$18),IF(AND(I142&lt;=$B$18,I142&gt;$B$17),$D$17+($B$17-I142)/($B$17-$B$18)*($D$18-$D$17),IF(AND(I142&lt;=$B$17,I142&gt;$B$16),$D$16+($B$16-I142)/($B$16-$B$17)*($D$17-$D$16),IF(AND(I142&lt;=$B$16,I142&gt;$B$15),$D$15+($B$15-I142)/($B$15-$B$16)*($D$16-$D$15),IF(AND(I142&lt;=$B$15,I142&gt;$B$14),$D$14+($B$14-I142)/($B$14-$B$15)*($D$15-$D$14),IF(AND(I142&lt;=$B$14,I142&gt;$B$13),$D$13+($B$13-I142)/($B$13-$B$14)*($D$14-$D$13),IF(AND(I142&lt;=$B$13,I142&gt;$B$12),$D$12+($B$12-I142)/($B$12-$B$13)*($D$13-$D$12),IF(AND(I142&lt;=$B$12,I142&gt;$B$11),$D$11+($B$11-I142)/($B$11-$B$12)*($D$12-$D$11),IF(AND(I142&lt;=$B$11,I142&gt;$B$10),$D$10+($B$10-I142)/($B$10-$B$11)*($D$11-$D$10),IF(AND(I142&lt;=$B$10,I142&gt;$B$9),$D$9+($B$9-I142)/($B$9-$B$10)*($D$10-$D$9),IF(AND(I142&lt;=$B$9,I142&gt;$B$8),$D$8+($B$8-I142)/($B$8-$B$9)*($D$9-$D$8),IF(AND(I142&lt;=$B$8,I142&gt;$B$7),$D$7+($B$7-I142)/($B$7-$B$8)*($D$8-$D$7),IF(AND(I142&lt;=$B$7,I142&gt;$B$6),$D$6+($B$6-I142)/($B$6-$B$7)*($D$7-$D$6),IF(I142&lt;=$B$6,$D$6)))))))))))))))))</f>
        <v/>
      </c>
      <c r="K142" s="117"/>
      <c r="L142" s="117"/>
      <c r="M142" s="118" t="str">
        <f>IFERROR(K144/K143,"")</f>
        <v/>
      </c>
      <c r="N142" s="93"/>
      <c r="O142" s="115" t="str">
        <f>IF(P141="","","Frasco")</f>
        <v/>
      </c>
      <c r="P142" s="95" t="str">
        <f>IF('Entrada das massas'!N122="","",IF(AND('Entrada das massas'!N122&lt;=$B$20,'Entrada das massas'!N122&gt;$B$19),'Entrada das massas'!N122-((($C$20-$C$19)*($B$20-'Entrada das massas'!N122)+($B$19*$C$20)-($B$20*$C$20))/($B$19-$B$20)),IF(AND('Entrada das massas'!N122&lt;=$B$19,'Entrada das massas'!N122&gt;$B$18),'Entrada das massas'!N122-((($C$19-$C$18)*($B$19-'Entrada das massas'!N122)+($B$18*$C$19)-($B$19*$C$19))/($B$18-$B$19)),IF(AND('Entrada das massas'!N122&lt;=$B$18,'Entrada das massas'!N122&gt;$B$17),'Entrada das massas'!N122-((($C$18-$C$17)*($B$18-'Entrada das massas'!N122)+($B$17*$C$18)-($B$18*$C$18))/($B$17-$B$18)),IF(AND('Entrada das massas'!N122&lt;=$B$17,'Entrada das massas'!N122&gt;$B$16),'Entrada das massas'!N122-((($C$17-$C$16)*($B$17-'Entrada das massas'!N122)+($B$16*$C$17)-($B$17*$C$17))/($B$16-$B$17)),IF(AND('Entrada das massas'!N122&lt;=$B$16,'Entrada das massas'!N122&gt;$B$15),'Entrada das massas'!N122-((($C$16-$C$15)*($B$16-'Entrada das massas'!N122)+($B$15*$C$16)-($B$16*$C$16))/($B$15-$B$16)),IF(AND('Entrada das massas'!N122&lt;=$B$15,'Entrada das massas'!N122&gt;$B$14),'Entrada das massas'!N122-((($C$15-$C$14)*($B$15-'Entrada das massas'!N122)+($B$14*$C$15)-($B$15*$C$15))/($B$14-$B$15)),IF(AND('Entrada das massas'!N122&lt;=$B$14,'Entrada das massas'!N122&gt;$B$13),'Entrada das massas'!N122-((($C$14-$C$13)*($B$14-'Entrada das massas'!N122)+($B$13*$C$14)-($B$14*$C$14))/($B$13-$B$14)),IF(AND('Entrada das massas'!N122&lt;=$B$13,'Entrada das massas'!N122&gt;$B$12),'Entrada das massas'!N122-((($C$13-$C$12)*($B$13-'Entrada das massas'!N122)+($B$12*$C$13)-($B$13*$C$13))/($B$12-$B$13)),IF(AND('Entrada das massas'!N122&lt;=$B$12,'Entrada das massas'!N122&gt;$B$11),'Entrada das massas'!N122-((($C$12-$C$11)*($B$12-'Entrada das massas'!N122)+($B$11*$C$12)-($B$12*$C$12))/($B$11-$B$12)),IF(AND('Entrada das massas'!N122&lt;=$B$11,'Entrada das massas'!N122&gt;$B$10),'Entrada das massas'!N122-((($C$11-$C$10)*($B$11-'Entrada das massas'!N122)+($B$10*$C$11)-($B$11*$C$11))/($B$10-$B$11)),IF(AND('Entrada das massas'!N122&lt;=$B$10,'Entrada das massas'!N122&gt;$B$9),'Entrada das massas'!N122-((($C$10-$C$9)*($B$10-'Entrada das massas'!N122)+($B$9*$C$10)-($B$10*$C$10))/($B$9-$B$10)),IF(AND('Entrada das massas'!N122&lt;=$B$9,'Entrada das massas'!N122&gt;$B$8),'Entrada das massas'!N122-((($C$9-$C$8)*($B$9-'Entrada das massas'!N122)+($B$8*$C$9)-($B$9*$C$9))/($B$8-$B$9)),IF(AND('Entrada das massas'!N122&lt;=$B$8,'Entrada das massas'!N122&gt;$B$7),'Entrada das massas'!N122-((($C$8-$C$7)*($B$8-'Entrada das massas'!N122)+($B$7*$C$8)-($B$8*$C$8))/($B$7-$B$8)),IF(AND('Entrada das massas'!N122&lt;=$B$7,'Entrada das massas'!N122&gt;$B$6),'Entrada das massas'!N122-((($C$7-$C$6)*($B$7-'Entrada das massas'!N122)+($B$6*$C$7)-($B$7*$C$7))/($B$6-$B$7)),IF(AND('Entrada das massas'!N122&lt;=$B$6,'Entrada das massas'!N122&gt;$B$5),'Entrada das massas'!N122-((($C$6-$C$5)*($B$6-'Entrada das massas'!N122)+($B$5*$C$6)-($B$6*$C$6))/($B$5-$B$6)),IF('Entrada das massas'!N122&lt;=$B$5,'Entrada das massas'!N122-$C$5)))))))))))))))))</f>
        <v/>
      </c>
      <c r="Q142" s="117" t="str">
        <f>IF(P142="","",(IF(AND(P142&lt;=$B$20,P142&gt;$B$19),$D$19+($B$19-P142)/($B$19-$B$20)*($D$20-$D$19),IF(AND(P142&lt;=$B$19,P142&gt;$B$18),$D$18+($B$18-P142)/($B$18-$B$19)*($D$19-$D$18),IF(AND(P142&lt;=$B$18,P142&gt;$B$17),$D$17+($B$17-P142)/($B$17-$B$18)*($D$18-$D$17),IF(AND(P142&lt;=$B$17,P142&gt;$B$16),$D$16+($B$16-P142)/($B$16-$B$17)*($D$17-$D$16),IF(AND(P142&lt;=$B$16,P142&gt;$B$15),$D$15+($B$15-P142)/($B$15-$B$16)*($D$16-$D$15),IF(AND(P142&lt;=$B$15,P142&gt;$B$14),$D$14+($B$14-P142)/($B$14-$B$15)*($D$15-$D$14),IF(AND(P142&lt;=$B$14,P142&gt;$B$13),$D$13+($B$13-P142)/($B$13-$B$14)*($D$14-$D$13),IF(AND(P142&lt;=$B$13,P142&gt;$B$12),$D$12+($B$12-P142)/($B$12-$B$13)*($D$13-$D$12),IF(AND(P142&lt;=$B$12,P142&gt;$B$11),$D$11+($B$11-P142)/($B$11-$B$12)*($D$12-$D$11),IF(AND(P142&lt;=$B$11,P142&gt;$B$10),$D$10+($B$10-P142)/($B$10-$B$11)*($D$11-$D$10),IF(AND(P142&lt;=$B$10,P142&gt;$B$9),$D$9+($B$9-P142)/($B$9-$B$10)*($D$10-$D$9),IF(AND(P142&lt;=$B$9,P142&gt;$B$8),$D$8+($B$8-P142)/($B$8-$B$9)*($D$9-$D$8),IF(AND(P142&lt;=$B$8,P142&gt;$B$7),$D$7+($B$7-P142)/($B$7-$B$8)*($D$8-$D$7),IF(AND(P142&lt;=$B$7,P142&gt;$B$6),$D$6+($B$6-P142)/($B$6-$B$7)*($D$7-$D$6),IF(P142&lt;=$B$6,$D$6)))))))))))))))))</f>
        <v/>
      </c>
      <c r="R142" s="117"/>
      <c r="S142" s="117"/>
      <c r="T142" s="118" t="str">
        <f>IFERROR(R144/R143,"")</f>
        <v/>
      </c>
      <c r="U142" s="93"/>
      <c r="V142" s="115" t="str">
        <f>IF(W141="","","Frasco")</f>
        <v/>
      </c>
      <c r="W142" s="95" t="str">
        <f>IF('Entrada das massas'!S122="","",IF(AND('Entrada das massas'!S122&lt;=$B$20,'Entrada das massas'!S122&gt;$B$19),'Entrada das massas'!S122-((($C$20-$C$19)*($B$20-'Entrada das massas'!S122)+($B$19*$C$20)-($B$20*$C$20))/($B$19-$B$20)),IF(AND('Entrada das massas'!S122&lt;=$B$19,'Entrada das massas'!S122&gt;$B$18),'Entrada das massas'!S122-((($C$19-$C$18)*($B$19-'Entrada das massas'!S122)+($B$18*$C$19)-($B$19*$C$19))/($B$18-$B$19)),IF(AND('Entrada das massas'!S122&lt;=$B$18,'Entrada das massas'!S122&gt;$B$17),'Entrada das massas'!S122-((($C$18-$C$17)*($B$18-'Entrada das massas'!S122)+($B$17*$C$18)-($B$18*$C$18))/($B$17-$B$18)),IF(AND('Entrada das massas'!S122&lt;=$B$17,'Entrada das massas'!S122&gt;$B$16),'Entrada das massas'!S122-((($C$17-$C$16)*($B$17-'Entrada das massas'!S122)+($B$16*$C$17)-($B$17*$C$17))/($B$16-$B$17)),IF(AND('Entrada das massas'!S122&lt;=$B$16,'Entrada das massas'!S122&gt;$B$15),'Entrada das massas'!S122-((($C$16-$C$15)*($B$16-'Entrada das massas'!S122)+($B$15*$C$16)-($B$16*$C$16))/($B$15-$B$16)),IF(AND('Entrada das massas'!S122&lt;=$B$15,'Entrada das massas'!S122&gt;$B$14),'Entrada das massas'!S122-((($C$15-$C$14)*($B$15-'Entrada das massas'!S122)+($B$14*$C$15)-($B$15*$C$15))/($B$14-$B$15)),IF(AND('Entrada das massas'!S122&lt;=$B$14,'Entrada das massas'!S122&gt;$B$13),'Entrada das massas'!S122-((($C$14-$C$13)*($B$14-'Entrada das massas'!S122)+($B$13*$C$14)-($B$14*$C$14))/($B$13-$B$14)),IF(AND('Entrada das massas'!S122&lt;=$B$13,'Entrada das massas'!S122&gt;$B$12),'Entrada das massas'!S122-((($C$13-$C$12)*($B$13-'Entrada das massas'!S122)+($B$12*$C$13)-($B$13*$C$13))/($B$12-$B$13)),IF(AND('Entrada das massas'!S122&lt;=$B$12,'Entrada das massas'!S122&gt;$B$11),'Entrada das massas'!S122-((($C$12-$C$11)*($B$12-'Entrada das massas'!S122)+($B$11*$C$12)-($B$12*$C$12))/($B$11-$B$12)),IF(AND('Entrada das massas'!S122&lt;=$B$11,'Entrada das massas'!S122&gt;$B$10),'Entrada das massas'!S122-((($C$11-$C$10)*($B$11-'Entrada das massas'!S122)+($B$10*$C$11)-($B$11*$C$11))/($B$10-$B$11)),IF(AND('Entrada das massas'!S122&lt;=$B$10,'Entrada das massas'!S122&gt;$B$9),'Entrada das massas'!S122-((($C$10-$C$9)*($B$10-'Entrada das massas'!S122)+($B$9*$C$10)-($B$10*$C$10))/($B$9-$B$10)),IF(AND('Entrada das massas'!S122&lt;=$B$9,'Entrada das massas'!S122&gt;$B$8),'Entrada das massas'!S122-((($C$9-$C$8)*($B$9-'Entrada das massas'!S122)+($B$8*$C$9)-($B$9*$C$9))/($B$8-$B$9)),IF(AND('Entrada das massas'!S122&lt;=$B$8,'Entrada das massas'!S122&gt;$B$7),'Entrada das massas'!S122-((($C$8-$C$7)*($B$8-'Entrada das massas'!S122)+($B$7*$C$8)-($B$8*$C$8))/($B$7-$B$8)),IF(AND('Entrada das massas'!S122&lt;=$B$7,'Entrada das massas'!S122&gt;$B$6),'Entrada das massas'!S122-((($C$7-$C$6)*($B$7-'Entrada das massas'!S122)+($B$6*$C$7)-($B$7*$C$7))/($B$6-$B$7)),IF(AND('Entrada das massas'!S122&lt;=$B$6,'Entrada das massas'!S122&gt;$B$5),'Entrada das massas'!S122-((($C$6-$C$5)*($B$6-'Entrada das massas'!S122)+($B$5*$C$6)-($B$6*$C$6))/($B$5-$B$6)),IF('Entrada das massas'!S122&lt;=$B$5,'Entrada das massas'!S122-$C$5)))))))))))))))))</f>
        <v/>
      </c>
      <c r="X142" s="117" t="str">
        <f>IF(W142="","",(IF(AND(W142&lt;=$B$20,W142&gt;$B$19),$D$19+($B$19-W142)/($B$19-$B$20)*($D$20-$D$19),IF(AND(W142&lt;=$B$19,W142&gt;$B$18),$D$18+($B$18-W142)/($B$18-$B$19)*($D$19-$D$18),IF(AND(W142&lt;=$B$18,W142&gt;$B$17),$D$17+($B$17-W142)/($B$17-$B$18)*($D$18-$D$17),IF(AND(W142&lt;=$B$17,W142&gt;$B$16),$D$16+($B$16-W142)/($B$16-$B$17)*($D$17-$D$16),IF(AND(W142&lt;=$B$16,W142&gt;$B$15),$D$15+($B$15-W142)/($B$15-$B$16)*($D$16-$D$15),IF(AND(W142&lt;=$B$15,W142&gt;$B$14),$D$14+($B$14-W142)/($B$14-$B$15)*($D$15-$D$14),IF(AND(W142&lt;=$B$14,W142&gt;$B$13),$D$13+($B$13-W142)/($B$13-$B$14)*($D$14-$D$13),IF(AND(W142&lt;=$B$13,W142&gt;$B$12),$D$12+($B$12-W142)/($B$12-$B$13)*($D$13-$D$12),IF(AND(W142&lt;=$B$12,W142&gt;$B$11),$D$11+($B$11-W142)/($B$11-$B$12)*($D$12-$D$11),IF(AND(W142&lt;=$B$11,W142&gt;$B$10),$D$10+($B$10-W142)/($B$10-$B$11)*($D$11-$D$10),IF(AND(W142&lt;=$B$10,W142&gt;$B$9),$D$9+($B$9-W142)/($B$9-$B$10)*($D$10-$D$9),IF(AND(W142&lt;=$B$9,W142&gt;$B$8),$D$8+($B$8-W142)/($B$8-$B$9)*($D$9-$D$8),IF(AND(W142&lt;=$B$8,W142&gt;$B$7),$D$7+($B$7-W142)/($B$7-$B$8)*($D$8-$D$7),IF(AND(W142&lt;=$B$7,W142&gt;$B$6),$D$6+($B$6-W142)/($B$6-$B$7)*($D$7-$D$6),IF(W142&lt;=$B$6,$D$6)))))))))))))))))</f>
        <v/>
      </c>
      <c r="Y142" s="117"/>
      <c r="Z142" s="117"/>
      <c r="AA142" s="118" t="str">
        <f>IFERROR(Y144/Y143,"")</f>
        <v/>
      </c>
    </row>
    <row r="143" spans="3:27" x14ac:dyDescent="0.2">
      <c r="C143" s="104"/>
      <c r="D143" s="109"/>
      <c r="E143" s="164"/>
      <c r="F143" s="109"/>
      <c r="H143" s="115" t="str">
        <f>IF(I141="","","Frasco + Amostra")</f>
        <v/>
      </c>
      <c r="I143" s="116" t="str">
        <f>IF('Entrada das massas'!I123="","",IF(AND('Entrada das massas'!I123&lt;=$B$20,'Entrada das massas'!I123&gt;$B$19),'Entrada das massas'!I123-((($C$20-$C$19)*($B$20-'Entrada das massas'!I123)+($B$19*$C$20)-($B$20*$C$20))/($B$19-$B$20)),IF(AND('Entrada das massas'!I123&lt;=$B$19,'Entrada das massas'!I123&gt;$B$18),'Entrada das massas'!I123-((($C$19-$C$18)*($B$19-'Entrada das massas'!I123)+($B$18*$C$19)-($B$19*$C$19))/($B$18-$B$19)),IF(AND('Entrada das massas'!I123&lt;=$B$18,'Entrada das massas'!I123&gt;$B$17),'Entrada das massas'!I123-((($C$18-$C$17)*($B$18-'Entrada das massas'!I123)+($B$17*$C$18)-($B$18*$C$18))/($B$17-$B$18)),IF(AND('Entrada das massas'!I123&lt;=$B$17,'Entrada das massas'!I123&gt;$B$16),'Entrada das massas'!I123-((($C$17-$C$16)*($B$17-'Entrada das massas'!I123)+($B$16*$C$17)-($B$17*$C$17))/($B$16-$B$17)),IF(AND('Entrada das massas'!I123&lt;=$B$16,'Entrada das massas'!I123&gt;$B$15),'Entrada das massas'!I123-((($C$16-$C$15)*($B$16-'Entrada das massas'!I123)+($B$15*$C$16)-($B$16*$C$16))/($B$15-$B$16)),IF(AND('Entrada das massas'!I123&lt;=$B$15,'Entrada das massas'!I123&gt;$B$14),'Entrada das massas'!I123-((($C$15-$C$14)*($B$15-'Entrada das massas'!I123)+($B$14*$C$15)-($B$15*$C$15))/($B$14-$B$15)),IF(AND('Entrada das massas'!I123&lt;=$B$14,'Entrada das massas'!I123&gt;$B$13),'Entrada das massas'!I123-((($C$14-$C$13)*($B$14-'Entrada das massas'!I123)+($B$13*$C$14)-($B$14*$C$14))/($B$13-$B$14)),IF(AND('Entrada das massas'!I123&lt;=$B$13,'Entrada das massas'!I123&gt;$B$12),'Entrada das massas'!I123-((($C$13-$C$12)*($B$13-'Entrada das massas'!I123)+($B$12*$C$13)-($B$13*$C$13))/($B$12-$B$13)),IF(AND('Entrada das massas'!I123&lt;=$B$12,'Entrada das massas'!I123&gt;$B$11),'Entrada das massas'!I123-((($C$12-$C$11)*($B$12-'Entrada das massas'!I123)+($B$11*$C$12)-($B$12*$C$12))/($B$11-$B$12)),IF(AND('Entrada das massas'!I123&lt;=$B$11,'Entrada das massas'!I123&gt;$B$10),'Entrada das massas'!I123-((($C$11-$C$10)*($B$11-'Entrada das massas'!I123)+($B$10*$C$11)-($B$11*$C$11))/($B$10-$B$11)),IF(AND('Entrada das massas'!I123&lt;=$B$10,'Entrada das massas'!I123&gt;$B$9),'Entrada das massas'!I123-((($C$10-$C$9)*($B$10-'Entrada das massas'!I123)+($B$9*$C$10)-($B$10*$C$10))/($B$9-$B$10)),IF(AND('Entrada das massas'!I123&lt;=$B$9,'Entrada das massas'!I123&gt;$B$8),'Entrada das massas'!I123-((($C$9-$C$8)*($B$9-'Entrada das massas'!I123)+($B$8*$C$9)-($B$9*$C$9))/($B$8-$B$9)),IF(AND('Entrada das massas'!I123&lt;=$B$8,'Entrada das massas'!I123&gt;$B$7),'Entrada das massas'!I123-((($C$8-$C$7)*($B$8-'Entrada das massas'!I123)+($B$7*$C$8)-($B$8*$C$8))/($B$7-$B$8)),IF(AND('Entrada das massas'!I123&lt;=$B$7,'Entrada das massas'!I123&gt;$B$6),'Entrada das massas'!I123-((($C$7-$C$6)*($B$7-'Entrada das massas'!I123)+($B$6*$C$7)-($B$7*$C$7))/($B$6-$B$7)),IF(AND('Entrada das massas'!I123&lt;=$B$6,'Entrada das massas'!I123&gt;$B$5),'Entrada das massas'!I123-((($C$6-$C$5)*($B$6-'Entrada das massas'!I123)+($B$5*$C$6)-($B$6*$C$6))/($B$5-$B$6)),IF('Entrada das massas'!I123&lt;=$B$5,'Entrada das massas'!I123-$C$5)))))))))))))))))</f>
        <v/>
      </c>
      <c r="J143" s="117" t="str">
        <f t="shared" ref="J143:J144" si="72">IF(I143="","",(IF(AND(I143&lt;=$B$20,I143&gt;$B$19),$D$19+($B$19-I143)/($B$19-$B$20)*($D$20-$D$19),IF(AND(I143&lt;=$B$19,I143&gt;$B$18),$D$18+($B$18-I143)/($B$18-$B$19)*($D$19-$D$18),IF(AND(I143&lt;=$B$18,I143&gt;$B$17),$D$17+($B$17-I143)/($B$17-$B$18)*($D$18-$D$17),IF(AND(I143&lt;=$B$17,I143&gt;$B$16),$D$16+($B$16-I143)/($B$16-$B$17)*($D$17-$D$16),IF(AND(I143&lt;=$B$16,I143&gt;$B$15),$D$15+($B$15-I143)/($B$15-$B$16)*($D$16-$D$15),IF(AND(I143&lt;=$B$15,I143&gt;$B$14),$D$14+($B$14-I143)/($B$14-$B$15)*($D$15-$D$14),IF(AND(I143&lt;=$B$14,I143&gt;$B$13),$D$13+($B$13-I143)/($B$13-$B$14)*($D$14-$D$13),IF(AND(I143&lt;=$B$13,I143&gt;$B$12),$D$12+($B$12-I143)/($B$12-$B$13)*($D$13-$D$12),IF(AND(I143&lt;=$B$12,I143&gt;$B$11),$D$11+($B$11-I143)/($B$11-$B$12)*($D$12-$D$11),IF(AND(I143&lt;=$B$11,I143&gt;$B$10),$D$10+($B$10-I143)/($B$10-$B$11)*($D$11-$D$10),IF(AND(I143&lt;=$B$10,I143&gt;$B$9),$D$9+($B$9-I143)/($B$9-$B$10)*($D$10-$D$9),IF(AND(I143&lt;=$B$9,I143&gt;$B$8),$D$8+($B$8-I143)/($B$8-$B$9)*($D$9-$D$8),IF(AND(I143&lt;=$B$8,I143&gt;$B$7),$D$7+($B$7-I143)/($B$7-$B$8)*($D$8-$D$7),IF(AND(I143&lt;=$B$7,I143&gt;$B$6),$D$6+($B$6-I143)/($B$6-$B$7)*($D$7-$D$6),IF(I143&lt;=$B$6,$D$6)))))))))))))))))</f>
        <v/>
      </c>
      <c r="K143" s="120" t="str">
        <f>IF(I142="","",I143-I142)</f>
        <v/>
      </c>
      <c r="L143" s="117" t="str">
        <f>IF(J142="","",SQRT(SUMSQ(J142:J143)))</f>
        <v/>
      </c>
      <c r="M143" s="93" t="str">
        <f>IF(I141="","","Amostra")</f>
        <v/>
      </c>
      <c r="N143" s="118"/>
      <c r="O143" s="115" t="str">
        <f>IF(P141="","","Frasco + Amostra")</f>
        <v/>
      </c>
      <c r="P143" s="95" t="str">
        <f>IF('Entrada das massas'!N123="","",IF(AND('Entrada das massas'!N123&lt;=$B$20,'Entrada das massas'!N123&gt;$B$19),'Entrada das massas'!N123-((($C$20-$C$19)*($B$20-'Entrada das massas'!N123)+($B$19*$C$20)-($B$20*$C$20))/($B$19-$B$20)),IF(AND('Entrada das massas'!N123&lt;=$B$19,'Entrada das massas'!N123&gt;$B$18),'Entrada das massas'!N123-((($C$19-$C$18)*($B$19-'Entrada das massas'!N123)+($B$18*$C$19)-($B$19*$C$19))/($B$18-$B$19)),IF(AND('Entrada das massas'!N123&lt;=$B$18,'Entrada das massas'!N123&gt;$B$17),'Entrada das massas'!N123-((($C$18-$C$17)*($B$18-'Entrada das massas'!N123)+($B$17*$C$18)-($B$18*$C$18))/($B$17-$B$18)),IF(AND('Entrada das massas'!N123&lt;=$B$17,'Entrada das massas'!N123&gt;$B$16),'Entrada das massas'!N123-((($C$17-$C$16)*($B$17-'Entrada das massas'!N123)+($B$16*$C$17)-($B$17*$C$17))/($B$16-$B$17)),IF(AND('Entrada das massas'!N123&lt;=$B$16,'Entrada das massas'!N123&gt;$B$15),'Entrada das massas'!N123-((($C$16-$C$15)*($B$16-'Entrada das massas'!N123)+($B$15*$C$16)-($B$16*$C$16))/($B$15-$B$16)),IF(AND('Entrada das massas'!N123&lt;=$B$15,'Entrada das massas'!N123&gt;$B$14),'Entrada das massas'!N123-((($C$15-$C$14)*($B$15-'Entrada das massas'!N123)+($B$14*$C$15)-($B$15*$C$15))/($B$14-$B$15)),IF(AND('Entrada das massas'!N123&lt;=$B$14,'Entrada das massas'!N123&gt;$B$13),'Entrada das massas'!N123-((($C$14-$C$13)*($B$14-'Entrada das massas'!N123)+($B$13*$C$14)-($B$14*$C$14))/($B$13-$B$14)),IF(AND('Entrada das massas'!N123&lt;=$B$13,'Entrada das massas'!N123&gt;$B$12),'Entrada das massas'!N123-((($C$13-$C$12)*($B$13-'Entrada das massas'!N123)+($B$12*$C$13)-($B$13*$C$13))/($B$12-$B$13)),IF(AND('Entrada das massas'!N123&lt;=$B$12,'Entrada das massas'!N123&gt;$B$11),'Entrada das massas'!N123-((($C$12-$C$11)*($B$12-'Entrada das massas'!N123)+($B$11*$C$12)-($B$12*$C$12))/($B$11-$B$12)),IF(AND('Entrada das massas'!N123&lt;=$B$11,'Entrada das massas'!N123&gt;$B$10),'Entrada das massas'!N123-((($C$11-$C$10)*($B$11-'Entrada das massas'!N123)+($B$10*$C$11)-($B$11*$C$11))/($B$10-$B$11)),IF(AND('Entrada das massas'!N123&lt;=$B$10,'Entrada das massas'!N123&gt;$B$9),'Entrada das massas'!N123-((($C$10-$C$9)*($B$10-'Entrada das massas'!N123)+($B$9*$C$10)-($B$10*$C$10))/($B$9-$B$10)),IF(AND('Entrada das massas'!N123&lt;=$B$9,'Entrada das massas'!N123&gt;$B$8),'Entrada das massas'!N123-((($C$9-$C$8)*($B$9-'Entrada das massas'!N123)+($B$8*$C$9)-($B$9*$C$9))/($B$8-$B$9)),IF(AND('Entrada das massas'!N123&lt;=$B$8,'Entrada das massas'!N123&gt;$B$7),'Entrada das massas'!N123-((($C$8-$C$7)*($B$8-'Entrada das massas'!N123)+($B$7*$C$8)-($B$8*$C$8))/($B$7-$B$8)),IF(AND('Entrada das massas'!N123&lt;=$B$7,'Entrada das massas'!N123&gt;$B$6),'Entrada das massas'!N123-((($C$7-$C$6)*($B$7-'Entrada das massas'!N123)+($B$6*$C$7)-($B$7*$C$7))/($B$6-$B$7)),IF(AND('Entrada das massas'!N123&lt;=$B$6,'Entrada das massas'!N123&gt;$B$5),'Entrada das massas'!N123-((($C$6-$C$5)*($B$6-'Entrada das massas'!N123)+($B$5*$C$6)-($B$6*$C$6))/($B$5-$B$6)),IF('Entrada das massas'!N123&lt;=$B$5,'Entrada das massas'!N123-$C$5)))))))))))))))))</f>
        <v/>
      </c>
      <c r="Q143" s="117" t="str">
        <f t="shared" ref="Q143:Q144" si="73">IF(P143="","",(IF(AND(P143&lt;=$B$20,P143&gt;$B$19),$D$19+($B$19-P143)/($B$19-$B$20)*($D$20-$D$19),IF(AND(P143&lt;=$B$19,P143&gt;$B$18),$D$18+($B$18-P143)/($B$18-$B$19)*($D$19-$D$18),IF(AND(P143&lt;=$B$18,P143&gt;$B$17),$D$17+($B$17-P143)/($B$17-$B$18)*($D$18-$D$17),IF(AND(P143&lt;=$B$17,P143&gt;$B$16),$D$16+($B$16-P143)/($B$16-$B$17)*($D$17-$D$16),IF(AND(P143&lt;=$B$16,P143&gt;$B$15),$D$15+($B$15-P143)/($B$15-$B$16)*($D$16-$D$15),IF(AND(P143&lt;=$B$15,P143&gt;$B$14),$D$14+($B$14-P143)/($B$14-$B$15)*($D$15-$D$14),IF(AND(P143&lt;=$B$14,P143&gt;$B$13),$D$13+($B$13-P143)/($B$13-$B$14)*($D$14-$D$13),IF(AND(P143&lt;=$B$13,P143&gt;$B$12),$D$12+($B$12-P143)/($B$12-$B$13)*($D$13-$D$12),IF(AND(P143&lt;=$B$12,P143&gt;$B$11),$D$11+($B$11-P143)/($B$11-$B$12)*($D$12-$D$11),IF(AND(P143&lt;=$B$11,P143&gt;$B$10),$D$10+($B$10-P143)/($B$10-$B$11)*($D$11-$D$10),IF(AND(P143&lt;=$B$10,P143&gt;$B$9),$D$9+($B$9-P143)/($B$9-$B$10)*($D$10-$D$9),IF(AND(P143&lt;=$B$9,P143&gt;$B$8),$D$8+($B$8-P143)/($B$8-$B$9)*($D$9-$D$8),IF(AND(P143&lt;=$B$8,P143&gt;$B$7),$D$7+($B$7-P143)/($B$7-$B$8)*($D$8-$D$7),IF(AND(P143&lt;=$B$7,P143&gt;$B$6),$D$6+($B$6-P143)/($B$6-$B$7)*($D$7-$D$6),IF(P143&lt;=$B$6,$D$6)))))))))))))))))</f>
        <v/>
      </c>
      <c r="R143" s="120" t="str">
        <f>IF(P142="","",P143-P142)</f>
        <v/>
      </c>
      <c r="S143" s="117" t="str">
        <f>IF(Q142="","",SQRT(SUMSQ(Q142:Q143)))</f>
        <v/>
      </c>
      <c r="T143" s="93" t="str">
        <f>IF(P141="","","Amostra")</f>
        <v/>
      </c>
      <c r="U143" s="118"/>
      <c r="V143" s="115" t="str">
        <f>IF(W141="","","Frasco + Amostra")</f>
        <v/>
      </c>
      <c r="W143" s="95" t="str">
        <f>IF('Entrada das massas'!S123="","",IF(AND('Entrada das massas'!S123&lt;=$B$20,'Entrada das massas'!S123&gt;$B$19),'Entrada das massas'!S123-((($C$20-$C$19)*($B$20-'Entrada das massas'!S123)+($B$19*$C$20)-($B$20*$C$20))/($B$19-$B$20)),IF(AND('Entrada das massas'!S123&lt;=$B$19,'Entrada das massas'!S123&gt;$B$18),'Entrada das massas'!S123-((($C$19-$C$18)*($B$19-'Entrada das massas'!S123)+($B$18*$C$19)-($B$19*$C$19))/($B$18-$B$19)),IF(AND('Entrada das massas'!S123&lt;=$B$18,'Entrada das massas'!S123&gt;$B$17),'Entrada das massas'!S123-((($C$18-$C$17)*($B$18-'Entrada das massas'!S123)+($B$17*$C$18)-($B$18*$C$18))/($B$17-$B$18)),IF(AND('Entrada das massas'!S123&lt;=$B$17,'Entrada das massas'!S123&gt;$B$16),'Entrada das massas'!S123-((($C$17-$C$16)*($B$17-'Entrada das massas'!S123)+($B$16*$C$17)-($B$17*$C$17))/($B$16-$B$17)),IF(AND('Entrada das massas'!S123&lt;=$B$16,'Entrada das massas'!S123&gt;$B$15),'Entrada das massas'!S123-((($C$16-$C$15)*($B$16-'Entrada das massas'!S123)+($B$15*$C$16)-($B$16*$C$16))/($B$15-$B$16)),IF(AND('Entrada das massas'!S123&lt;=$B$15,'Entrada das massas'!S123&gt;$B$14),'Entrada das massas'!S123-((($C$15-$C$14)*($B$15-'Entrada das massas'!S123)+($B$14*$C$15)-($B$15*$C$15))/($B$14-$B$15)),IF(AND('Entrada das massas'!S123&lt;=$B$14,'Entrada das massas'!S123&gt;$B$13),'Entrada das massas'!S123-((($C$14-$C$13)*($B$14-'Entrada das massas'!S123)+($B$13*$C$14)-($B$14*$C$14))/($B$13-$B$14)),IF(AND('Entrada das massas'!S123&lt;=$B$13,'Entrada das massas'!S123&gt;$B$12),'Entrada das massas'!S123-((($C$13-$C$12)*($B$13-'Entrada das massas'!S123)+($B$12*$C$13)-($B$13*$C$13))/($B$12-$B$13)),IF(AND('Entrada das massas'!S123&lt;=$B$12,'Entrada das massas'!S123&gt;$B$11),'Entrada das massas'!S123-((($C$12-$C$11)*($B$12-'Entrada das massas'!S123)+($B$11*$C$12)-($B$12*$C$12))/($B$11-$B$12)),IF(AND('Entrada das massas'!S123&lt;=$B$11,'Entrada das massas'!S123&gt;$B$10),'Entrada das massas'!S123-((($C$11-$C$10)*($B$11-'Entrada das massas'!S123)+($B$10*$C$11)-($B$11*$C$11))/($B$10-$B$11)),IF(AND('Entrada das massas'!S123&lt;=$B$10,'Entrada das massas'!S123&gt;$B$9),'Entrada das massas'!S123-((($C$10-$C$9)*($B$10-'Entrada das massas'!S123)+($B$9*$C$10)-($B$10*$C$10))/($B$9-$B$10)),IF(AND('Entrada das massas'!S123&lt;=$B$9,'Entrada das massas'!S123&gt;$B$8),'Entrada das massas'!S123-((($C$9-$C$8)*($B$9-'Entrada das massas'!S123)+($B$8*$C$9)-($B$9*$C$9))/($B$8-$B$9)),IF(AND('Entrada das massas'!S123&lt;=$B$8,'Entrada das massas'!S123&gt;$B$7),'Entrada das massas'!S123-((($C$8-$C$7)*($B$8-'Entrada das massas'!S123)+($B$7*$C$8)-($B$8*$C$8))/($B$7-$B$8)),IF(AND('Entrada das massas'!S123&lt;=$B$7,'Entrada das massas'!S123&gt;$B$6),'Entrada das massas'!S123-((($C$7-$C$6)*($B$7-'Entrada das massas'!S123)+($B$6*$C$7)-($B$7*$C$7))/($B$6-$B$7)),IF(AND('Entrada das massas'!S123&lt;=$B$6,'Entrada das massas'!S123&gt;$B$5),'Entrada das massas'!S123-((($C$6-$C$5)*($B$6-'Entrada das massas'!S123)+($B$5*$C$6)-($B$6*$C$6))/($B$5-$B$6)),IF('Entrada das massas'!S123&lt;=$B$5,'Entrada das massas'!S123-$C$5)))))))))))))))))</f>
        <v/>
      </c>
      <c r="X143" s="117" t="str">
        <f t="shared" ref="X143:X144" si="74">IF(W143="","",(IF(AND(W143&lt;=$B$20,W143&gt;$B$19),$D$19+($B$19-W143)/($B$19-$B$20)*($D$20-$D$19),IF(AND(W143&lt;=$B$19,W143&gt;$B$18),$D$18+($B$18-W143)/($B$18-$B$19)*($D$19-$D$18),IF(AND(W143&lt;=$B$18,W143&gt;$B$17),$D$17+($B$17-W143)/($B$17-$B$18)*($D$18-$D$17),IF(AND(W143&lt;=$B$17,W143&gt;$B$16),$D$16+($B$16-W143)/($B$16-$B$17)*($D$17-$D$16),IF(AND(W143&lt;=$B$16,W143&gt;$B$15),$D$15+($B$15-W143)/($B$15-$B$16)*($D$16-$D$15),IF(AND(W143&lt;=$B$15,W143&gt;$B$14),$D$14+($B$14-W143)/($B$14-$B$15)*($D$15-$D$14),IF(AND(W143&lt;=$B$14,W143&gt;$B$13),$D$13+($B$13-W143)/($B$13-$B$14)*($D$14-$D$13),IF(AND(W143&lt;=$B$13,W143&gt;$B$12),$D$12+($B$12-W143)/($B$12-$B$13)*($D$13-$D$12),IF(AND(W143&lt;=$B$12,W143&gt;$B$11),$D$11+($B$11-W143)/($B$11-$B$12)*($D$12-$D$11),IF(AND(W143&lt;=$B$11,W143&gt;$B$10),$D$10+($B$10-W143)/($B$10-$B$11)*($D$11-$D$10),IF(AND(W143&lt;=$B$10,W143&gt;$B$9),$D$9+($B$9-W143)/($B$9-$B$10)*($D$10-$D$9),IF(AND(W143&lt;=$B$9,W143&gt;$B$8),$D$8+($B$8-W143)/($B$8-$B$9)*($D$9-$D$8),IF(AND(W143&lt;=$B$8,W143&gt;$B$7),$D$7+($B$7-W143)/($B$7-$B$8)*($D$8-$D$7),IF(AND(W143&lt;=$B$7,W143&gt;$B$6),$D$6+($B$6-W143)/($B$6-$B$7)*($D$7-$D$6),IF(W143&lt;=$B$6,$D$6)))))))))))))))))</f>
        <v/>
      </c>
      <c r="Y143" s="120" t="str">
        <f>IF(W142="","",W143-W142)</f>
        <v/>
      </c>
      <c r="Z143" s="117" t="str">
        <f>IF(X142="","",SQRT(SUMSQ(X142:X143)))</f>
        <v/>
      </c>
      <c r="AA143" s="93" t="str">
        <f>IF(W141="","","Amostra")</f>
        <v/>
      </c>
    </row>
    <row r="144" spans="3:27" x14ac:dyDescent="0.2">
      <c r="C144" s="104"/>
      <c r="F144" s="104"/>
      <c r="G144" s="143"/>
      <c r="H144" s="123" t="str">
        <f>IF(I141="","","Massa final")</f>
        <v/>
      </c>
      <c r="I144" s="116" t="str">
        <f>IF('Entrada das massas'!I124="","",IF(AND('Entrada das massas'!I124&lt;=$B$20,'Entrada das massas'!I124&gt;$B$19),'Entrada das massas'!I124-((($C$20-$C$19)*($B$20-'Entrada das massas'!I124)+($B$19*$C$20)-($B$20*$C$20))/($B$19-$B$20)),IF(AND('Entrada das massas'!I124&lt;=$B$19,'Entrada das massas'!I124&gt;$B$18),'Entrada das massas'!I124-((($C$19-$C$18)*($B$19-'Entrada das massas'!I124)+($B$18*$C$19)-($B$19*$C$19))/($B$18-$B$19)),IF(AND('Entrada das massas'!I124&lt;=$B$18,'Entrada das massas'!I124&gt;$B$17),'Entrada das massas'!I124-((($C$18-$C$17)*($B$18-'Entrada das massas'!I124)+($B$17*$C$18)-($B$18*$C$18))/($B$17-$B$18)),IF(AND('Entrada das massas'!I124&lt;=$B$17,'Entrada das massas'!I124&gt;$B$16),'Entrada das massas'!I124-((($C$17-$C$16)*($B$17-'Entrada das massas'!I124)+($B$16*$C$17)-($B$17*$C$17))/($B$16-$B$17)),IF(AND('Entrada das massas'!I124&lt;=$B$16,'Entrada das massas'!I124&gt;$B$15),'Entrada das massas'!I124-((($C$16-$C$15)*($B$16-'Entrada das massas'!I124)+($B$15*$C$16)-($B$16*$C$16))/($B$15-$B$16)),IF(AND('Entrada das massas'!I124&lt;=$B$15,'Entrada das massas'!I124&gt;$B$14),'Entrada das massas'!I124-((($C$15-$C$14)*($B$15-'Entrada das massas'!I124)+($B$14*$C$15)-($B$15*$C$15))/($B$14-$B$15)),IF(AND('Entrada das massas'!I124&lt;=$B$14,'Entrada das massas'!I124&gt;$B$13),'Entrada das massas'!I124-((($C$14-$C$13)*($B$14-'Entrada das massas'!I124)+($B$13*$C$14)-($B$14*$C$14))/($B$13-$B$14)),IF(AND('Entrada das massas'!I124&lt;=$B$13,'Entrada das massas'!I124&gt;$B$12),'Entrada das massas'!I124-((($C$13-$C$12)*($B$13-'Entrada das massas'!I124)+($B$12*$C$13)-($B$13*$C$13))/($B$12-$B$13)),IF(AND('Entrada das massas'!I124&lt;=$B$12,'Entrada das massas'!I124&gt;$B$11),'Entrada das massas'!I124-((($C$12-$C$11)*($B$12-'Entrada das massas'!I124)+($B$11*$C$12)-($B$12*$C$12))/($B$11-$B$12)),IF(AND('Entrada das massas'!I124&lt;=$B$11,'Entrada das massas'!I124&gt;$B$10),'Entrada das massas'!I124-((($C$11-$C$10)*($B$11-'Entrada das massas'!I124)+($B$10*$C$11)-($B$11*$C$11))/($B$10-$B$11)),IF(AND('Entrada das massas'!I124&lt;=$B$10,'Entrada das massas'!I124&gt;$B$9),'Entrada das massas'!I124-((($C$10-$C$9)*($B$10-'Entrada das massas'!I124)+($B$9*$C$10)-($B$10*$C$10))/($B$9-$B$10)),IF(AND('Entrada das massas'!I124&lt;=$B$9,'Entrada das massas'!I124&gt;$B$8),'Entrada das massas'!I124-((($C$9-$C$8)*($B$9-'Entrada das massas'!I124)+($B$8*$C$9)-($B$9*$C$9))/($B$8-$B$9)),IF(AND('Entrada das massas'!I124&lt;=$B$8,'Entrada das massas'!I124&gt;$B$7),'Entrada das massas'!I124-((($C$8-$C$7)*($B$8-'Entrada das massas'!I124)+($B$7*$C$8)-($B$8*$C$8))/($B$7-$B$8)),IF(AND('Entrada das massas'!I124&lt;=$B$7,'Entrada das massas'!I124&gt;$B$6),'Entrada das massas'!I124-((($C$7-$C$6)*($B$7-'Entrada das massas'!I124)+($B$6*$C$7)-($B$7*$C$7))/($B$6-$B$7)),IF(AND('Entrada das massas'!I124&lt;=$B$6,'Entrada das massas'!I124&gt;$B$5),'Entrada das massas'!I124-((($C$6-$C$5)*($B$6-'Entrada das massas'!I124)+($B$5*$C$6)-($B$6*$C$6))/($B$5-$B$6)),IF('Entrada das massas'!I124&lt;=$B$5,'Entrada das massas'!I124-$C$5)))))))))))))))))</f>
        <v/>
      </c>
      <c r="J144" s="117" t="str">
        <f t="shared" si="72"/>
        <v/>
      </c>
      <c r="K144" s="120" t="str">
        <f>IF(I142="","",I144-I142)</f>
        <v/>
      </c>
      <c r="L144" s="117" t="str">
        <f>IF(J142="","",SQRT(SUMSQ(J142,J144)))</f>
        <v/>
      </c>
      <c r="M144" s="93" t="str">
        <f>IF(I141="","","Solução")</f>
        <v/>
      </c>
      <c r="N144" s="93"/>
      <c r="O144" s="123" t="str">
        <f>IF(P141="","","Massa final")</f>
        <v/>
      </c>
      <c r="P144" s="95" t="str">
        <f>IF('Entrada das massas'!N124="","",IF(AND('Entrada das massas'!N124&lt;=$B$20,'Entrada das massas'!N124&gt;$B$19),'Entrada das massas'!N124-((($C$20-$C$19)*($B$20-'Entrada das massas'!N124)+($B$19*$C$20)-($B$20*$C$20))/($B$19-$B$20)),IF(AND('Entrada das massas'!N124&lt;=$B$19,'Entrada das massas'!N124&gt;$B$18),'Entrada das massas'!N124-((($C$19-$C$18)*($B$19-'Entrada das massas'!N124)+($B$18*$C$19)-($B$19*$C$19))/($B$18-$B$19)),IF(AND('Entrada das massas'!N124&lt;=$B$18,'Entrada das massas'!N124&gt;$B$17),'Entrada das massas'!N124-((($C$18-$C$17)*($B$18-'Entrada das massas'!N124)+($B$17*$C$18)-($B$18*$C$18))/($B$17-$B$18)),IF(AND('Entrada das massas'!N124&lt;=$B$17,'Entrada das massas'!N124&gt;$B$16),'Entrada das massas'!N124-((($C$17-$C$16)*($B$17-'Entrada das massas'!N124)+($B$16*$C$17)-($B$17*$C$17))/($B$16-$B$17)),IF(AND('Entrada das massas'!N124&lt;=$B$16,'Entrada das massas'!N124&gt;$B$15),'Entrada das massas'!N124-((($C$16-$C$15)*($B$16-'Entrada das massas'!N124)+($B$15*$C$16)-($B$16*$C$16))/($B$15-$B$16)),IF(AND('Entrada das massas'!N124&lt;=$B$15,'Entrada das massas'!N124&gt;$B$14),'Entrada das massas'!N124-((($C$15-$C$14)*($B$15-'Entrada das massas'!N124)+($B$14*$C$15)-($B$15*$C$15))/($B$14-$B$15)),IF(AND('Entrada das massas'!N124&lt;=$B$14,'Entrada das massas'!N124&gt;$B$13),'Entrada das massas'!N124-((($C$14-$C$13)*($B$14-'Entrada das massas'!N124)+($B$13*$C$14)-($B$14*$C$14))/($B$13-$B$14)),IF(AND('Entrada das massas'!N124&lt;=$B$13,'Entrada das massas'!N124&gt;$B$12),'Entrada das massas'!N124-((($C$13-$C$12)*($B$13-'Entrada das massas'!N124)+($B$12*$C$13)-($B$13*$C$13))/($B$12-$B$13)),IF(AND('Entrada das massas'!N124&lt;=$B$12,'Entrada das massas'!N124&gt;$B$11),'Entrada das massas'!N124-((($C$12-$C$11)*($B$12-'Entrada das massas'!N124)+($B$11*$C$12)-($B$12*$C$12))/($B$11-$B$12)),IF(AND('Entrada das massas'!N124&lt;=$B$11,'Entrada das massas'!N124&gt;$B$10),'Entrada das massas'!N124-((($C$11-$C$10)*($B$11-'Entrada das massas'!N124)+($B$10*$C$11)-($B$11*$C$11))/($B$10-$B$11)),IF(AND('Entrada das massas'!N124&lt;=$B$10,'Entrada das massas'!N124&gt;$B$9),'Entrada das massas'!N124-((($C$10-$C$9)*($B$10-'Entrada das massas'!N124)+($B$9*$C$10)-($B$10*$C$10))/($B$9-$B$10)),IF(AND('Entrada das massas'!N124&lt;=$B$9,'Entrada das massas'!N124&gt;$B$8),'Entrada das massas'!N124-((($C$9-$C$8)*($B$9-'Entrada das massas'!N124)+($B$8*$C$9)-($B$9*$C$9))/($B$8-$B$9)),IF(AND('Entrada das massas'!N124&lt;=$B$8,'Entrada das massas'!N124&gt;$B$7),'Entrada das massas'!N124-((($C$8-$C$7)*($B$8-'Entrada das massas'!N124)+($B$7*$C$8)-($B$8*$C$8))/($B$7-$B$8)),IF(AND('Entrada das massas'!N124&lt;=$B$7,'Entrada das massas'!N124&gt;$B$6),'Entrada das massas'!N124-((($C$7-$C$6)*($B$7-'Entrada das massas'!N124)+($B$6*$C$7)-($B$7*$C$7))/($B$6-$B$7)),IF(AND('Entrada das massas'!N124&lt;=$B$6,'Entrada das massas'!N124&gt;$B$5),'Entrada das massas'!N124-((($C$6-$C$5)*($B$6-'Entrada das massas'!N124)+($B$5*$C$6)-($B$6*$C$6))/($B$5-$B$6)),IF('Entrada das massas'!N124&lt;=$B$5,'Entrada das massas'!N124-$C$5)))))))))))))))))</f>
        <v/>
      </c>
      <c r="Q144" s="117" t="str">
        <f t="shared" si="73"/>
        <v/>
      </c>
      <c r="R144" s="120" t="str">
        <f>IF(P142="","",P144-P142)</f>
        <v/>
      </c>
      <c r="S144" s="117" t="str">
        <f>IF(Q142="","",SQRT(SUMSQ(Q142,Q144)))</f>
        <v/>
      </c>
      <c r="T144" s="93" t="str">
        <f>IF(P141="","","Solução")</f>
        <v/>
      </c>
      <c r="U144" s="93"/>
      <c r="V144" s="123" t="str">
        <f>IF(W141="","","Massa final")</f>
        <v/>
      </c>
      <c r="W144" s="95" t="str">
        <f>IF('Entrada das massas'!S124="","",IF(AND('Entrada das massas'!S124&lt;=$B$20,'Entrada das massas'!S124&gt;$B$19),'Entrada das massas'!S124-((($C$20-$C$19)*($B$20-'Entrada das massas'!S124)+($B$19*$C$20)-($B$20*$C$20))/($B$19-$B$20)),IF(AND('Entrada das massas'!S124&lt;=$B$19,'Entrada das massas'!S124&gt;$B$18),'Entrada das massas'!S124-((($C$19-$C$18)*($B$19-'Entrada das massas'!S124)+($B$18*$C$19)-($B$19*$C$19))/($B$18-$B$19)),IF(AND('Entrada das massas'!S124&lt;=$B$18,'Entrada das massas'!S124&gt;$B$17),'Entrada das massas'!S124-((($C$18-$C$17)*($B$18-'Entrada das massas'!S124)+($B$17*$C$18)-($B$18*$C$18))/($B$17-$B$18)),IF(AND('Entrada das massas'!S124&lt;=$B$17,'Entrada das massas'!S124&gt;$B$16),'Entrada das massas'!S124-((($C$17-$C$16)*($B$17-'Entrada das massas'!S124)+($B$16*$C$17)-($B$17*$C$17))/($B$16-$B$17)),IF(AND('Entrada das massas'!S124&lt;=$B$16,'Entrada das massas'!S124&gt;$B$15),'Entrada das massas'!S124-((($C$16-$C$15)*($B$16-'Entrada das massas'!S124)+($B$15*$C$16)-($B$16*$C$16))/($B$15-$B$16)),IF(AND('Entrada das massas'!S124&lt;=$B$15,'Entrada das massas'!S124&gt;$B$14),'Entrada das massas'!S124-((($C$15-$C$14)*($B$15-'Entrada das massas'!S124)+($B$14*$C$15)-($B$15*$C$15))/($B$14-$B$15)),IF(AND('Entrada das massas'!S124&lt;=$B$14,'Entrada das massas'!S124&gt;$B$13),'Entrada das massas'!S124-((($C$14-$C$13)*($B$14-'Entrada das massas'!S124)+($B$13*$C$14)-($B$14*$C$14))/($B$13-$B$14)),IF(AND('Entrada das massas'!S124&lt;=$B$13,'Entrada das massas'!S124&gt;$B$12),'Entrada das massas'!S124-((($C$13-$C$12)*($B$13-'Entrada das massas'!S124)+($B$12*$C$13)-($B$13*$C$13))/($B$12-$B$13)),IF(AND('Entrada das massas'!S124&lt;=$B$12,'Entrada das massas'!S124&gt;$B$11),'Entrada das massas'!S124-((($C$12-$C$11)*($B$12-'Entrada das massas'!S124)+($B$11*$C$12)-($B$12*$C$12))/($B$11-$B$12)),IF(AND('Entrada das massas'!S124&lt;=$B$11,'Entrada das massas'!S124&gt;$B$10),'Entrada das massas'!S124-((($C$11-$C$10)*($B$11-'Entrada das massas'!S124)+($B$10*$C$11)-($B$11*$C$11))/($B$10-$B$11)),IF(AND('Entrada das massas'!S124&lt;=$B$10,'Entrada das massas'!S124&gt;$B$9),'Entrada das massas'!S124-((($C$10-$C$9)*($B$10-'Entrada das massas'!S124)+($B$9*$C$10)-($B$10*$C$10))/($B$9-$B$10)),IF(AND('Entrada das massas'!S124&lt;=$B$9,'Entrada das massas'!S124&gt;$B$8),'Entrada das massas'!S124-((($C$9-$C$8)*($B$9-'Entrada das massas'!S124)+($B$8*$C$9)-($B$9*$C$9))/($B$8-$B$9)),IF(AND('Entrada das massas'!S124&lt;=$B$8,'Entrada das massas'!S124&gt;$B$7),'Entrada das massas'!S124-((($C$8-$C$7)*($B$8-'Entrada das massas'!S124)+($B$7*$C$8)-($B$8*$C$8))/($B$7-$B$8)),IF(AND('Entrada das massas'!S124&lt;=$B$7,'Entrada das massas'!S124&gt;$B$6),'Entrada das massas'!S124-((($C$7-$C$6)*($B$7-'Entrada das massas'!S124)+($B$6*$C$7)-($B$7*$C$7))/($B$6-$B$7)),IF(AND('Entrada das massas'!S124&lt;=$B$6,'Entrada das massas'!S124&gt;$B$5),'Entrada das massas'!S124-((($C$6-$C$5)*($B$6-'Entrada das massas'!S124)+($B$5*$C$6)-($B$6*$C$6))/($B$5-$B$6)),IF('Entrada das massas'!S124&lt;=$B$5,'Entrada das massas'!S124-$C$5)))))))))))))))))</f>
        <v/>
      </c>
      <c r="X144" s="117" t="str">
        <f t="shared" si="74"/>
        <v/>
      </c>
      <c r="Y144" s="120" t="str">
        <f>IF(W142="","",W144-W142)</f>
        <v/>
      </c>
      <c r="Z144" s="117" t="str">
        <f>IF(X142="","",SQRT(SUMSQ(X142,X144)))</f>
        <v/>
      </c>
      <c r="AA144" s="93" t="str">
        <f>IF(W141="","","Solução")</f>
        <v/>
      </c>
    </row>
    <row r="145" spans="3:27" x14ac:dyDescent="0.2">
      <c r="C145" s="104"/>
      <c r="D145" s="143"/>
      <c r="F145" s="104"/>
      <c r="G145" s="109"/>
      <c r="H145" s="98"/>
      <c r="I145" s="93"/>
      <c r="J145" s="144"/>
      <c r="K145" s="139"/>
      <c r="L145" s="139"/>
      <c r="M145" s="98"/>
      <c r="N145" s="98"/>
      <c r="O145" s="98"/>
      <c r="P145" s="93"/>
      <c r="Q145" s="120"/>
      <c r="R145" s="120"/>
      <c r="S145" s="120"/>
      <c r="T145" s="98"/>
      <c r="U145" s="98"/>
      <c r="V145" s="98"/>
      <c r="W145" s="93"/>
      <c r="X145" s="120"/>
      <c r="Y145" s="120"/>
      <c r="Z145" s="120"/>
      <c r="AA145" s="98"/>
    </row>
    <row r="146" spans="3:27" x14ac:dyDescent="0.2">
      <c r="C146" s="109"/>
      <c r="D146" s="109"/>
      <c r="F146" s="104"/>
      <c r="G146" s="109"/>
      <c r="H146" s="126" t="str">
        <f>IF(I141="","","Amostra")</f>
        <v/>
      </c>
      <c r="I146" s="127" t="str">
        <f>IF('Entrada das massas'!I126="","",'Entrada das massas'!I126)</f>
        <v/>
      </c>
      <c r="J146" s="120" t="str">
        <f>IF(I146="","","uc(g)")</f>
        <v/>
      </c>
      <c r="K146" s="120" t="str">
        <f>IF(J146="","","Massa (g)")</f>
        <v/>
      </c>
      <c r="L146" s="120" t="str">
        <f>IF(K146="","","ucomb (g)")</f>
        <v/>
      </c>
      <c r="M146" s="98" t="str">
        <f>IF(I146="","","Fdiluição")</f>
        <v/>
      </c>
      <c r="N146" s="98"/>
      <c r="O146" s="126" t="str">
        <f>IF(M147="","","Amostra")</f>
        <v/>
      </c>
      <c r="P146" s="127" t="str">
        <f>IF('Entrada das massas'!N126="","",'Entrada das massas'!N126)</f>
        <v/>
      </c>
      <c r="Q146" s="120" t="str">
        <f>IF(P146="","","uc(g)")</f>
        <v/>
      </c>
      <c r="R146" s="120" t="str">
        <f>IF(Q146="","","Massa (g)")</f>
        <v/>
      </c>
      <c r="S146" s="120" t="str">
        <f>IF(R146="","","ucomb (g)")</f>
        <v/>
      </c>
      <c r="T146" s="98" t="str">
        <f>IF(P146="","","Fdiluição")</f>
        <v/>
      </c>
      <c r="U146" s="98"/>
      <c r="V146" s="126" t="str">
        <f>IF(T147="","","Amostra")</f>
        <v/>
      </c>
      <c r="W146" s="127" t="str">
        <f>IF('Entrada das massas'!S126="","",'Entrada das massas'!S126)</f>
        <v/>
      </c>
      <c r="X146" s="120" t="str">
        <f>IF(W146="","","uc(g)")</f>
        <v/>
      </c>
      <c r="Y146" s="120" t="str">
        <f>IF(X146="","","Massa (g)")</f>
        <v/>
      </c>
      <c r="Z146" s="120" t="str">
        <f>IF(Y146="","","ucomb (g)")</f>
        <v/>
      </c>
      <c r="AA146" s="98" t="str">
        <f>IF(W146="","","Fdiluição")</f>
        <v/>
      </c>
    </row>
    <row r="147" spans="3:27" x14ac:dyDescent="0.2">
      <c r="C147" s="104"/>
      <c r="D147" s="109"/>
      <c r="E147" s="163"/>
      <c r="F147" s="104"/>
      <c r="G147" s="109"/>
      <c r="H147" s="115" t="str">
        <f>IF(I146="","","Frasco")</f>
        <v/>
      </c>
      <c r="I147" s="116" t="str">
        <f>IF('Entrada das massas'!I127="","",IF(AND('Entrada das massas'!I127&lt;=$B$20,'Entrada das massas'!I127&gt;$B$19),'Entrada das massas'!I127-((($C$20-$C$19)*($B$20-'Entrada das massas'!I127)+($B$19*$C$20)-($B$20*$C$20))/($B$19-$B$20)),IF(AND('Entrada das massas'!I127&lt;=$B$19,'Entrada das massas'!I127&gt;$B$18),'Entrada das massas'!I127-((($C$19-$C$18)*($B$19-'Entrada das massas'!I127)+($B$18*$C$19)-($B$19*$C$19))/($B$18-$B$19)),IF(AND('Entrada das massas'!I127&lt;=$B$18,'Entrada das massas'!I127&gt;$B$17),'Entrada das massas'!I127-((($C$18-$C$17)*($B$18-'Entrada das massas'!I127)+($B$17*$C$18)-($B$18*$C$18))/($B$17-$B$18)),IF(AND('Entrada das massas'!I127&lt;=$B$17,'Entrada das massas'!I127&gt;$B$16),'Entrada das massas'!I127-((($C$17-$C$16)*($B$17-'Entrada das massas'!I127)+($B$16*$C$17)-($B$17*$C$17))/($B$16-$B$17)),IF(AND('Entrada das massas'!I127&lt;=$B$16,'Entrada das massas'!I127&gt;$B$15),'Entrada das massas'!I127-((($C$16-$C$15)*($B$16-'Entrada das massas'!I127)+($B$15*$C$16)-($B$16*$C$16))/($B$15-$B$16)),IF(AND('Entrada das massas'!I127&lt;=$B$15,'Entrada das massas'!I127&gt;$B$14),'Entrada das massas'!I127-((($C$15-$C$14)*($B$15-'Entrada das massas'!I127)+($B$14*$C$15)-($B$15*$C$15))/($B$14-$B$15)),IF(AND('Entrada das massas'!I127&lt;=$B$14,'Entrada das massas'!I127&gt;$B$13),'Entrada das massas'!I127-((($C$14-$C$13)*($B$14-'Entrada das massas'!I127)+($B$13*$C$14)-($B$14*$C$14))/($B$13-$B$14)),IF(AND('Entrada das massas'!I127&lt;=$B$13,'Entrada das massas'!I127&gt;$B$12),'Entrada das massas'!I127-((($C$13-$C$12)*($B$13-'Entrada das massas'!I127)+($B$12*$C$13)-($B$13*$C$13))/($B$12-$B$13)),IF(AND('Entrada das massas'!I127&lt;=$B$12,'Entrada das massas'!I127&gt;$B$11),'Entrada das massas'!I127-((($C$12-$C$11)*($B$12-'Entrada das massas'!I127)+($B$11*$C$12)-($B$12*$C$12))/($B$11-$B$12)),IF(AND('Entrada das massas'!I127&lt;=$B$11,'Entrada das massas'!I127&gt;$B$10),'Entrada das massas'!I127-((($C$11-$C$10)*($B$11-'Entrada das massas'!I127)+($B$10*$C$11)-($B$11*$C$11))/($B$10-$B$11)),IF(AND('Entrada das massas'!I127&lt;=$B$10,'Entrada das massas'!I127&gt;$B$9),'Entrada das massas'!I127-((($C$10-$C$9)*($B$10-'Entrada das massas'!I127)+($B$9*$C$10)-($B$10*$C$10))/($B$9-$B$10)),IF(AND('Entrada das massas'!I127&lt;=$B$9,'Entrada das massas'!I127&gt;$B$8),'Entrada das massas'!I127-((($C$9-$C$8)*($B$9-'Entrada das massas'!I127)+($B$8*$C$9)-($B$9*$C$9))/($B$8-$B$9)),IF(AND('Entrada das massas'!I127&lt;=$B$8,'Entrada das massas'!I127&gt;$B$7),'Entrada das massas'!I127-((($C$8-$C$7)*($B$8-'Entrada das massas'!I127)+($B$7*$C$8)-($B$8*$C$8))/($B$7-$B$8)),IF(AND('Entrada das massas'!I127&lt;=$B$7,'Entrada das massas'!I127&gt;$B$6),'Entrada das massas'!I127-((($C$7-$C$6)*($B$7-'Entrada das massas'!I127)+($B$6*$C$7)-($B$7*$C$7))/($B$6-$B$7)),IF(AND('Entrada das massas'!I127&lt;=$B$6,'Entrada das massas'!I127&gt;$B$5),'Entrada das massas'!I127-((($C$6-$C$5)*($B$6-'Entrada das massas'!I127)+($B$5*$C$6)-($B$6*$C$6))/($B$5-$B$6)),IF('Entrada das massas'!I127&lt;=$B$5,'Entrada das massas'!I127-$C$5)))))))))))))))))</f>
        <v/>
      </c>
      <c r="J147" s="117" t="str">
        <f>IF(I147="","",(IF(AND(I147&lt;=$B$20,I147&gt;$B$19),$D$19+($B$19-I147)/($B$19-$B$20)*($D$20-$D$19),IF(AND(I147&lt;=$B$19,I147&gt;$B$18),$D$18+($B$18-I147)/($B$18-$B$19)*($D$19-$D$18),IF(AND(I147&lt;=$B$18,I147&gt;$B$17),$D$17+($B$17-I147)/($B$17-$B$18)*($D$18-$D$17),IF(AND(I147&lt;=$B$17,I147&gt;$B$16),$D$16+($B$16-I147)/($B$16-$B$17)*($D$17-$D$16),IF(AND(I147&lt;=$B$16,I147&gt;$B$15),$D$15+($B$15-I147)/($B$15-$B$16)*($D$16-$D$15),IF(AND(I147&lt;=$B$15,I147&gt;$B$14),$D$14+($B$14-I147)/($B$14-$B$15)*($D$15-$D$14),IF(AND(I147&lt;=$B$14,I147&gt;$B$13),$D$13+($B$13-I147)/($B$13-$B$14)*($D$14-$D$13),IF(AND(I147&lt;=$B$13,I147&gt;$B$12),$D$12+($B$12-I147)/($B$12-$B$13)*($D$13-$D$12),IF(AND(I147&lt;=$B$12,I147&gt;$B$11),$D$11+($B$11-I147)/($B$11-$B$12)*($D$12-$D$11),IF(AND(I147&lt;=$B$11,I147&gt;$B$10),$D$10+($B$10-I147)/($B$10-$B$11)*($D$11-$D$10),IF(AND(I147&lt;=$B$10,I147&gt;$B$9),$D$9+($B$9-I147)/($B$9-$B$10)*($D$10-$D$9),IF(AND(I147&lt;=$B$9,I147&gt;$B$8),$D$8+($B$8-I147)/($B$8-$B$9)*($D$9-$D$8),IF(AND(I147&lt;=$B$8,I147&gt;$B$7),$D$7+($B$7-I147)/($B$7-$B$8)*($D$8-$D$7),IF(AND(I147&lt;=$B$7,I147&gt;$B$6),$D$6+($B$6-I147)/($B$6-$B$7)*($D$7-$D$6),IF(I147&lt;=$B$6,$D$6)))))))))))))))))</f>
        <v/>
      </c>
      <c r="K147" s="117"/>
      <c r="L147" s="117"/>
      <c r="M147" s="118" t="str">
        <f>IFERROR(K149/K148,"")</f>
        <v/>
      </c>
      <c r="N147" s="93"/>
      <c r="O147" s="115" t="str">
        <f>IF(P146="","","Frasco")</f>
        <v/>
      </c>
      <c r="P147" s="95" t="str">
        <f>IF('Entrada das massas'!N127="","",IF(AND('Entrada das massas'!N127&lt;=$B$20,'Entrada das massas'!N127&gt;$B$19),'Entrada das massas'!N127-((($C$20-$C$19)*($B$20-'Entrada das massas'!N127)+($B$19*$C$20)-($B$20*$C$20))/($B$19-$B$20)),IF(AND('Entrada das massas'!N127&lt;=$B$19,'Entrada das massas'!N127&gt;$B$18),'Entrada das massas'!N127-((($C$19-$C$18)*($B$19-'Entrada das massas'!N127)+($B$18*$C$19)-($B$19*$C$19))/($B$18-$B$19)),IF(AND('Entrada das massas'!N127&lt;=$B$18,'Entrada das massas'!N127&gt;$B$17),'Entrada das massas'!N127-((($C$18-$C$17)*($B$18-'Entrada das massas'!N127)+($B$17*$C$18)-($B$18*$C$18))/($B$17-$B$18)),IF(AND('Entrada das massas'!N127&lt;=$B$17,'Entrada das massas'!N127&gt;$B$16),'Entrada das massas'!N127-((($C$17-$C$16)*($B$17-'Entrada das massas'!N127)+($B$16*$C$17)-($B$17*$C$17))/($B$16-$B$17)),IF(AND('Entrada das massas'!N127&lt;=$B$16,'Entrada das massas'!N127&gt;$B$15),'Entrada das massas'!N127-((($C$16-$C$15)*($B$16-'Entrada das massas'!N127)+($B$15*$C$16)-($B$16*$C$16))/($B$15-$B$16)),IF(AND('Entrada das massas'!N127&lt;=$B$15,'Entrada das massas'!N127&gt;$B$14),'Entrada das massas'!N127-((($C$15-$C$14)*($B$15-'Entrada das massas'!N127)+($B$14*$C$15)-($B$15*$C$15))/($B$14-$B$15)),IF(AND('Entrada das massas'!N127&lt;=$B$14,'Entrada das massas'!N127&gt;$B$13),'Entrada das massas'!N127-((($C$14-$C$13)*($B$14-'Entrada das massas'!N127)+($B$13*$C$14)-($B$14*$C$14))/($B$13-$B$14)),IF(AND('Entrada das massas'!N127&lt;=$B$13,'Entrada das massas'!N127&gt;$B$12),'Entrada das massas'!N127-((($C$13-$C$12)*($B$13-'Entrada das massas'!N127)+($B$12*$C$13)-($B$13*$C$13))/($B$12-$B$13)),IF(AND('Entrada das massas'!N127&lt;=$B$12,'Entrada das massas'!N127&gt;$B$11),'Entrada das massas'!N127-((($C$12-$C$11)*($B$12-'Entrada das massas'!N127)+($B$11*$C$12)-($B$12*$C$12))/($B$11-$B$12)),IF(AND('Entrada das massas'!N127&lt;=$B$11,'Entrada das massas'!N127&gt;$B$10),'Entrada das massas'!N127-((($C$11-$C$10)*($B$11-'Entrada das massas'!N127)+($B$10*$C$11)-($B$11*$C$11))/($B$10-$B$11)),IF(AND('Entrada das massas'!N127&lt;=$B$10,'Entrada das massas'!N127&gt;$B$9),'Entrada das massas'!N127-((($C$10-$C$9)*($B$10-'Entrada das massas'!N127)+($B$9*$C$10)-($B$10*$C$10))/($B$9-$B$10)),IF(AND('Entrada das massas'!N127&lt;=$B$9,'Entrada das massas'!N127&gt;$B$8),'Entrada das massas'!N127-((($C$9-$C$8)*($B$9-'Entrada das massas'!N127)+($B$8*$C$9)-($B$9*$C$9))/($B$8-$B$9)),IF(AND('Entrada das massas'!N127&lt;=$B$8,'Entrada das massas'!N127&gt;$B$7),'Entrada das massas'!N127-((($C$8-$C$7)*($B$8-'Entrada das massas'!N127)+($B$7*$C$8)-($B$8*$C$8))/($B$7-$B$8)),IF(AND('Entrada das massas'!N127&lt;=$B$7,'Entrada das massas'!N127&gt;$B$6),'Entrada das massas'!N127-((($C$7-$C$6)*($B$7-'Entrada das massas'!N127)+($B$6*$C$7)-($B$7*$C$7))/($B$6-$B$7)),IF(AND('Entrada das massas'!N127&lt;=$B$6,'Entrada das massas'!N127&gt;$B$5),'Entrada das massas'!N127-((($C$6-$C$5)*($B$6-'Entrada das massas'!N127)+($B$5*$C$6)-($B$6*$C$6))/($B$5-$B$6)),IF('Entrada das massas'!N127&lt;=$B$5,'Entrada das massas'!N127-$C$5)))))))))))))))))</f>
        <v/>
      </c>
      <c r="Q147" s="117" t="str">
        <f>IF(P147="","",(IF(AND(P147&lt;=$B$20,P147&gt;$B$19),$D$19+($B$19-P147)/($B$19-$B$20)*($D$20-$D$19),IF(AND(P147&lt;=$B$19,P147&gt;$B$18),$D$18+($B$18-P147)/($B$18-$B$19)*($D$19-$D$18),IF(AND(P147&lt;=$B$18,P147&gt;$B$17),$D$17+($B$17-P147)/($B$17-$B$18)*($D$18-$D$17),IF(AND(P147&lt;=$B$17,P147&gt;$B$16),$D$16+($B$16-P147)/($B$16-$B$17)*($D$17-$D$16),IF(AND(P147&lt;=$B$16,P147&gt;$B$15),$D$15+($B$15-P147)/($B$15-$B$16)*($D$16-$D$15),IF(AND(P147&lt;=$B$15,P147&gt;$B$14),$D$14+($B$14-P147)/($B$14-$B$15)*($D$15-$D$14),IF(AND(P147&lt;=$B$14,P147&gt;$B$13),$D$13+($B$13-P147)/($B$13-$B$14)*($D$14-$D$13),IF(AND(P147&lt;=$B$13,P147&gt;$B$12),$D$12+($B$12-P147)/($B$12-$B$13)*($D$13-$D$12),IF(AND(P147&lt;=$B$12,P147&gt;$B$11),$D$11+($B$11-P147)/($B$11-$B$12)*($D$12-$D$11),IF(AND(P147&lt;=$B$11,P147&gt;$B$10),$D$10+($B$10-P147)/($B$10-$B$11)*($D$11-$D$10),IF(AND(P147&lt;=$B$10,P147&gt;$B$9),$D$9+($B$9-P147)/($B$9-$B$10)*($D$10-$D$9),IF(AND(P147&lt;=$B$9,P147&gt;$B$8),$D$8+($B$8-P147)/($B$8-$B$9)*($D$9-$D$8),IF(AND(P147&lt;=$B$8,P147&gt;$B$7),$D$7+($B$7-P147)/($B$7-$B$8)*($D$8-$D$7),IF(AND(P147&lt;=$B$7,P147&gt;$B$6),$D$6+($B$6-P147)/($B$6-$B$7)*($D$7-$D$6),IF(P147&lt;=$B$6,$D$6)))))))))))))))))</f>
        <v/>
      </c>
      <c r="R147" s="117"/>
      <c r="S147" s="117"/>
      <c r="T147" s="118" t="str">
        <f>IFERROR(R149/R148,"")</f>
        <v/>
      </c>
      <c r="U147" s="93"/>
      <c r="V147" s="115" t="str">
        <f>IF(W146="","","Frasco")</f>
        <v/>
      </c>
      <c r="W147" s="95" t="str">
        <f>IF('Entrada das massas'!S127="","",IF(AND('Entrada das massas'!S127&lt;=$B$20,'Entrada das massas'!S127&gt;$B$19),'Entrada das massas'!S127-((($C$20-$C$19)*($B$20-'Entrada das massas'!S127)+($B$19*$C$20)-($B$20*$C$20))/($B$19-$B$20)),IF(AND('Entrada das massas'!S127&lt;=$B$19,'Entrada das massas'!S127&gt;$B$18),'Entrada das massas'!S127-((($C$19-$C$18)*($B$19-'Entrada das massas'!S127)+($B$18*$C$19)-($B$19*$C$19))/($B$18-$B$19)),IF(AND('Entrada das massas'!S127&lt;=$B$18,'Entrada das massas'!S127&gt;$B$17),'Entrada das massas'!S127-((($C$18-$C$17)*($B$18-'Entrada das massas'!S127)+($B$17*$C$18)-($B$18*$C$18))/($B$17-$B$18)),IF(AND('Entrada das massas'!S127&lt;=$B$17,'Entrada das massas'!S127&gt;$B$16),'Entrada das massas'!S127-((($C$17-$C$16)*($B$17-'Entrada das massas'!S127)+($B$16*$C$17)-($B$17*$C$17))/($B$16-$B$17)),IF(AND('Entrada das massas'!S127&lt;=$B$16,'Entrada das massas'!S127&gt;$B$15),'Entrada das massas'!S127-((($C$16-$C$15)*($B$16-'Entrada das massas'!S127)+($B$15*$C$16)-($B$16*$C$16))/($B$15-$B$16)),IF(AND('Entrada das massas'!S127&lt;=$B$15,'Entrada das massas'!S127&gt;$B$14),'Entrada das massas'!S127-((($C$15-$C$14)*($B$15-'Entrada das massas'!S127)+($B$14*$C$15)-($B$15*$C$15))/($B$14-$B$15)),IF(AND('Entrada das massas'!S127&lt;=$B$14,'Entrada das massas'!S127&gt;$B$13),'Entrada das massas'!S127-((($C$14-$C$13)*($B$14-'Entrada das massas'!S127)+($B$13*$C$14)-($B$14*$C$14))/($B$13-$B$14)),IF(AND('Entrada das massas'!S127&lt;=$B$13,'Entrada das massas'!S127&gt;$B$12),'Entrada das massas'!S127-((($C$13-$C$12)*($B$13-'Entrada das massas'!S127)+($B$12*$C$13)-($B$13*$C$13))/($B$12-$B$13)),IF(AND('Entrada das massas'!S127&lt;=$B$12,'Entrada das massas'!S127&gt;$B$11),'Entrada das massas'!S127-((($C$12-$C$11)*($B$12-'Entrada das massas'!S127)+($B$11*$C$12)-($B$12*$C$12))/($B$11-$B$12)),IF(AND('Entrada das massas'!S127&lt;=$B$11,'Entrada das massas'!S127&gt;$B$10),'Entrada das massas'!S127-((($C$11-$C$10)*($B$11-'Entrada das massas'!S127)+($B$10*$C$11)-($B$11*$C$11))/($B$10-$B$11)),IF(AND('Entrada das massas'!S127&lt;=$B$10,'Entrada das massas'!S127&gt;$B$9),'Entrada das massas'!S127-((($C$10-$C$9)*($B$10-'Entrada das massas'!S127)+($B$9*$C$10)-($B$10*$C$10))/($B$9-$B$10)),IF(AND('Entrada das massas'!S127&lt;=$B$9,'Entrada das massas'!S127&gt;$B$8),'Entrada das massas'!S127-((($C$9-$C$8)*($B$9-'Entrada das massas'!S127)+($B$8*$C$9)-($B$9*$C$9))/($B$8-$B$9)),IF(AND('Entrada das massas'!S127&lt;=$B$8,'Entrada das massas'!S127&gt;$B$7),'Entrada das massas'!S127-((($C$8-$C$7)*($B$8-'Entrada das massas'!S127)+($B$7*$C$8)-($B$8*$C$8))/($B$7-$B$8)),IF(AND('Entrada das massas'!S127&lt;=$B$7,'Entrada das massas'!S127&gt;$B$6),'Entrada das massas'!S127-((($C$7-$C$6)*($B$7-'Entrada das massas'!S127)+($B$6*$C$7)-($B$7*$C$7))/($B$6-$B$7)),IF(AND('Entrada das massas'!S127&lt;=$B$6,'Entrada das massas'!S127&gt;$B$5),'Entrada das massas'!S127-((($C$6-$C$5)*($B$6-'Entrada das massas'!S127)+($B$5*$C$6)-($B$6*$C$6))/($B$5-$B$6)),IF('Entrada das massas'!S127&lt;=$B$5,'Entrada das massas'!S127-$C$5)))))))))))))))))</f>
        <v/>
      </c>
      <c r="X147" s="117" t="str">
        <f>IF(W147="","",(IF(AND(W147&lt;=$B$20,W147&gt;$B$19),$D$19+($B$19-W147)/($B$19-$B$20)*($D$20-$D$19),IF(AND(W147&lt;=$B$19,W147&gt;$B$18),$D$18+($B$18-W147)/($B$18-$B$19)*($D$19-$D$18),IF(AND(W147&lt;=$B$18,W147&gt;$B$17),$D$17+($B$17-W147)/($B$17-$B$18)*($D$18-$D$17),IF(AND(W147&lt;=$B$17,W147&gt;$B$16),$D$16+($B$16-W147)/($B$16-$B$17)*($D$17-$D$16),IF(AND(W147&lt;=$B$16,W147&gt;$B$15),$D$15+($B$15-W147)/($B$15-$B$16)*($D$16-$D$15),IF(AND(W147&lt;=$B$15,W147&gt;$B$14),$D$14+($B$14-W147)/($B$14-$B$15)*($D$15-$D$14),IF(AND(W147&lt;=$B$14,W147&gt;$B$13),$D$13+($B$13-W147)/($B$13-$B$14)*($D$14-$D$13),IF(AND(W147&lt;=$B$13,W147&gt;$B$12),$D$12+($B$12-W147)/($B$12-$B$13)*($D$13-$D$12),IF(AND(W147&lt;=$B$12,W147&gt;$B$11),$D$11+($B$11-W147)/($B$11-$B$12)*($D$12-$D$11),IF(AND(W147&lt;=$B$11,W147&gt;$B$10),$D$10+($B$10-W147)/($B$10-$B$11)*($D$11-$D$10),IF(AND(W147&lt;=$B$10,W147&gt;$B$9),$D$9+($B$9-W147)/($B$9-$B$10)*($D$10-$D$9),IF(AND(W147&lt;=$B$9,W147&gt;$B$8),$D$8+($B$8-W147)/($B$8-$B$9)*($D$9-$D$8),IF(AND(W147&lt;=$B$8,W147&gt;$B$7),$D$7+($B$7-W147)/($B$7-$B$8)*($D$8-$D$7),IF(AND(W147&lt;=$B$7,W147&gt;$B$6),$D$6+($B$6-W147)/($B$6-$B$7)*($D$7-$D$6),IF(W147&lt;=$B$6,$D$6)))))))))))))))))</f>
        <v/>
      </c>
      <c r="Y147" s="117"/>
      <c r="Z147" s="117"/>
      <c r="AA147" s="118" t="str">
        <f>IFERROR(Y149/Y148,"")</f>
        <v/>
      </c>
    </row>
    <row r="148" spans="3:27" x14ac:dyDescent="0.2">
      <c r="C148" s="104"/>
      <c r="D148" s="109"/>
      <c r="E148" s="164"/>
      <c r="F148" s="104"/>
      <c r="H148" s="115" t="str">
        <f>IF(I146="","","Frasco + Amostra")</f>
        <v/>
      </c>
      <c r="I148" s="116" t="str">
        <f>IF('Entrada das massas'!I128="","",IF(AND('Entrada das massas'!I128&lt;=$B$20,'Entrada das massas'!I128&gt;$B$19),'Entrada das massas'!I128-((($C$20-$C$19)*($B$20-'Entrada das massas'!I128)+($B$19*$C$20)-($B$20*$C$20))/($B$19-$B$20)),IF(AND('Entrada das massas'!I128&lt;=$B$19,'Entrada das massas'!I128&gt;$B$18),'Entrada das massas'!I128-((($C$19-$C$18)*($B$19-'Entrada das massas'!I128)+($B$18*$C$19)-($B$19*$C$19))/($B$18-$B$19)),IF(AND('Entrada das massas'!I128&lt;=$B$18,'Entrada das massas'!I128&gt;$B$17),'Entrada das massas'!I128-((($C$18-$C$17)*($B$18-'Entrada das massas'!I128)+($B$17*$C$18)-($B$18*$C$18))/($B$17-$B$18)),IF(AND('Entrada das massas'!I128&lt;=$B$17,'Entrada das massas'!I128&gt;$B$16),'Entrada das massas'!I128-((($C$17-$C$16)*($B$17-'Entrada das massas'!I128)+($B$16*$C$17)-($B$17*$C$17))/($B$16-$B$17)),IF(AND('Entrada das massas'!I128&lt;=$B$16,'Entrada das massas'!I128&gt;$B$15),'Entrada das massas'!I128-((($C$16-$C$15)*($B$16-'Entrada das massas'!I128)+($B$15*$C$16)-($B$16*$C$16))/($B$15-$B$16)),IF(AND('Entrada das massas'!I128&lt;=$B$15,'Entrada das massas'!I128&gt;$B$14),'Entrada das massas'!I128-((($C$15-$C$14)*($B$15-'Entrada das massas'!I128)+($B$14*$C$15)-($B$15*$C$15))/($B$14-$B$15)),IF(AND('Entrada das massas'!I128&lt;=$B$14,'Entrada das massas'!I128&gt;$B$13),'Entrada das massas'!I128-((($C$14-$C$13)*($B$14-'Entrada das massas'!I128)+($B$13*$C$14)-($B$14*$C$14))/($B$13-$B$14)),IF(AND('Entrada das massas'!I128&lt;=$B$13,'Entrada das massas'!I128&gt;$B$12),'Entrada das massas'!I128-((($C$13-$C$12)*($B$13-'Entrada das massas'!I128)+($B$12*$C$13)-($B$13*$C$13))/($B$12-$B$13)),IF(AND('Entrada das massas'!I128&lt;=$B$12,'Entrada das massas'!I128&gt;$B$11),'Entrada das massas'!I128-((($C$12-$C$11)*($B$12-'Entrada das massas'!I128)+($B$11*$C$12)-($B$12*$C$12))/($B$11-$B$12)),IF(AND('Entrada das massas'!I128&lt;=$B$11,'Entrada das massas'!I128&gt;$B$10),'Entrada das massas'!I128-((($C$11-$C$10)*($B$11-'Entrada das massas'!I128)+($B$10*$C$11)-($B$11*$C$11))/($B$10-$B$11)),IF(AND('Entrada das massas'!I128&lt;=$B$10,'Entrada das massas'!I128&gt;$B$9),'Entrada das massas'!I128-((($C$10-$C$9)*($B$10-'Entrada das massas'!I128)+($B$9*$C$10)-($B$10*$C$10))/($B$9-$B$10)),IF(AND('Entrada das massas'!I128&lt;=$B$9,'Entrada das massas'!I128&gt;$B$8),'Entrada das massas'!I128-((($C$9-$C$8)*($B$9-'Entrada das massas'!I128)+($B$8*$C$9)-($B$9*$C$9))/($B$8-$B$9)),IF(AND('Entrada das massas'!I128&lt;=$B$8,'Entrada das massas'!I128&gt;$B$7),'Entrada das massas'!I128-((($C$8-$C$7)*($B$8-'Entrada das massas'!I128)+($B$7*$C$8)-($B$8*$C$8))/($B$7-$B$8)),IF(AND('Entrada das massas'!I128&lt;=$B$7,'Entrada das massas'!I128&gt;$B$6),'Entrada das massas'!I128-((($C$7-$C$6)*($B$7-'Entrada das massas'!I128)+($B$6*$C$7)-($B$7*$C$7))/($B$6-$B$7)),IF(AND('Entrada das massas'!I128&lt;=$B$6,'Entrada das massas'!I128&gt;$B$5),'Entrada das massas'!I128-((($C$6-$C$5)*($B$6-'Entrada das massas'!I128)+($B$5*$C$6)-($B$6*$C$6))/($B$5-$B$6)),IF('Entrada das massas'!I128&lt;=$B$5,'Entrada das massas'!I128-$C$5)))))))))))))))))</f>
        <v/>
      </c>
      <c r="J148" s="117" t="str">
        <f t="shared" ref="J148:J149" si="75">IF(I148="","",(IF(AND(I148&lt;=$B$20,I148&gt;$B$19),$D$19+($B$19-I148)/($B$19-$B$20)*($D$20-$D$19),IF(AND(I148&lt;=$B$19,I148&gt;$B$18),$D$18+($B$18-I148)/($B$18-$B$19)*($D$19-$D$18),IF(AND(I148&lt;=$B$18,I148&gt;$B$17),$D$17+($B$17-I148)/($B$17-$B$18)*($D$18-$D$17),IF(AND(I148&lt;=$B$17,I148&gt;$B$16),$D$16+($B$16-I148)/($B$16-$B$17)*($D$17-$D$16),IF(AND(I148&lt;=$B$16,I148&gt;$B$15),$D$15+($B$15-I148)/($B$15-$B$16)*($D$16-$D$15),IF(AND(I148&lt;=$B$15,I148&gt;$B$14),$D$14+($B$14-I148)/($B$14-$B$15)*($D$15-$D$14),IF(AND(I148&lt;=$B$14,I148&gt;$B$13),$D$13+($B$13-I148)/($B$13-$B$14)*($D$14-$D$13),IF(AND(I148&lt;=$B$13,I148&gt;$B$12),$D$12+($B$12-I148)/($B$12-$B$13)*($D$13-$D$12),IF(AND(I148&lt;=$B$12,I148&gt;$B$11),$D$11+($B$11-I148)/($B$11-$B$12)*($D$12-$D$11),IF(AND(I148&lt;=$B$11,I148&gt;$B$10),$D$10+($B$10-I148)/($B$10-$B$11)*($D$11-$D$10),IF(AND(I148&lt;=$B$10,I148&gt;$B$9),$D$9+($B$9-I148)/($B$9-$B$10)*($D$10-$D$9),IF(AND(I148&lt;=$B$9,I148&gt;$B$8),$D$8+($B$8-I148)/($B$8-$B$9)*($D$9-$D$8),IF(AND(I148&lt;=$B$8,I148&gt;$B$7),$D$7+($B$7-I148)/($B$7-$B$8)*($D$8-$D$7),IF(AND(I148&lt;=$B$7,I148&gt;$B$6),$D$6+($B$6-I148)/($B$6-$B$7)*($D$7-$D$6),IF(I148&lt;=$B$6,$D$6)))))))))))))))))</f>
        <v/>
      </c>
      <c r="K148" s="120" t="str">
        <f>IF(I147="","",I148-I147)</f>
        <v/>
      </c>
      <c r="L148" s="117" t="str">
        <f>IF(J147="","",SQRT(SUMSQ(J147:J148)))</f>
        <v/>
      </c>
      <c r="M148" s="93" t="str">
        <f>IF(I146="","","Amostra")</f>
        <v/>
      </c>
      <c r="N148" s="118"/>
      <c r="O148" s="115" t="str">
        <f>IF(P146="","","Frasco + Amostra")</f>
        <v/>
      </c>
      <c r="P148" s="95" t="str">
        <f>IF('Entrada das massas'!N128="","",IF(AND('Entrada das massas'!N128&lt;=$B$20,'Entrada das massas'!N128&gt;$B$19),'Entrada das massas'!N128-((($C$20-$C$19)*($B$20-'Entrada das massas'!N128)+($B$19*$C$20)-($B$20*$C$20))/($B$19-$B$20)),IF(AND('Entrada das massas'!N128&lt;=$B$19,'Entrada das massas'!N128&gt;$B$18),'Entrada das massas'!N128-((($C$19-$C$18)*($B$19-'Entrada das massas'!N128)+($B$18*$C$19)-($B$19*$C$19))/($B$18-$B$19)),IF(AND('Entrada das massas'!N128&lt;=$B$18,'Entrada das massas'!N128&gt;$B$17),'Entrada das massas'!N128-((($C$18-$C$17)*($B$18-'Entrada das massas'!N128)+($B$17*$C$18)-($B$18*$C$18))/($B$17-$B$18)),IF(AND('Entrada das massas'!N128&lt;=$B$17,'Entrada das massas'!N128&gt;$B$16),'Entrada das massas'!N128-((($C$17-$C$16)*($B$17-'Entrada das massas'!N128)+($B$16*$C$17)-($B$17*$C$17))/($B$16-$B$17)),IF(AND('Entrada das massas'!N128&lt;=$B$16,'Entrada das massas'!N128&gt;$B$15),'Entrada das massas'!N128-((($C$16-$C$15)*($B$16-'Entrada das massas'!N128)+($B$15*$C$16)-($B$16*$C$16))/($B$15-$B$16)),IF(AND('Entrada das massas'!N128&lt;=$B$15,'Entrada das massas'!N128&gt;$B$14),'Entrada das massas'!N128-((($C$15-$C$14)*($B$15-'Entrada das massas'!N128)+($B$14*$C$15)-($B$15*$C$15))/($B$14-$B$15)),IF(AND('Entrada das massas'!N128&lt;=$B$14,'Entrada das massas'!N128&gt;$B$13),'Entrada das massas'!N128-((($C$14-$C$13)*($B$14-'Entrada das massas'!N128)+($B$13*$C$14)-($B$14*$C$14))/($B$13-$B$14)),IF(AND('Entrada das massas'!N128&lt;=$B$13,'Entrada das massas'!N128&gt;$B$12),'Entrada das massas'!N128-((($C$13-$C$12)*($B$13-'Entrada das massas'!N128)+($B$12*$C$13)-($B$13*$C$13))/($B$12-$B$13)),IF(AND('Entrada das massas'!N128&lt;=$B$12,'Entrada das massas'!N128&gt;$B$11),'Entrada das massas'!N128-((($C$12-$C$11)*($B$12-'Entrada das massas'!N128)+($B$11*$C$12)-($B$12*$C$12))/($B$11-$B$12)),IF(AND('Entrada das massas'!N128&lt;=$B$11,'Entrada das massas'!N128&gt;$B$10),'Entrada das massas'!N128-((($C$11-$C$10)*($B$11-'Entrada das massas'!N128)+($B$10*$C$11)-($B$11*$C$11))/($B$10-$B$11)),IF(AND('Entrada das massas'!N128&lt;=$B$10,'Entrada das massas'!N128&gt;$B$9),'Entrada das massas'!N128-((($C$10-$C$9)*($B$10-'Entrada das massas'!N128)+($B$9*$C$10)-($B$10*$C$10))/($B$9-$B$10)),IF(AND('Entrada das massas'!N128&lt;=$B$9,'Entrada das massas'!N128&gt;$B$8),'Entrada das massas'!N128-((($C$9-$C$8)*($B$9-'Entrada das massas'!N128)+($B$8*$C$9)-($B$9*$C$9))/($B$8-$B$9)),IF(AND('Entrada das massas'!N128&lt;=$B$8,'Entrada das massas'!N128&gt;$B$7),'Entrada das massas'!N128-((($C$8-$C$7)*($B$8-'Entrada das massas'!N128)+($B$7*$C$8)-($B$8*$C$8))/($B$7-$B$8)),IF(AND('Entrada das massas'!N128&lt;=$B$7,'Entrada das massas'!N128&gt;$B$6),'Entrada das massas'!N128-((($C$7-$C$6)*($B$7-'Entrada das massas'!N128)+($B$6*$C$7)-($B$7*$C$7))/($B$6-$B$7)),IF(AND('Entrada das massas'!N128&lt;=$B$6,'Entrada das massas'!N128&gt;$B$5),'Entrada das massas'!N128-((($C$6-$C$5)*($B$6-'Entrada das massas'!N128)+($B$5*$C$6)-($B$6*$C$6))/($B$5-$B$6)),IF('Entrada das massas'!N128&lt;=$B$5,'Entrada das massas'!N128-$C$5)))))))))))))))))</f>
        <v/>
      </c>
      <c r="Q148" s="117" t="str">
        <f t="shared" ref="Q148:Q149" si="76">IF(P148="","",(IF(AND(P148&lt;=$B$20,P148&gt;$B$19),$D$19+($B$19-P148)/($B$19-$B$20)*($D$20-$D$19),IF(AND(P148&lt;=$B$19,P148&gt;$B$18),$D$18+($B$18-P148)/($B$18-$B$19)*($D$19-$D$18),IF(AND(P148&lt;=$B$18,P148&gt;$B$17),$D$17+($B$17-P148)/($B$17-$B$18)*($D$18-$D$17),IF(AND(P148&lt;=$B$17,P148&gt;$B$16),$D$16+($B$16-P148)/($B$16-$B$17)*($D$17-$D$16),IF(AND(P148&lt;=$B$16,P148&gt;$B$15),$D$15+($B$15-P148)/($B$15-$B$16)*($D$16-$D$15),IF(AND(P148&lt;=$B$15,P148&gt;$B$14),$D$14+($B$14-P148)/($B$14-$B$15)*($D$15-$D$14),IF(AND(P148&lt;=$B$14,P148&gt;$B$13),$D$13+($B$13-P148)/($B$13-$B$14)*($D$14-$D$13),IF(AND(P148&lt;=$B$13,P148&gt;$B$12),$D$12+($B$12-P148)/($B$12-$B$13)*($D$13-$D$12),IF(AND(P148&lt;=$B$12,P148&gt;$B$11),$D$11+($B$11-P148)/($B$11-$B$12)*($D$12-$D$11),IF(AND(P148&lt;=$B$11,P148&gt;$B$10),$D$10+($B$10-P148)/($B$10-$B$11)*($D$11-$D$10),IF(AND(P148&lt;=$B$10,P148&gt;$B$9),$D$9+($B$9-P148)/($B$9-$B$10)*($D$10-$D$9),IF(AND(P148&lt;=$B$9,P148&gt;$B$8),$D$8+($B$8-P148)/($B$8-$B$9)*($D$9-$D$8),IF(AND(P148&lt;=$B$8,P148&gt;$B$7),$D$7+($B$7-P148)/($B$7-$B$8)*($D$8-$D$7),IF(AND(P148&lt;=$B$7,P148&gt;$B$6),$D$6+($B$6-P148)/($B$6-$B$7)*($D$7-$D$6),IF(P148&lt;=$B$6,$D$6)))))))))))))))))</f>
        <v/>
      </c>
      <c r="R148" s="120" t="str">
        <f>IF(P147="","",P148-P147)</f>
        <v/>
      </c>
      <c r="S148" s="117" t="str">
        <f>IF(Q147="","",SQRT(SUMSQ(Q147:Q148)))</f>
        <v/>
      </c>
      <c r="T148" s="93" t="str">
        <f>IF(P146="","","Amostra")</f>
        <v/>
      </c>
      <c r="U148" s="118"/>
      <c r="V148" s="115" t="str">
        <f>IF(W146="","","Frasco + Amostra")</f>
        <v/>
      </c>
      <c r="W148" s="95" t="str">
        <f>IF('Entrada das massas'!S128="","",IF(AND('Entrada das massas'!S128&lt;=$B$20,'Entrada das massas'!S128&gt;$B$19),'Entrada das massas'!S128-((($C$20-$C$19)*($B$20-'Entrada das massas'!S128)+($B$19*$C$20)-($B$20*$C$20))/($B$19-$B$20)),IF(AND('Entrada das massas'!S128&lt;=$B$19,'Entrada das massas'!S128&gt;$B$18),'Entrada das massas'!S128-((($C$19-$C$18)*($B$19-'Entrada das massas'!S128)+($B$18*$C$19)-($B$19*$C$19))/($B$18-$B$19)),IF(AND('Entrada das massas'!S128&lt;=$B$18,'Entrada das massas'!S128&gt;$B$17),'Entrada das massas'!S128-((($C$18-$C$17)*($B$18-'Entrada das massas'!S128)+($B$17*$C$18)-($B$18*$C$18))/($B$17-$B$18)),IF(AND('Entrada das massas'!S128&lt;=$B$17,'Entrada das massas'!S128&gt;$B$16),'Entrada das massas'!S128-((($C$17-$C$16)*($B$17-'Entrada das massas'!S128)+($B$16*$C$17)-($B$17*$C$17))/($B$16-$B$17)),IF(AND('Entrada das massas'!S128&lt;=$B$16,'Entrada das massas'!S128&gt;$B$15),'Entrada das massas'!S128-((($C$16-$C$15)*($B$16-'Entrada das massas'!S128)+($B$15*$C$16)-($B$16*$C$16))/($B$15-$B$16)),IF(AND('Entrada das massas'!S128&lt;=$B$15,'Entrada das massas'!S128&gt;$B$14),'Entrada das massas'!S128-((($C$15-$C$14)*($B$15-'Entrada das massas'!S128)+($B$14*$C$15)-($B$15*$C$15))/($B$14-$B$15)),IF(AND('Entrada das massas'!S128&lt;=$B$14,'Entrada das massas'!S128&gt;$B$13),'Entrada das massas'!S128-((($C$14-$C$13)*($B$14-'Entrada das massas'!S128)+($B$13*$C$14)-($B$14*$C$14))/($B$13-$B$14)),IF(AND('Entrada das massas'!S128&lt;=$B$13,'Entrada das massas'!S128&gt;$B$12),'Entrada das massas'!S128-((($C$13-$C$12)*($B$13-'Entrada das massas'!S128)+($B$12*$C$13)-($B$13*$C$13))/($B$12-$B$13)),IF(AND('Entrada das massas'!S128&lt;=$B$12,'Entrada das massas'!S128&gt;$B$11),'Entrada das massas'!S128-((($C$12-$C$11)*($B$12-'Entrada das massas'!S128)+($B$11*$C$12)-($B$12*$C$12))/($B$11-$B$12)),IF(AND('Entrada das massas'!S128&lt;=$B$11,'Entrada das massas'!S128&gt;$B$10),'Entrada das massas'!S128-((($C$11-$C$10)*($B$11-'Entrada das massas'!S128)+($B$10*$C$11)-($B$11*$C$11))/($B$10-$B$11)),IF(AND('Entrada das massas'!S128&lt;=$B$10,'Entrada das massas'!S128&gt;$B$9),'Entrada das massas'!S128-((($C$10-$C$9)*($B$10-'Entrada das massas'!S128)+($B$9*$C$10)-($B$10*$C$10))/($B$9-$B$10)),IF(AND('Entrada das massas'!S128&lt;=$B$9,'Entrada das massas'!S128&gt;$B$8),'Entrada das massas'!S128-((($C$9-$C$8)*($B$9-'Entrada das massas'!S128)+($B$8*$C$9)-($B$9*$C$9))/($B$8-$B$9)),IF(AND('Entrada das massas'!S128&lt;=$B$8,'Entrada das massas'!S128&gt;$B$7),'Entrada das massas'!S128-((($C$8-$C$7)*($B$8-'Entrada das massas'!S128)+($B$7*$C$8)-($B$8*$C$8))/($B$7-$B$8)),IF(AND('Entrada das massas'!S128&lt;=$B$7,'Entrada das massas'!S128&gt;$B$6),'Entrada das massas'!S128-((($C$7-$C$6)*($B$7-'Entrada das massas'!S128)+($B$6*$C$7)-($B$7*$C$7))/($B$6-$B$7)),IF(AND('Entrada das massas'!S128&lt;=$B$6,'Entrada das massas'!S128&gt;$B$5),'Entrada das massas'!S128-((($C$6-$C$5)*($B$6-'Entrada das massas'!S128)+($B$5*$C$6)-($B$6*$C$6))/($B$5-$B$6)),IF('Entrada das massas'!S128&lt;=$B$5,'Entrada das massas'!S128-$C$5)))))))))))))))))</f>
        <v/>
      </c>
      <c r="X148" s="117" t="str">
        <f t="shared" ref="X148:X149" si="77">IF(W148="","",(IF(AND(W148&lt;=$B$20,W148&gt;$B$19),$D$19+($B$19-W148)/($B$19-$B$20)*($D$20-$D$19),IF(AND(W148&lt;=$B$19,W148&gt;$B$18),$D$18+($B$18-W148)/($B$18-$B$19)*($D$19-$D$18),IF(AND(W148&lt;=$B$18,W148&gt;$B$17),$D$17+($B$17-W148)/($B$17-$B$18)*($D$18-$D$17),IF(AND(W148&lt;=$B$17,W148&gt;$B$16),$D$16+($B$16-W148)/($B$16-$B$17)*($D$17-$D$16),IF(AND(W148&lt;=$B$16,W148&gt;$B$15),$D$15+($B$15-W148)/($B$15-$B$16)*($D$16-$D$15),IF(AND(W148&lt;=$B$15,W148&gt;$B$14),$D$14+($B$14-W148)/($B$14-$B$15)*($D$15-$D$14),IF(AND(W148&lt;=$B$14,W148&gt;$B$13),$D$13+($B$13-W148)/($B$13-$B$14)*($D$14-$D$13),IF(AND(W148&lt;=$B$13,W148&gt;$B$12),$D$12+($B$12-W148)/($B$12-$B$13)*($D$13-$D$12),IF(AND(W148&lt;=$B$12,W148&gt;$B$11),$D$11+($B$11-W148)/($B$11-$B$12)*($D$12-$D$11),IF(AND(W148&lt;=$B$11,W148&gt;$B$10),$D$10+($B$10-W148)/($B$10-$B$11)*($D$11-$D$10),IF(AND(W148&lt;=$B$10,W148&gt;$B$9),$D$9+($B$9-W148)/($B$9-$B$10)*($D$10-$D$9),IF(AND(W148&lt;=$B$9,W148&gt;$B$8),$D$8+($B$8-W148)/($B$8-$B$9)*($D$9-$D$8),IF(AND(W148&lt;=$B$8,W148&gt;$B$7),$D$7+($B$7-W148)/($B$7-$B$8)*($D$8-$D$7),IF(AND(W148&lt;=$B$7,W148&gt;$B$6),$D$6+($B$6-W148)/($B$6-$B$7)*($D$7-$D$6),IF(W148&lt;=$B$6,$D$6)))))))))))))))))</f>
        <v/>
      </c>
      <c r="Y148" s="120" t="str">
        <f>IF(W147="","",W148-W147)</f>
        <v/>
      </c>
      <c r="Z148" s="117" t="str">
        <f>IF(X147="","",SQRT(SUMSQ(X147:X148)))</f>
        <v/>
      </c>
      <c r="AA148" s="93" t="str">
        <f>IF(W146="","","Amostra")</f>
        <v/>
      </c>
    </row>
    <row r="149" spans="3:27" x14ac:dyDescent="0.2">
      <c r="H149" s="123" t="str">
        <f>IF(I146="","","Massa final")</f>
        <v/>
      </c>
      <c r="I149" s="116" t="str">
        <f>IF('Entrada das massas'!I129="","",IF(AND('Entrada das massas'!I129&lt;=$B$20,'Entrada das massas'!I129&gt;$B$19),'Entrada das massas'!I129-((($C$20-$C$19)*($B$20-'Entrada das massas'!I129)+($B$19*$C$20)-($B$20*$C$20))/($B$19-$B$20)),IF(AND('Entrada das massas'!I129&lt;=$B$19,'Entrada das massas'!I129&gt;$B$18),'Entrada das massas'!I129-((($C$19-$C$18)*($B$19-'Entrada das massas'!I129)+($B$18*$C$19)-($B$19*$C$19))/($B$18-$B$19)),IF(AND('Entrada das massas'!I129&lt;=$B$18,'Entrada das massas'!I129&gt;$B$17),'Entrada das massas'!I129-((($C$18-$C$17)*($B$18-'Entrada das massas'!I129)+($B$17*$C$18)-($B$18*$C$18))/($B$17-$B$18)),IF(AND('Entrada das massas'!I129&lt;=$B$17,'Entrada das massas'!I129&gt;$B$16),'Entrada das massas'!I129-((($C$17-$C$16)*($B$17-'Entrada das massas'!I129)+($B$16*$C$17)-($B$17*$C$17))/($B$16-$B$17)),IF(AND('Entrada das massas'!I129&lt;=$B$16,'Entrada das massas'!I129&gt;$B$15),'Entrada das massas'!I129-((($C$16-$C$15)*($B$16-'Entrada das massas'!I129)+($B$15*$C$16)-($B$16*$C$16))/($B$15-$B$16)),IF(AND('Entrada das massas'!I129&lt;=$B$15,'Entrada das massas'!I129&gt;$B$14),'Entrada das massas'!I129-((($C$15-$C$14)*($B$15-'Entrada das massas'!I129)+($B$14*$C$15)-($B$15*$C$15))/($B$14-$B$15)),IF(AND('Entrada das massas'!I129&lt;=$B$14,'Entrada das massas'!I129&gt;$B$13),'Entrada das massas'!I129-((($C$14-$C$13)*($B$14-'Entrada das massas'!I129)+($B$13*$C$14)-($B$14*$C$14))/($B$13-$B$14)),IF(AND('Entrada das massas'!I129&lt;=$B$13,'Entrada das massas'!I129&gt;$B$12),'Entrada das massas'!I129-((($C$13-$C$12)*($B$13-'Entrada das massas'!I129)+($B$12*$C$13)-($B$13*$C$13))/($B$12-$B$13)),IF(AND('Entrada das massas'!I129&lt;=$B$12,'Entrada das massas'!I129&gt;$B$11),'Entrada das massas'!I129-((($C$12-$C$11)*($B$12-'Entrada das massas'!I129)+($B$11*$C$12)-($B$12*$C$12))/($B$11-$B$12)),IF(AND('Entrada das massas'!I129&lt;=$B$11,'Entrada das massas'!I129&gt;$B$10),'Entrada das massas'!I129-((($C$11-$C$10)*($B$11-'Entrada das massas'!I129)+($B$10*$C$11)-($B$11*$C$11))/($B$10-$B$11)),IF(AND('Entrada das massas'!I129&lt;=$B$10,'Entrada das massas'!I129&gt;$B$9),'Entrada das massas'!I129-((($C$10-$C$9)*($B$10-'Entrada das massas'!I129)+($B$9*$C$10)-($B$10*$C$10))/($B$9-$B$10)),IF(AND('Entrada das massas'!I129&lt;=$B$9,'Entrada das massas'!I129&gt;$B$8),'Entrada das massas'!I129-((($C$9-$C$8)*($B$9-'Entrada das massas'!I129)+($B$8*$C$9)-($B$9*$C$9))/($B$8-$B$9)),IF(AND('Entrada das massas'!I129&lt;=$B$8,'Entrada das massas'!I129&gt;$B$7),'Entrada das massas'!I129-((($C$8-$C$7)*($B$8-'Entrada das massas'!I129)+($B$7*$C$8)-($B$8*$C$8))/($B$7-$B$8)),IF(AND('Entrada das massas'!I129&lt;=$B$7,'Entrada das massas'!I129&gt;$B$6),'Entrada das massas'!I129-((($C$7-$C$6)*($B$7-'Entrada das massas'!I129)+($B$6*$C$7)-($B$7*$C$7))/($B$6-$B$7)),IF(AND('Entrada das massas'!I129&lt;=$B$6,'Entrada das massas'!I129&gt;$B$5),'Entrada das massas'!I129-((($C$6-$C$5)*($B$6-'Entrada das massas'!I129)+($B$5*$C$6)-($B$6*$C$6))/($B$5-$B$6)),IF('Entrada das massas'!I129&lt;=$B$5,'Entrada das massas'!I129-$C$5)))))))))))))))))</f>
        <v/>
      </c>
      <c r="J149" s="117" t="str">
        <f t="shared" si="75"/>
        <v/>
      </c>
      <c r="K149" s="120" t="str">
        <f>IF(I147="","",I149-I147)</f>
        <v/>
      </c>
      <c r="L149" s="117" t="str">
        <f>IF(J147="","",SQRT(SUMSQ(J147,J149)))</f>
        <v/>
      </c>
      <c r="M149" s="93" t="str">
        <f>IF(I146="","","Solução")</f>
        <v/>
      </c>
      <c r="N149" s="93"/>
      <c r="O149" s="123" t="str">
        <f>IF(P146="","","Massa final")</f>
        <v/>
      </c>
      <c r="P149" s="95" t="str">
        <f>IF('Entrada das massas'!N129="","",IF(AND('Entrada das massas'!N129&lt;=$B$20,'Entrada das massas'!N129&gt;$B$19),'Entrada das massas'!N129-((($C$20-$C$19)*($B$20-'Entrada das massas'!N129)+($B$19*$C$20)-($B$20*$C$20))/($B$19-$B$20)),IF(AND('Entrada das massas'!N129&lt;=$B$19,'Entrada das massas'!N129&gt;$B$18),'Entrada das massas'!N129-((($C$19-$C$18)*($B$19-'Entrada das massas'!N129)+($B$18*$C$19)-($B$19*$C$19))/($B$18-$B$19)),IF(AND('Entrada das massas'!N129&lt;=$B$18,'Entrada das massas'!N129&gt;$B$17),'Entrada das massas'!N129-((($C$18-$C$17)*($B$18-'Entrada das massas'!N129)+($B$17*$C$18)-($B$18*$C$18))/($B$17-$B$18)),IF(AND('Entrada das massas'!N129&lt;=$B$17,'Entrada das massas'!N129&gt;$B$16),'Entrada das massas'!N129-((($C$17-$C$16)*($B$17-'Entrada das massas'!N129)+($B$16*$C$17)-($B$17*$C$17))/($B$16-$B$17)),IF(AND('Entrada das massas'!N129&lt;=$B$16,'Entrada das massas'!N129&gt;$B$15),'Entrada das massas'!N129-((($C$16-$C$15)*($B$16-'Entrada das massas'!N129)+($B$15*$C$16)-($B$16*$C$16))/($B$15-$B$16)),IF(AND('Entrada das massas'!N129&lt;=$B$15,'Entrada das massas'!N129&gt;$B$14),'Entrada das massas'!N129-((($C$15-$C$14)*($B$15-'Entrada das massas'!N129)+($B$14*$C$15)-($B$15*$C$15))/($B$14-$B$15)),IF(AND('Entrada das massas'!N129&lt;=$B$14,'Entrada das massas'!N129&gt;$B$13),'Entrada das massas'!N129-((($C$14-$C$13)*($B$14-'Entrada das massas'!N129)+($B$13*$C$14)-($B$14*$C$14))/($B$13-$B$14)),IF(AND('Entrada das massas'!N129&lt;=$B$13,'Entrada das massas'!N129&gt;$B$12),'Entrada das massas'!N129-((($C$13-$C$12)*($B$13-'Entrada das massas'!N129)+($B$12*$C$13)-($B$13*$C$13))/($B$12-$B$13)),IF(AND('Entrada das massas'!N129&lt;=$B$12,'Entrada das massas'!N129&gt;$B$11),'Entrada das massas'!N129-((($C$12-$C$11)*($B$12-'Entrada das massas'!N129)+($B$11*$C$12)-($B$12*$C$12))/($B$11-$B$12)),IF(AND('Entrada das massas'!N129&lt;=$B$11,'Entrada das massas'!N129&gt;$B$10),'Entrada das massas'!N129-((($C$11-$C$10)*($B$11-'Entrada das massas'!N129)+($B$10*$C$11)-($B$11*$C$11))/($B$10-$B$11)),IF(AND('Entrada das massas'!N129&lt;=$B$10,'Entrada das massas'!N129&gt;$B$9),'Entrada das massas'!N129-((($C$10-$C$9)*($B$10-'Entrada das massas'!N129)+($B$9*$C$10)-($B$10*$C$10))/($B$9-$B$10)),IF(AND('Entrada das massas'!N129&lt;=$B$9,'Entrada das massas'!N129&gt;$B$8),'Entrada das massas'!N129-((($C$9-$C$8)*($B$9-'Entrada das massas'!N129)+($B$8*$C$9)-($B$9*$C$9))/($B$8-$B$9)),IF(AND('Entrada das massas'!N129&lt;=$B$8,'Entrada das massas'!N129&gt;$B$7),'Entrada das massas'!N129-((($C$8-$C$7)*($B$8-'Entrada das massas'!N129)+($B$7*$C$8)-($B$8*$C$8))/($B$7-$B$8)),IF(AND('Entrada das massas'!N129&lt;=$B$7,'Entrada das massas'!N129&gt;$B$6),'Entrada das massas'!N129-((($C$7-$C$6)*($B$7-'Entrada das massas'!N129)+($B$6*$C$7)-($B$7*$C$7))/($B$6-$B$7)),IF(AND('Entrada das massas'!N129&lt;=$B$6,'Entrada das massas'!N129&gt;$B$5),'Entrada das massas'!N129-((($C$6-$C$5)*($B$6-'Entrada das massas'!N129)+($B$5*$C$6)-($B$6*$C$6))/($B$5-$B$6)),IF('Entrada das massas'!N129&lt;=$B$5,'Entrada das massas'!N129-$C$5)))))))))))))))))</f>
        <v/>
      </c>
      <c r="Q149" s="117" t="str">
        <f t="shared" si="76"/>
        <v/>
      </c>
      <c r="R149" s="120" t="str">
        <f>IF(P147="","",P149-P147)</f>
        <v/>
      </c>
      <c r="S149" s="117" t="str">
        <f>IF(Q147="","",SQRT(SUMSQ(Q147,Q149)))</f>
        <v/>
      </c>
      <c r="T149" s="93" t="str">
        <f>IF(P146="","","Solução")</f>
        <v/>
      </c>
      <c r="U149" s="93"/>
      <c r="V149" s="123" t="str">
        <f>IF(W146="","","Massa final")</f>
        <v/>
      </c>
      <c r="W149" s="95" t="str">
        <f>IF('Entrada das massas'!S129="","",IF(AND('Entrada das massas'!S129&lt;=$B$20,'Entrada das massas'!S129&gt;$B$19),'Entrada das massas'!S129-((($C$20-$C$19)*($B$20-'Entrada das massas'!S129)+($B$19*$C$20)-($B$20*$C$20))/($B$19-$B$20)),IF(AND('Entrada das massas'!S129&lt;=$B$19,'Entrada das massas'!S129&gt;$B$18),'Entrada das massas'!S129-((($C$19-$C$18)*($B$19-'Entrada das massas'!S129)+($B$18*$C$19)-($B$19*$C$19))/($B$18-$B$19)),IF(AND('Entrada das massas'!S129&lt;=$B$18,'Entrada das massas'!S129&gt;$B$17),'Entrada das massas'!S129-((($C$18-$C$17)*($B$18-'Entrada das massas'!S129)+($B$17*$C$18)-($B$18*$C$18))/($B$17-$B$18)),IF(AND('Entrada das massas'!S129&lt;=$B$17,'Entrada das massas'!S129&gt;$B$16),'Entrada das massas'!S129-((($C$17-$C$16)*($B$17-'Entrada das massas'!S129)+($B$16*$C$17)-($B$17*$C$17))/($B$16-$B$17)),IF(AND('Entrada das massas'!S129&lt;=$B$16,'Entrada das massas'!S129&gt;$B$15),'Entrada das massas'!S129-((($C$16-$C$15)*($B$16-'Entrada das massas'!S129)+($B$15*$C$16)-($B$16*$C$16))/($B$15-$B$16)),IF(AND('Entrada das massas'!S129&lt;=$B$15,'Entrada das massas'!S129&gt;$B$14),'Entrada das massas'!S129-((($C$15-$C$14)*($B$15-'Entrada das massas'!S129)+($B$14*$C$15)-($B$15*$C$15))/($B$14-$B$15)),IF(AND('Entrada das massas'!S129&lt;=$B$14,'Entrada das massas'!S129&gt;$B$13),'Entrada das massas'!S129-((($C$14-$C$13)*($B$14-'Entrada das massas'!S129)+($B$13*$C$14)-($B$14*$C$14))/($B$13-$B$14)),IF(AND('Entrada das massas'!S129&lt;=$B$13,'Entrada das massas'!S129&gt;$B$12),'Entrada das massas'!S129-((($C$13-$C$12)*($B$13-'Entrada das massas'!S129)+($B$12*$C$13)-($B$13*$C$13))/($B$12-$B$13)),IF(AND('Entrada das massas'!S129&lt;=$B$12,'Entrada das massas'!S129&gt;$B$11),'Entrada das massas'!S129-((($C$12-$C$11)*($B$12-'Entrada das massas'!S129)+($B$11*$C$12)-($B$12*$C$12))/($B$11-$B$12)),IF(AND('Entrada das massas'!S129&lt;=$B$11,'Entrada das massas'!S129&gt;$B$10),'Entrada das massas'!S129-((($C$11-$C$10)*($B$11-'Entrada das massas'!S129)+($B$10*$C$11)-($B$11*$C$11))/($B$10-$B$11)),IF(AND('Entrada das massas'!S129&lt;=$B$10,'Entrada das massas'!S129&gt;$B$9),'Entrada das massas'!S129-((($C$10-$C$9)*($B$10-'Entrada das massas'!S129)+($B$9*$C$10)-($B$10*$C$10))/($B$9-$B$10)),IF(AND('Entrada das massas'!S129&lt;=$B$9,'Entrada das massas'!S129&gt;$B$8),'Entrada das massas'!S129-((($C$9-$C$8)*($B$9-'Entrada das massas'!S129)+($B$8*$C$9)-($B$9*$C$9))/($B$8-$B$9)),IF(AND('Entrada das massas'!S129&lt;=$B$8,'Entrada das massas'!S129&gt;$B$7),'Entrada das massas'!S129-((($C$8-$C$7)*($B$8-'Entrada das massas'!S129)+($B$7*$C$8)-($B$8*$C$8))/($B$7-$B$8)),IF(AND('Entrada das massas'!S129&lt;=$B$7,'Entrada das massas'!S129&gt;$B$6),'Entrada das massas'!S129-((($C$7-$C$6)*($B$7-'Entrada das massas'!S129)+($B$6*$C$7)-($B$7*$C$7))/($B$6-$B$7)),IF(AND('Entrada das massas'!S129&lt;=$B$6,'Entrada das massas'!S129&gt;$B$5),'Entrada das massas'!S129-((($C$6-$C$5)*($B$6-'Entrada das massas'!S129)+($B$5*$C$6)-($B$6*$C$6))/($B$5-$B$6)),IF('Entrada das massas'!S129&lt;=$B$5,'Entrada das massas'!S129-$C$5)))))))))))))))))</f>
        <v/>
      </c>
      <c r="X149" s="117" t="str">
        <f t="shared" si="77"/>
        <v/>
      </c>
      <c r="Y149" s="120" t="str">
        <f>IF(W147="","",W149-W147)</f>
        <v/>
      </c>
      <c r="Z149" s="117" t="str">
        <f>IF(X147="","",SQRT(SUMSQ(X147,X149)))</f>
        <v/>
      </c>
      <c r="AA149" s="93" t="str">
        <f>IF(W146="","","Solução")</f>
        <v/>
      </c>
    </row>
    <row r="150" spans="3:27" x14ac:dyDescent="0.2">
      <c r="C150" s="104"/>
      <c r="D150" s="143"/>
      <c r="F150" s="104"/>
      <c r="G150" s="104"/>
      <c r="H150" s="98"/>
      <c r="I150" s="93"/>
      <c r="J150" s="139"/>
      <c r="K150" s="139"/>
      <c r="L150" s="139"/>
      <c r="M150" s="98"/>
      <c r="N150" s="98"/>
      <c r="O150" s="98"/>
      <c r="P150" s="93"/>
      <c r="Q150" s="120"/>
      <c r="R150" s="120"/>
      <c r="S150" s="120"/>
      <c r="T150" s="98"/>
      <c r="U150" s="98"/>
      <c r="V150" s="98"/>
      <c r="W150" s="93"/>
      <c r="X150" s="120"/>
      <c r="Y150" s="120"/>
      <c r="Z150" s="120"/>
      <c r="AA150" s="98"/>
    </row>
    <row r="151" spans="3:27" x14ac:dyDescent="0.2">
      <c r="C151" s="109"/>
      <c r="D151" s="109"/>
      <c r="F151" s="104"/>
      <c r="G151" s="109"/>
      <c r="H151" s="126" t="str">
        <f>IF(I146="","","Amostra")</f>
        <v/>
      </c>
      <c r="I151" s="127" t="str">
        <f>IF('Entrada das massas'!I131="","",'Entrada das massas'!I131)</f>
        <v/>
      </c>
      <c r="J151" s="120" t="str">
        <f>IF(I151="","","uc(g)")</f>
        <v/>
      </c>
      <c r="K151" s="120" t="str">
        <f>IF(J151="","","Massa (g)")</f>
        <v/>
      </c>
      <c r="L151" s="120" t="str">
        <f>IF(K151="","","ucomb (g)")</f>
        <v/>
      </c>
      <c r="M151" s="98" t="str">
        <f>IF(I151="","","Fdiluição")</f>
        <v/>
      </c>
      <c r="N151" s="98"/>
      <c r="O151" s="126" t="str">
        <f>IF(M152="","","Amostra")</f>
        <v/>
      </c>
      <c r="P151" s="127" t="str">
        <f>IF('Entrada das massas'!N131="","",'Entrada das massas'!N131)</f>
        <v/>
      </c>
      <c r="Q151" s="120" t="str">
        <f>IF(P151="","","uc(g)")</f>
        <v/>
      </c>
      <c r="R151" s="120" t="str">
        <f>IF(Q151="","","Massa (g)")</f>
        <v/>
      </c>
      <c r="S151" s="120" t="str">
        <f>IF(R151="","","ucomb (g)")</f>
        <v/>
      </c>
      <c r="T151" s="98" t="str">
        <f>IF(P151="","","Fdiluição")</f>
        <v/>
      </c>
      <c r="U151" s="98"/>
      <c r="V151" s="126" t="str">
        <f>IF(T152="","","Amostra")</f>
        <v/>
      </c>
      <c r="W151" s="127" t="str">
        <f>IF('Entrada das massas'!S131="","",'Entrada das massas'!S131)</f>
        <v/>
      </c>
      <c r="X151" s="120" t="str">
        <f>IF(W151="","","uc(g)")</f>
        <v/>
      </c>
      <c r="Y151" s="120" t="str">
        <f>IF(X151="","","Massa (g)")</f>
        <v/>
      </c>
      <c r="Z151" s="120" t="str">
        <f>IF(Y151="","","ucomb (g)")</f>
        <v/>
      </c>
      <c r="AA151" s="98" t="str">
        <f>IF(W151="","","Fdiluição")</f>
        <v/>
      </c>
    </row>
    <row r="152" spans="3:27" x14ac:dyDescent="0.2">
      <c r="C152" s="104"/>
      <c r="D152" s="109"/>
      <c r="E152" s="163"/>
      <c r="F152" s="104"/>
      <c r="G152" s="109"/>
      <c r="H152" s="115" t="str">
        <f>IF(I151="","","Frasco")</f>
        <v/>
      </c>
      <c r="I152" s="116" t="str">
        <f>IF('Entrada das massas'!I132="","",IF(AND('Entrada das massas'!I132&lt;=$B$20,'Entrada das massas'!I132&gt;$B$19),'Entrada das massas'!I132-((($C$20-$C$19)*($B$20-'Entrada das massas'!I132)+($B$19*$C$20)-($B$20*$C$20))/($B$19-$B$20)),IF(AND('Entrada das massas'!I132&lt;=$B$19,'Entrada das massas'!I132&gt;$B$18),'Entrada das massas'!I132-((($C$19-$C$18)*($B$19-'Entrada das massas'!I132)+($B$18*$C$19)-($B$19*$C$19))/($B$18-$B$19)),IF(AND('Entrada das massas'!I132&lt;=$B$18,'Entrada das massas'!I132&gt;$B$17),'Entrada das massas'!I132-((($C$18-$C$17)*($B$18-'Entrada das massas'!I132)+($B$17*$C$18)-($B$18*$C$18))/($B$17-$B$18)),IF(AND('Entrada das massas'!I132&lt;=$B$17,'Entrada das massas'!I132&gt;$B$16),'Entrada das massas'!I132-((($C$17-$C$16)*($B$17-'Entrada das massas'!I132)+($B$16*$C$17)-($B$17*$C$17))/($B$16-$B$17)),IF(AND('Entrada das massas'!I132&lt;=$B$16,'Entrada das massas'!I132&gt;$B$15),'Entrada das massas'!I132-((($C$16-$C$15)*($B$16-'Entrada das massas'!I132)+($B$15*$C$16)-($B$16*$C$16))/($B$15-$B$16)),IF(AND('Entrada das massas'!I132&lt;=$B$15,'Entrada das massas'!I132&gt;$B$14),'Entrada das massas'!I132-((($C$15-$C$14)*($B$15-'Entrada das massas'!I132)+($B$14*$C$15)-($B$15*$C$15))/($B$14-$B$15)),IF(AND('Entrada das massas'!I132&lt;=$B$14,'Entrada das massas'!I132&gt;$B$13),'Entrada das massas'!I132-((($C$14-$C$13)*($B$14-'Entrada das massas'!I132)+($B$13*$C$14)-($B$14*$C$14))/($B$13-$B$14)),IF(AND('Entrada das massas'!I132&lt;=$B$13,'Entrada das massas'!I132&gt;$B$12),'Entrada das massas'!I132-((($C$13-$C$12)*($B$13-'Entrada das massas'!I132)+($B$12*$C$13)-($B$13*$C$13))/($B$12-$B$13)),IF(AND('Entrada das massas'!I132&lt;=$B$12,'Entrada das massas'!I132&gt;$B$11),'Entrada das massas'!I132-((($C$12-$C$11)*($B$12-'Entrada das massas'!I132)+($B$11*$C$12)-($B$12*$C$12))/($B$11-$B$12)),IF(AND('Entrada das massas'!I132&lt;=$B$11,'Entrada das massas'!I132&gt;$B$10),'Entrada das massas'!I132-((($C$11-$C$10)*($B$11-'Entrada das massas'!I132)+($B$10*$C$11)-($B$11*$C$11))/($B$10-$B$11)),IF(AND('Entrada das massas'!I132&lt;=$B$10,'Entrada das massas'!I132&gt;$B$9),'Entrada das massas'!I132-((($C$10-$C$9)*($B$10-'Entrada das massas'!I132)+($B$9*$C$10)-($B$10*$C$10))/($B$9-$B$10)),IF(AND('Entrada das massas'!I132&lt;=$B$9,'Entrada das massas'!I132&gt;$B$8),'Entrada das massas'!I132-((($C$9-$C$8)*($B$9-'Entrada das massas'!I132)+($B$8*$C$9)-($B$9*$C$9))/($B$8-$B$9)),IF(AND('Entrada das massas'!I132&lt;=$B$8,'Entrada das massas'!I132&gt;$B$7),'Entrada das massas'!I132-((($C$8-$C$7)*($B$8-'Entrada das massas'!I132)+($B$7*$C$8)-($B$8*$C$8))/($B$7-$B$8)),IF(AND('Entrada das massas'!I132&lt;=$B$7,'Entrada das massas'!I132&gt;$B$6),'Entrada das massas'!I132-((($C$7-$C$6)*($B$7-'Entrada das massas'!I132)+($B$6*$C$7)-($B$7*$C$7))/($B$6-$B$7)),IF(AND('Entrada das massas'!I132&lt;=$B$6,'Entrada das massas'!I132&gt;$B$5),'Entrada das massas'!I132-((($C$6-$C$5)*($B$6-'Entrada das massas'!I132)+($B$5*$C$6)-($B$6*$C$6))/($B$5-$B$6)),IF('Entrada das massas'!I132&lt;=$B$5,'Entrada das massas'!I132-$C$5)))))))))))))))))</f>
        <v/>
      </c>
      <c r="J152" s="117" t="str">
        <f>IF(I152="","",(IF(AND(I152&lt;=$B$20,I152&gt;$B$19),$D$19+($B$19-I152)/($B$19-$B$20)*($D$20-$D$19),IF(AND(I152&lt;=$B$19,I152&gt;$B$18),$D$18+($B$18-I152)/($B$18-$B$19)*($D$19-$D$18),IF(AND(I152&lt;=$B$18,I152&gt;$B$17),$D$17+($B$17-I152)/($B$17-$B$18)*($D$18-$D$17),IF(AND(I152&lt;=$B$17,I152&gt;$B$16),$D$16+($B$16-I152)/($B$16-$B$17)*($D$17-$D$16),IF(AND(I152&lt;=$B$16,I152&gt;$B$15),$D$15+($B$15-I152)/($B$15-$B$16)*($D$16-$D$15),IF(AND(I152&lt;=$B$15,I152&gt;$B$14),$D$14+($B$14-I152)/($B$14-$B$15)*($D$15-$D$14),IF(AND(I152&lt;=$B$14,I152&gt;$B$13),$D$13+($B$13-I152)/($B$13-$B$14)*($D$14-$D$13),IF(AND(I152&lt;=$B$13,I152&gt;$B$12),$D$12+($B$12-I152)/($B$12-$B$13)*($D$13-$D$12),IF(AND(I152&lt;=$B$12,I152&gt;$B$11),$D$11+($B$11-I152)/($B$11-$B$12)*($D$12-$D$11),IF(AND(I152&lt;=$B$11,I152&gt;$B$10),$D$10+($B$10-I152)/($B$10-$B$11)*($D$11-$D$10),IF(AND(I152&lt;=$B$10,I152&gt;$B$9),$D$9+($B$9-I152)/($B$9-$B$10)*($D$10-$D$9),IF(AND(I152&lt;=$B$9,I152&gt;$B$8),$D$8+($B$8-I152)/($B$8-$B$9)*($D$9-$D$8),IF(AND(I152&lt;=$B$8,I152&gt;$B$7),$D$7+($B$7-I152)/($B$7-$B$8)*($D$8-$D$7),IF(AND(I152&lt;=$B$7,I152&gt;$B$6),$D$6+($B$6-I152)/($B$6-$B$7)*($D$7-$D$6),IF(I152&lt;=$B$6,$D$6)))))))))))))))))</f>
        <v/>
      </c>
      <c r="K152" s="117"/>
      <c r="L152" s="117"/>
      <c r="M152" s="118" t="str">
        <f>IFERROR(K154/K153,"")</f>
        <v/>
      </c>
      <c r="N152" s="93"/>
      <c r="O152" s="115" t="str">
        <f>IF(P151="","","Frasco")</f>
        <v/>
      </c>
      <c r="P152" s="95" t="str">
        <f>IF('Entrada das massas'!N132="","",IF(AND('Entrada das massas'!N132&lt;=$B$20,'Entrada das massas'!N132&gt;$B$19),'Entrada das massas'!N132-((($C$20-$C$19)*($B$20-'Entrada das massas'!N132)+($B$19*$C$20)-($B$20*$C$20))/($B$19-$B$20)),IF(AND('Entrada das massas'!N132&lt;=$B$19,'Entrada das massas'!N132&gt;$B$18),'Entrada das massas'!N132-((($C$19-$C$18)*($B$19-'Entrada das massas'!N132)+($B$18*$C$19)-($B$19*$C$19))/($B$18-$B$19)),IF(AND('Entrada das massas'!N132&lt;=$B$18,'Entrada das massas'!N132&gt;$B$17),'Entrada das massas'!N132-((($C$18-$C$17)*($B$18-'Entrada das massas'!N132)+($B$17*$C$18)-($B$18*$C$18))/($B$17-$B$18)),IF(AND('Entrada das massas'!N132&lt;=$B$17,'Entrada das massas'!N132&gt;$B$16),'Entrada das massas'!N132-((($C$17-$C$16)*($B$17-'Entrada das massas'!N132)+($B$16*$C$17)-($B$17*$C$17))/($B$16-$B$17)),IF(AND('Entrada das massas'!N132&lt;=$B$16,'Entrada das massas'!N132&gt;$B$15),'Entrada das massas'!N132-((($C$16-$C$15)*($B$16-'Entrada das massas'!N132)+($B$15*$C$16)-($B$16*$C$16))/($B$15-$B$16)),IF(AND('Entrada das massas'!N132&lt;=$B$15,'Entrada das massas'!N132&gt;$B$14),'Entrada das massas'!N132-((($C$15-$C$14)*($B$15-'Entrada das massas'!N132)+($B$14*$C$15)-($B$15*$C$15))/($B$14-$B$15)),IF(AND('Entrada das massas'!N132&lt;=$B$14,'Entrada das massas'!N132&gt;$B$13),'Entrada das massas'!N132-((($C$14-$C$13)*($B$14-'Entrada das massas'!N132)+($B$13*$C$14)-($B$14*$C$14))/($B$13-$B$14)),IF(AND('Entrada das massas'!N132&lt;=$B$13,'Entrada das massas'!N132&gt;$B$12),'Entrada das massas'!N132-((($C$13-$C$12)*($B$13-'Entrada das massas'!N132)+($B$12*$C$13)-($B$13*$C$13))/($B$12-$B$13)),IF(AND('Entrada das massas'!N132&lt;=$B$12,'Entrada das massas'!N132&gt;$B$11),'Entrada das massas'!N132-((($C$12-$C$11)*($B$12-'Entrada das massas'!N132)+($B$11*$C$12)-($B$12*$C$12))/($B$11-$B$12)),IF(AND('Entrada das massas'!N132&lt;=$B$11,'Entrada das massas'!N132&gt;$B$10),'Entrada das massas'!N132-((($C$11-$C$10)*($B$11-'Entrada das massas'!N132)+($B$10*$C$11)-($B$11*$C$11))/($B$10-$B$11)),IF(AND('Entrada das massas'!N132&lt;=$B$10,'Entrada das massas'!N132&gt;$B$9),'Entrada das massas'!N132-((($C$10-$C$9)*($B$10-'Entrada das massas'!N132)+($B$9*$C$10)-($B$10*$C$10))/($B$9-$B$10)),IF(AND('Entrada das massas'!N132&lt;=$B$9,'Entrada das massas'!N132&gt;$B$8),'Entrada das massas'!N132-((($C$9-$C$8)*($B$9-'Entrada das massas'!N132)+($B$8*$C$9)-($B$9*$C$9))/($B$8-$B$9)),IF(AND('Entrada das massas'!N132&lt;=$B$8,'Entrada das massas'!N132&gt;$B$7),'Entrada das massas'!N132-((($C$8-$C$7)*($B$8-'Entrada das massas'!N132)+($B$7*$C$8)-($B$8*$C$8))/($B$7-$B$8)),IF(AND('Entrada das massas'!N132&lt;=$B$7,'Entrada das massas'!N132&gt;$B$6),'Entrada das massas'!N132-((($C$7-$C$6)*($B$7-'Entrada das massas'!N132)+($B$6*$C$7)-($B$7*$C$7))/($B$6-$B$7)),IF(AND('Entrada das massas'!N132&lt;=$B$6,'Entrada das massas'!N132&gt;$B$5),'Entrada das massas'!N132-((($C$6-$C$5)*($B$6-'Entrada das massas'!N132)+($B$5*$C$6)-($B$6*$C$6))/($B$5-$B$6)),IF('Entrada das massas'!N132&lt;=$B$5,'Entrada das massas'!N132-$C$5)))))))))))))))))</f>
        <v/>
      </c>
      <c r="Q152" s="117" t="str">
        <f>IF(P152="","",(IF(AND(P152&lt;=$B$20,P152&gt;$B$19),$D$19+($B$19-P152)/($B$19-$B$20)*($D$20-$D$19),IF(AND(P152&lt;=$B$19,P152&gt;$B$18),$D$18+($B$18-P152)/($B$18-$B$19)*($D$19-$D$18),IF(AND(P152&lt;=$B$18,P152&gt;$B$17),$D$17+($B$17-P152)/($B$17-$B$18)*($D$18-$D$17),IF(AND(P152&lt;=$B$17,P152&gt;$B$16),$D$16+($B$16-P152)/($B$16-$B$17)*($D$17-$D$16),IF(AND(P152&lt;=$B$16,P152&gt;$B$15),$D$15+($B$15-P152)/($B$15-$B$16)*($D$16-$D$15),IF(AND(P152&lt;=$B$15,P152&gt;$B$14),$D$14+($B$14-P152)/($B$14-$B$15)*($D$15-$D$14),IF(AND(P152&lt;=$B$14,P152&gt;$B$13),$D$13+($B$13-P152)/($B$13-$B$14)*($D$14-$D$13),IF(AND(P152&lt;=$B$13,P152&gt;$B$12),$D$12+($B$12-P152)/($B$12-$B$13)*($D$13-$D$12),IF(AND(P152&lt;=$B$12,P152&gt;$B$11),$D$11+($B$11-P152)/($B$11-$B$12)*($D$12-$D$11),IF(AND(P152&lt;=$B$11,P152&gt;$B$10),$D$10+($B$10-P152)/($B$10-$B$11)*($D$11-$D$10),IF(AND(P152&lt;=$B$10,P152&gt;$B$9),$D$9+($B$9-P152)/($B$9-$B$10)*($D$10-$D$9),IF(AND(P152&lt;=$B$9,P152&gt;$B$8),$D$8+($B$8-P152)/($B$8-$B$9)*($D$9-$D$8),IF(AND(P152&lt;=$B$8,P152&gt;$B$7),$D$7+($B$7-P152)/($B$7-$B$8)*($D$8-$D$7),IF(AND(P152&lt;=$B$7,P152&gt;$B$6),$D$6+($B$6-P152)/($B$6-$B$7)*($D$7-$D$6),IF(P152&lt;=$B$6,$D$6)))))))))))))))))</f>
        <v/>
      </c>
      <c r="R152" s="117"/>
      <c r="S152" s="117"/>
      <c r="T152" s="118" t="str">
        <f>IFERROR(R154/R153,"")</f>
        <v/>
      </c>
      <c r="U152" s="93"/>
      <c r="V152" s="115" t="str">
        <f>IF(W151="","","Frasco")</f>
        <v/>
      </c>
      <c r="W152" s="95" t="str">
        <f>IF('Entrada das massas'!S132="","",IF(AND('Entrada das massas'!S132&lt;=$B$20,'Entrada das massas'!S132&gt;$B$19),'Entrada das massas'!S132-((($C$20-$C$19)*($B$20-'Entrada das massas'!S132)+($B$19*$C$20)-($B$20*$C$20))/($B$19-$B$20)),IF(AND('Entrada das massas'!S132&lt;=$B$19,'Entrada das massas'!S132&gt;$B$18),'Entrada das massas'!S132-((($C$19-$C$18)*($B$19-'Entrada das massas'!S132)+($B$18*$C$19)-($B$19*$C$19))/($B$18-$B$19)),IF(AND('Entrada das massas'!S132&lt;=$B$18,'Entrada das massas'!S132&gt;$B$17),'Entrada das massas'!S132-((($C$18-$C$17)*($B$18-'Entrada das massas'!S132)+($B$17*$C$18)-($B$18*$C$18))/($B$17-$B$18)),IF(AND('Entrada das massas'!S132&lt;=$B$17,'Entrada das massas'!S132&gt;$B$16),'Entrada das massas'!S132-((($C$17-$C$16)*($B$17-'Entrada das massas'!S132)+($B$16*$C$17)-($B$17*$C$17))/($B$16-$B$17)),IF(AND('Entrada das massas'!S132&lt;=$B$16,'Entrada das massas'!S132&gt;$B$15),'Entrada das massas'!S132-((($C$16-$C$15)*($B$16-'Entrada das massas'!S132)+($B$15*$C$16)-($B$16*$C$16))/($B$15-$B$16)),IF(AND('Entrada das massas'!S132&lt;=$B$15,'Entrada das massas'!S132&gt;$B$14),'Entrada das massas'!S132-((($C$15-$C$14)*($B$15-'Entrada das massas'!S132)+($B$14*$C$15)-($B$15*$C$15))/($B$14-$B$15)),IF(AND('Entrada das massas'!S132&lt;=$B$14,'Entrada das massas'!S132&gt;$B$13),'Entrada das massas'!S132-((($C$14-$C$13)*($B$14-'Entrada das massas'!S132)+($B$13*$C$14)-($B$14*$C$14))/($B$13-$B$14)),IF(AND('Entrada das massas'!S132&lt;=$B$13,'Entrada das massas'!S132&gt;$B$12),'Entrada das massas'!S132-((($C$13-$C$12)*($B$13-'Entrada das massas'!S132)+($B$12*$C$13)-($B$13*$C$13))/($B$12-$B$13)),IF(AND('Entrada das massas'!S132&lt;=$B$12,'Entrada das massas'!S132&gt;$B$11),'Entrada das massas'!S132-((($C$12-$C$11)*($B$12-'Entrada das massas'!S132)+($B$11*$C$12)-($B$12*$C$12))/($B$11-$B$12)),IF(AND('Entrada das massas'!S132&lt;=$B$11,'Entrada das massas'!S132&gt;$B$10),'Entrada das massas'!S132-((($C$11-$C$10)*($B$11-'Entrada das massas'!S132)+($B$10*$C$11)-($B$11*$C$11))/($B$10-$B$11)),IF(AND('Entrada das massas'!S132&lt;=$B$10,'Entrada das massas'!S132&gt;$B$9),'Entrada das massas'!S132-((($C$10-$C$9)*($B$10-'Entrada das massas'!S132)+($B$9*$C$10)-($B$10*$C$10))/($B$9-$B$10)),IF(AND('Entrada das massas'!S132&lt;=$B$9,'Entrada das massas'!S132&gt;$B$8),'Entrada das massas'!S132-((($C$9-$C$8)*($B$9-'Entrada das massas'!S132)+($B$8*$C$9)-($B$9*$C$9))/($B$8-$B$9)),IF(AND('Entrada das massas'!S132&lt;=$B$8,'Entrada das massas'!S132&gt;$B$7),'Entrada das massas'!S132-((($C$8-$C$7)*($B$8-'Entrada das massas'!S132)+($B$7*$C$8)-($B$8*$C$8))/($B$7-$B$8)),IF(AND('Entrada das massas'!S132&lt;=$B$7,'Entrada das massas'!S132&gt;$B$6),'Entrada das massas'!S132-((($C$7-$C$6)*($B$7-'Entrada das massas'!S132)+($B$6*$C$7)-($B$7*$C$7))/($B$6-$B$7)),IF(AND('Entrada das massas'!S132&lt;=$B$6,'Entrada das massas'!S132&gt;$B$5),'Entrada das massas'!S132-((($C$6-$C$5)*($B$6-'Entrada das massas'!S132)+($B$5*$C$6)-($B$6*$C$6))/($B$5-$B$6)),IF('Entrada das massas'!S132&lt;=$B$5,'Entrada das massas'!S132-$C$5)))))))))))))))))</f>
        <v/>
      </c>
      <c r="X152" s="117" t="str">
        <f>IF(W152="","",(IF(AND(W152&lt;=$B$20,W152&gt;$B$19),$D$19+($B$19-W152)/($B$19-$B$20)*($D$20-$D$19),IF(AND(W152&lt;=$B$19,W152&gt;$B$18),$D$18+($B$18-W152)/($B$18-$B$19)*($D$19-$D$18),IF(AND(W152&lt;=$B$18,W152&gt;$B$17),$D$17+($B$17-W152)/($B$17-$B$18)*($D$18-$D$17),IF(AND(W152&lt;=$B$17,W152&gt;$B$16),$D$16+($B$16-W152)/($B$16-$B$17)*($D$17-$D$16),IF(AND(W152&lt;=$B$16,W152&gt;$B$15),$D$15+($B$15-W152)/($B$15-$B$16)*($D$16-$D$15),IF(AND(W152&lt;=$B$15,W152&gt;$B$14),$D$14+($B$14-W152)/($B$14-$B$15)*($D$15-$D$14),IF(AND(W152&lt;=$B$14,W152&gt;$B$13),$D$13+($B$13-W152)/($B$13-$B$14)*($D$14-$D$13),IF(AND(W152&lt;=$B$13,W152&gt;$B$12),$D$12+($B$12-W152)/($B$12-$B$13)*($D$13-$D$12),IF(AND(W152&lt;=$B$12,W152&gt;$B$11),$D$11+($B$11-W152)/($B$11-$B$12)*($D$12-$D$11),IF(AND(W152&lt;=$B$11,W152&gt;$B$10),$D$10+($B$10-W152)/($B$10-$B$11)*($D$11-$D$10),IF(AND(W152&lt;=$B$10,W152&gt;$B$9),$D$9+($B$9-W152)/($B$9-$B$10)*($D$10-$D$9),IF(AND(W152&lt;=$B$9,W152&gt;$B$8),$D$8+($B$8-W152)/($B$8-$B$9)*($D$9-$D$8),IF(AND(W152&lt;=$B$8,W152&gt;$B$7),$D$7+($B$7-W152)/($B$7-$B$8)*($D$8-$D$7),IF(AND(W152&lt;=$B$7,W152&gt;$B$6),$D$6+($B$6-W152)/($B$6-$B$7)*($D$7-$D$6),IF(W152&lt;=$B$6,$D$6)))))))))))))))))</f>
        <v/>
      </c>
      <c r="Y152" s="117"/>
      <c r="Z152" s="117"/>
      <c r="AA152" s="118" t="str">
        <f>IFERROR(Y154/Y153,"")</f>
        <v/>
      </c>
    </row>
    <row r="153" spans="3:27" x14ac:dyDescent="0.2">
      <c r="C153" s="104"/>
      <c r="D153" s="109"/>
      <c r="E153" s="164"/>
      <c r="F153" s="104"/>
      <c r="H153" s="115" t="str">
        <f>IF(I151="","","Frasco + Amostra")</f>
        <v/>
      </c>
      <c r="I153" s="116" t="str">
        <f>IF('Entrada das massas'!I133="","",IF(AND('Entrada das massas'!I133&lt;=$B$20,'Entrada das massas'!I133&gt;$B$19),'Entrada das massas'!I133-((($C$20-$C$19)*($B$20-'Entrada das massas'!I133)+($B$19*$C$20)-($B$20*$C$20))/($B$19-$B$20)),IF(AND('Entrada das massas'!I133&lt;=$B$19,'Entrada das massas'!I133&gt;$B$18),'Entrada das massas'!I133-((($C$19-$C$18)*($B$19-'Entrada das massas'!I133)+($B$18*$C$19)-($B$19*$C$19))/($B$18-$B$19)),IF(AND('Entrada das massas'!I133&lt;=$B$18,'Entrada das massas'!I133&gt;$B$17),'Entrada das massas'!I133-((($C$18-$C$17)*($B$18-'Entrada das massas'!I133)+($B$17*$C$18)-($B$18*$C$18))/($B$17-$B$18)),IF(AND('Entrada das massas'!I133&lt;=$B$17,'Entrada das massas'!I133&gt;$B$16),'Entrada das massas'!I133-((($C$17-$C$16)*($B$17-'Entrada das massas'!I133)+($B$16*$C$17)-($B$17*$C$17))/($B$16-$B$17)),IF(AND('Entrada das massas'!I133&lt;=$B$16,'Entrada das massas'!I133&gt;$B$15),'Entrada das massas'!I133-((($C$16-$C$15)*($B$16-'Entrada das massas'!I133)+($B$15*$C$16)-($B$16*$C$16))/($B$15-$B$16)),IF(AND('Entrada das massas'!I133&lt;=$B$15,'Entrada das massas'!I133&gt;$B$14),'Entrada das massas'!I133-((($C$15-$C$14)*($B$15-'Entrada das massas'!I133)+($B$14*$C$15)-($B$15*$C$15))/($B$14-$B$15)),IF(AND('Entrada das massas'!I133&lt;=$B$14,'Entrada das massas'!I133&gt;$B$13),'Entrada das massas'!I133-((($C$14-$C$13)*($B$14-'Entrada das massas'!I133)+($B$13*$C$14)-($B$14*$C$14))/($B$13-$B$14)),IF(AND('Entrada das massas'!I133&lt;=$B$13,'Entrada das massas'!I133&gt;$B$12),'Entrada das massas'!I133-((($C$13-$C$12)*($B$13-'Entrada das massas'!I133)+($B$12*$C$13)-($B$13*$C$13))/($B$12-$B$13)),IF(AND('Entrada das massas'!I133&lt;=$B$12,'Entrada das massas'!I133&gt;$B$11),'Entrada das massas'!I133-((($C$12-$C$11)*($B$12-'Entrada das massas'!I133)+($B$11*$C$12)-($B$12*$C$12))/($B$11-$B$12)),IF(AND('Entrada das massas'!I133&lt;=$B$11,'Entrada das massas'!I133&gt;$B$10),'Entrada das massas'!I133-((($C$11-$C$10)*($B$11-'Entrada das massas'!I133)+($B$10*$C$11)-($B$11*$C$11))/($B$10-$B$11)),IF(AND('Entrada das massas'!I133&lt;=$B$10,'Entrada das massas'!I133&gt;$B$9),'Entrada das massas'!I133-((($C$10-$C$9)*($B$10-'Entrada das massas'!I133)+($B$9*$C$10)-($B$10*$C$10))/($B$9-$B$10)),IF(AND('Entrada das massas'!I133&lt;=$B$9,'Entrada das massas'!I133&gt;$B$8),'Entrada das massas'!I133-((($C$9-$C$8)*($B$9-'Entrada das massas'!I133)+($B$8*$C$9)-($B$9*$C$9))/($B$8-$B$9)),IF(AND('Entrada das massas'!I133&lt;=$B$8,'Entrada das massas'!I133&gt;$B$7),'Entrada das massas'!I133-((($C$8-$C$7)*($B$8-'Entrada das massas'!I133)+($B$7*$C$8)-($B$8*$C$8))/($B$7-$B$8)),IF(AND('Entrada das massas'!I133&lt;=$B$7,'Entrada das massas'!I133&gt;$B$6),'Entrada das massas'!I133-((($C$7-$C$6)*($B$7-'Entrada das massas'!I133)+($B$6*$C$7)-($B$7*$C$7))/($B$6-$B$7)),IF(AND('Entrada das massas'!I133&lt;=$B$6,'Entrada das massas'!I133&gt;$B$5),'Entrada das massas'!I133-((($C$6-$C$5)*($B$6-'Entrada das massas'!I133)+($B$5*$C$6)-($B$6*$C$6))/($B$5-$B$6)),IF('Entrada das massas'!I133&lt;=$B$5,'Entrada das massas'!I133-$C$5)))))))))))))))))</f>
        <v/>
      </c>
      <c r="J153" s="117" t="str">
        <f t="shared" ref="J153:J154" si="78">IF(I153="","",(IF(AND(I153&lt;=$B$20,I153&gt;$B$19),$D$19+($B$19-I153)/($B$19-$B$20)*($D$20-$D$19),IF(AND(I153&lt;=$B$19,I153&gt;$B$18),$D$18+($B$18-I153)/($B$18-$B$19)*($D$19-$D$18),IF(AND(I153&lt;=$B$18,I153&gt;$B$17),$D$17+($B$17-I153)/($B$17-$B$18)*($D$18-$D$17),IF(AND(I153&lt;=$B$17,I153&gt;$B$16),$D$16+($B$16-I153)/($B$16-$B$17)*($D$17-$D$16),IF(AND(I153&lt;=$B$16,I153&gt;$B$15),$D$15+($B$15-I153)/($B$15-$B$16)*($D$16-$D$15),IF(AND(I153&lt;=$B$15,I153&gt;$B$14),$D$14+($B$14-I153)/($B$14-$B$15)*($D$15-$D$14),IF(AND(I153&lt;=$B$14,I153&gt;$B$13),$D$13+($B$13-I153)/($B$13-$B$14)*($D$14-$D$13),IF(AND(I153&lt;=$B$13,I153&gt;$B$12),$D$12+($B$12-I153)/($B$12-$B$13)*($D$13-$D$12),IF(AND(I153&lt;=$B$12,I153&gt;$B$11),$D$11+($B$11-I153)/($B$11-$B$12)*($D$12-$D$11),IF(AND(I153&lt;=$B$11,I153&gt;$B$10),$D$10+($B$10-I153)/($B$10-$B$11)*($D$11-$D$10),IF(AND(I153&lt;=$B$10,I153&gt;$B$9),$D$9+($B$9-I153)/($B$9-$B$10)*($D$10-$D$9),IF(AND(I153&lt;=$B$9,I153&gt;$B$8),$D$8+($B$8-I153)/($B$8-$B$9)*($D$9-$D$8),IF(AND(I153&lt;=$B$8,I153&gt;$B$7),$D$7+($B$7-I153)/($B$7-$B$8)*($D$8-$D$7),IF(AND(I153&lt;=$B$7,I153&gt;$B$6),$D$6+($B$6-I153)/($B$6-$B$7)*($D$7-$D$6),IF(I153&lt;=$B$6,$D$6)))))))))))))))))</f>
        <v/>
      </c>
      <c r="K153" s="120" t="str">
        <f>IF(I152="","",I153-I152)</f>
        <v/>
      </c>
      <c r="L153" s="117" t="str">
        <f>IF(J152="","",SQRT(SUMSQ(J152:J153)))</f>
        <v/>
      </c>
      <c r="M153" s="93" t="str">
        <f>IF(I151="","","Amostra")</f>
        <v/>
      </c>
      <c r="N153" s="118"/>
      <c r="O153" s="115" t="str">
        <f>IF(P151="","","Frasco + Amostra")</f>
        <v/>
      </c>
      <c r="P153" s="95" t="str">
        <f>IF('Entrada das massas'!N133="","",IF(AND('Entrada das massas'!N133&lt;=$B$20,'Entrada das massas'!N133&gt;$B$19),'Entrada das massas'!N133-((($C$20-$C$19)*($B$20-'Entrada das massas'!N133)+($B$19*$C$20)-($B$20*$C$20))/($B$19-$B$20)),IF(AND('Entrada das massas'!N133&lt;=$B$19,'Entrada das massas'!N133&gt;$B$18),'Entrada das massas'!N133-((($C$19-$C$18)*($B$19-'Entrada das massas'!N133)+($B$18*$C$19)-($B$19*$C$19))/($B$18-$B$19)),IF(AND('Entrada das massas'!N133&lt;=$B$18,'Entrada das massas'!N133&gt;$B$17),'Entrada das massas'!N133-((($C$18-$C$17)*($B$18-'Entrada das massas'!N133)+($B$17*$C$18)-($B$18*$C$18))/($B$17-$B$18)),IF(AND('Entrada das massas'!N133&lt;=$B$17,'Entrada das massas'!N133&gt;$B$16),'Entrada das massas'!N133-((($C$17-$C$16)*($B$17-'Entrada das massas'!N133)+($B$16*$C$17)-($B$17*$C$17))/($B$16-$B$17)),IF(AND('Entrada das massas'!N133&lt;=$B$16,'Entrada das massas'!N133&gt;$B$15),'Entrada das massas'!N133-((($C$16-$C$15)*($B$16-'Entrada das massas'!N133)+($B$15*$C$16)-($B$16*$C$16))/($B$15-$B$16)),IF(AND('Entrada das massas'!N133&lt;=$B$15,'Entrada das massas'!N133&gt;$B$14),'Entrada das massas'!N133-((($C$15-$C$14)*($B$15-'Entrada das massas'!N133)+($B$14*$C$15)-($B$15*$C$15))/($B$14-$B$15)),IF(AND('Entrada das massas'!N133&lt;=$B$14,'Entrada das massas'!N133&gt;$B$13),'Entrada das massas'!N133-((($C$14-$C$13)*($B$14-'Entrada das massas'!N133)+($B$13*$C$14)-($B$14*$C$14))/($B$13-$B$14)),IF(AND('Entrada das massas'!N133&lt;=$B$13,'Entrada das massas'!N133&gt;$B$12),'Entrada das massas'!N133-((($C$13-$C$12)*($B$13-'Entrada das massas'!N133)+($B$12*$C$13)-($B$13*$C$13))/($B$12-$B$13)),IF(AND('Entrada das massas'!N133&lt;=$B$12,'Entrada das massas'!N133&gt;$B$11),'Entrada das massas'!N133-((($C$12-$C$11)*($B$12-'Entrada das massas'!N133)+($B$11*$C$12)-($B$12*$C$12))/($B$11-$B$12)),IF(AND('Entrada das massas'!N133&lt;=$B$11,'Entrada das massas'!N133&gt;$B$10),'Entrada das massas'!N133-((($C$11-$C$10)*($B$11-'Entrada das massas'!N133)+($B$10*$C$11)-($B$11*$C$11))/($B$10-$B$11)),IF(AND('Entrada das massas'!N133&lt;=$B$10,'Entrada das massas'!N133&gt;$B$9),'Entrada das massas'!N133-((($C$10-$C$9)*($B$10-'Entrada das massas'!N133)+($B$9*$C$10)-($B$10*$C$10))/($B$9-$B$10)),IF(AND('Entrada das massas'!N133&lt;=$B$9,'Entrada das massas'!N133&gt;$B$8),'Entrada das massas'!N133-((($C$9-$C$8)*($B$9-'Entrada das massas'!N133)+($B$8*$C$9)-($B$9*$C$9))/($B$8-$B$9)),IF(AND('Entrada das massas'!N133&lt;=$B$8,'Entrada das massas'!N133&gt;$B$7),'Entrada das massas'!N133-((($C$8-$C$7)*($B$8-'Entrada das massas'!N133)+($B$7*$C$8)-($B$8*$C$8))/($B$7-$B$8)),IF(AND('Entrada das massas'!N133&lt;=$B$7,'Entrada das massas'!N133&gt;$B$6),'Entrada das massas'!N133-((($C$7-$C$6)*($B$7-'Entrada das massas'!N133)+($B$6*$C$7)-($B$7*$C$7))/($B$6-$B$7)),IF(AND('Entrada das massas'!N133&lt;=$B$6,'Entrada das massas'!N133&gt;$B$5),'Entrada das massas'!N133-((($C$6-$C$5)*($B$6-'Entrada das massas'!N133)+($B$5*$C$6)-($B$6*$C$6))/($B$5-$B$6)),IF('Entrada das massas'!N133&lt;=$B$5,'Entrada das massas'!N133-$C$5)))))))))))))))))</f>
        <v/>
      </c>
      <c r="Q153" s="117" t="str">
        <f t="shared" ref="Q153:Q154" si="79">IF(P153="","",(IF(AND(P153&lt;=$B$20,P153&gt;$B$19),$D$19+($B$19-P153)/($B$19-$B$20)*($D$20-$D$19),IF(AND(P153&lt;=$B$19,P153&gt;$B$18),$D$18+($B$18-P153)/($B$18-$B$19)*($D$19-$D$18),IF(AND(P153&lt;=$B$18,P153&gt;$B$17),$D$17+($B$17-P153)/($B$17-$B$18)*($D$18-$D$17),IF(AND(P153&lt;=$B$17,P153&gt;$B$16),$D$16+($B$16-P153)/($B$16-$B$17)*($D$17-$D$16),IF(AND(P153&lt;=$B$16,P153&gt;$B$15),$D$15+($B$15-P153)/($B$15-$B$16)*($D$16-$D$15),IF(AND(P153&lt;=$B$15,P153&gt;$B$14),$D$14+($B$14-P153)/($B$14-$B$15)*($D$15-$D$14),IF(AND(P153&lt;=$B$14,P153&gt;$B$13),$D$13+($B$13-P153)/($B$13-$B$14)*($D$14-$D$13),IF(AND(P153&lt;=$B$13,P153&gt;$B$12),$D$12+($B$12-P153)/($B$12-$B$13)*($D$13-$D$12),IF(AND(P153&lt;=$B$12,P153&gt;$B$11),$D$11+($B$11-P153)/($B$11-$B$12)*($D$12-$D$11),IF(AND(P153&lt;=$B$11,P153&gt;$B$10),$D$10+($B$10-P153)/($B$10-$B$11)*($D$11-$D$10),IF(AND(P153&lt;=$B$10,P153&gt;$B$9),$D$9+($B$9-P153)/($B$9-$B$10)*($D$10-$D$9),IF(AND(P153&lt;=$B$9,P153&gt;$B$8),$D$8+($B$8-P153)/($B$8-$B$9)*($D$9-$D$8),IF(AND(P153&lt;=$B$8,P153&gt;$B$7),$D$7+($B$7-P153)/($B$7-$B$8)*($D$8-$D$7),IF(AND(P153&lt;=$B$7,P153&gt;$B$6),$D$6+($B$6-P153)/($B$6-$B$7)*($D$7-$D$6),IF(P153&lt;=$B$6,$D$6)))))))))))))))))</f>
        <v/>
      </c>
      <c r="R153" s="120" t="str">
        <f>IF(P152="","",P153-P152)</f>
        <v/>
      </c>
      <c r="S153" s="117" t="str">
        <f>IF(Q152="","",SQRT(SUMSQ(Q152:Q153)))</f>
        <v/>
      </c>
      <c r="T153" s="93" t="str">
        <f>IF(P151="","","Amostra")</f>
        <v/>
      </c>
      <c r="U153" s="118"/>
      <c r="V153" s="115" t="str">
        <f>IF(W151="","","Frasco + Amostra")</f>
        <v/>
      </c>
      <c r="W153" s="95" t="str">
        <f>IF('Entrada das massas'!S133="","",IF(AND('Entrada das massas'!S133&lt;=$B$20,'Entrada das massas'!S133&gt;$B$19),'Entrada das massas'!S133-((($C$20-$C$19)*($B$20-'Entrada das massas'!S133)+($B$19*$C$20)-($B$20*$C$20))/($B$19-$B$20)),IF(AND('Entrada das massas'!S133&lt;=$B$19,'Entrada das massas'!S133&gt;$B$18),'Entrada das massas'!S133-((($C$19-$C$18)*($B$19-'Entrada das massas'!S133)+($B$18*$C$19)-($B$19*$C$19))/($B$18-$B$19)),IF(AND('Entrada das massas'!S133&lt;=$B$18,'Entrada das massas'!S133&gt;$B$17),'Entrada das massas'!S133-((($C$18-$C$17)*($B$18-'Entrada das massas'!S133)+($B$17*$C$18)-($B$18*$C$18))/($B$17-$B$18)),IF(AND('Entrada das massas'!S133&lt;=$B$17,'Entrada das massas'!S133&gt;$B$16),'Entrada das massas'!S133-((($C$17-$C$16)*($B$17-'Entrada das massas'!S133)+($B$16*$C$17)-($B$17*$C$17))/($B$16-$B$17)),IF(AND('Entrada das massas'!S133&lt;=$B$16,'Entrada das massas'!S133&gt;$B$15),'Entrada das massas'!S133-((($C$16-$C$15)*($B$16-'Entrada das massas'!S133)+($B$15*$C$16)-($B$16*$C$16))/($B$15-$B$16)),IF(AND('Entrada das massas'!S133&lt;=$B$15,'Entrada das massas'!S133&gt;$B$14),'Entrada das massas'!S133-((($C$15-$C$14)*($B$15-'Entrada das massas'!S133)+($B$14*$C$15)-($B$15*$C$15))/($B$14-$B$15)),IF(AND('Entrada das massas'!S133&lt;=$B$14,'Entrada das massas'!S133&gt;$B$13),'Entrada das massas'!S133-((($C$14-$C$13)*($B$14-'Entrada das massas'!S133)+($B$13*$C$14)-($B$14*$C$14))/($B$13-$B$14)),IF(AND('Entrada das massas'!S133&lt;=$B$13,'Entrada das massas'!S133&gt;$B$12),'Entrada das massas'!S133-((($C$13-$C$12)*($B$13-'Entrada das massas'!S133)+($B$12*$C$13)-($B$13*$C$13))/($B$12-$B$13)),IF(AND('Entrada das massas'!S133&lt;=$B$12,'Entrada das massas'!S133&gt;$B$11),'Entrada das massas'!S133-((($C$12-$C$11)*($B$12-'Entrada das massas'!S133)+($B$11*$C$12)-($B$12*$C$12))/($B$11-$B$12)),IF(AND('Entrada das massas'!S133&lt;=$B$11,'Entrada das massas'!S133&gt;$B$10),'Entrada das massas'!S133-((($C$11-$C$10)*($B$11-'Entrada das massas'!S133)+($B$10*$C$11)-($B$11*$C$11))/($B$10-$B$11)),IF(AND('Entrada das massas'!S133&lt;=$B$10,'Entrada das massas'!S133&gt;$B$9),'Entrada das massas'!S133-((($C$10-$C$9)*($B$10-'Entrada das massas'!S133)+($B$9*$C$10)-($B$10*$C$10))/($B$9-$B$10)),IF(AND('Entrada das massas'!S133&lt;=$B$9,'Entrada das massas'!S133&gt;$B$8),'Entrada das massas'!S133-((($C$9-$C$8)*($B$9-'Entrada das massas'!S133)+($B$8*$C$9)-($B$9*$C$9))/($B$8-$B$9)),IF(AND('Entrada das massas'!S133&lt;=$B$8,'Entrada das massas'!S133&gt;$B$7),'Entrada das massas'!S133-((($C$8-$C$7)*($B$8-'Entrada das massas'!S133)+($B$7*$C$8)-($B$8*$C$8))/($B$7-$B$8)),IF(AND('Entrada das massas'!S133&lt;=$B$7,'Entrada das massas'!S133&gt;$B$6),'Entrada das massas'!S133-((($C$7-$C$6)*($B$7-'Entrada das massas'!S133)+($B$6*$C$7)-($B$7*$C$7))/($B$6-$B$7)),IF(AND('Entrada das massas'!S133&lt;=$B$6,'Entrada das massas'!S133&gt;$B$5),'Entrada das massas'!S133-((($C$6-$C$5)*($B$6-'Entrada das massas'!S133)+($B$5*$C$6)-($B$6*$C$6))/($B$5-$B$6)),IF('Entrada das massas'!S133&lt;=$B$5,'Entrada das massas'!S133-$C$5)))))))))))))))))</f>
        <v/>
      </c>
      <c r="X153" s="117" t="str">
        <f t="shared" ref="X153:X154" si="80">IF(W153="","",(IF(AND(W153&lt;=$B$20,W153&gt;$B$19),$D$19+($B$19-W153)/($B$19-$B$20)*($D$20-$D$19),IF(AND(W153&lt;=$B$19,W153&gt;$B$18),$D$18+($B$18-W153)/($B$18-$B$19)*($D$19-$D$18),IF(AND(W153&lt;=$B$18,W153&gt;$B$17),$D$17+($B$17-W153)/($B$17-$B$18)*($D$18-$D$17),IF(AND(W153&lt;=$B$17,W153&gt;$B$16),$D$16+($B$16-W153)/($B$16-$B$17)*($D$17-$D$16),IF(AND(W153&lt;=$B$16,W153&gt;$B$15),$D$15+($B$15-W153)/($B$15-$B$16)*($D$16-$D$15),IF(AND(W153&lt;=$B$15,W153&gt;$B$14),$D$14+($B$14-W153)/($B$14-$B$15)*($D$15-$D$14),IF(AND(W153&lt;=$B$14,W153&gt;$B$13),$D$13+($B$13-W153)/($B$13-$B$14)*($D$14-$D$13),IF(AND(W153&lt;=$B$13,W153&gt;$B$12),$D$12+($B$12-W153)/($B$12-$B$13)*($D$13-$D$12),IF(AND(W153&lt;=$B$12,W153&gt;$B$11),$D$11+($B$11-W153)/($B$11-$B$12)*($D$12-$D$11),IF(AND(W153&lt;=$B$11,W153&gt;$B$10),$D$10+($B$10-W153)/($B$10-$B$11)*($D$11-$D$10),IF(AND(W153&lt;=$B$10,W153&gt;$B$9),$D$9+($B$9-W153)/($B$9-$B$10)*($D$10-$D$9),IF(AND(W153&lt;=$B$9,W153&gt;$B$8),$D$8+($B$8-W153)/($B$8-$B$9)*($D$9-$D$8),IF(AND(W153&lt;=$B$8,W153&gt;$B$7),$D$7+($B$7-W153)/($B$7-$B$8)*($D$8-$D$7),IF(AND(W153&lt;=$B$7,W153&gt;$B$6),$D$6+($B$6-W153)/($B$6-$B$7)*($D$7-$D$6),IF(W153&lt;=$B$6,$D$6)))))))))))))))))</f>
        <v/>
      </c>
      <c r="Y153" s="120" t="str">
        <f>IF(W152="","",W153-W152)</f>
        <v/>
      </c>
      <c r="Z153" s="117" t="str">
        <f>IF(X152="","",SQRT(SUMSQ(X152:X153)))</f>
        <v/>
      </c>
      <c r="AA153" s="93" t="str">
        <f>IF(W151="","","Amostra")</f>
        <v/>
      </c>
    </row>
    <row r="154" spans="3:27" x14ac:dyDescent="0.2">
      <c r="H154" s="123" t="str">
        <f>IF(I151="","","Massa final")</f>
        <v/>
      </c>
      <c r="I154" s="116" t="str">
        <f>IF('Entrada das massas'!I134="","",IF(AND('Entrada das massas'!I134&lt;=$B$20,'Entrada das massas'!I134&gt;$B$19),'Entrada das massas'!I134-((($C$20-$C$19)*($B$20-'Entrada das massas'!I134)+($B$19*$C$20)-($B$20*$C$20))/($B$19-$B$20)),IF(AND('Entrada das massas'!I134&lt;=$B$19,'Entrada das massas'!I134&gt;$B$18),'Entrada das massas'!I134-((($C$19-$C$18)*($B$19-'Entrada das massas'!I134)+($B$18*$C$19)-($B$19*$C$19))/($B$18-$B$19)),IF(AND('Entrada das massas'!I134&lt;=$B$18,'Entrada das massas'!I134&gt;$B$17),'Entrada das massas'!I134-((($C$18-$C$17)*($B$18-'Entrada das massas'!I134)+($B$17*$C$18)-($B$18*$C$18))/($B$17-$B$18)),IF(AND('Entrada das massas'!I134&lt;=$B$17,'Entrada das massas'!I134&gt;$B$16),'Entrada das massas'!I134-((($C$17-$C$16)*($B$17-'Entrada das massas'!I134)+($B$16*$C$17)-($B$17*$C$17))/($B$16-$B$17)),IF(AND('Entrada das massas'!I134&lt;=$B$16,'Entrada das massas'!I134&gt;$B$15),'Entrada das massas'!I134-((($C$16-$C$15)*($B$16-'Entrada das massas'!I134)+($B$15*$C$16)-($B$16*$C$16))/($B$15-$B$16)),IF(AND('Entrada das massas'!I134&lt;=$B$15,'Entrada das massas'!I134&gt;$B$14),'Entrada das massas'!I134-((($C$15-$C$14)*($B$15-'Entrada das massas'!I134)+($B$14*$C$15)-($B$15*$C$15))/($B$14-$B$15)),IF(AND('Entrada das massas'!I134&lt;=$B$14,'Entrada das massas'!I134&gt;$B$13),'Entrada das massas'!I134-((($C$14-$C$13)*($B$14-'Entrada das massas'!I134)+($B$13*$C$14)-($B$14*$C$14))/($B$13-$B$14)),IF(AND('Entrada das massas'!I134&lt;=$B$13,'Entrada das massas'!I134&gt;$B$12),'Entrada das massas'!I134-((($C$13-$C$12)*($B$13-'Entrada das massas'!I134)+($B$12*$C$13)-($B$13*$C$13))/($B$12-$B$13)),IF(AND('Entrada das massas'!I134&lt;=$B$12,'Entrada das massas'!I134&gt;$B$11),'Entrada das massas'!I134-((($C$12-$C$11)*($B$12-'Entrada das massas'!I134)+($B$11*$C$12)-($B$12*$C$12))/($B$11-$B$12)),IF(AND('Entrada das massas'!I134&lt;=$B$11,'Entrada das massas'!I134&gt;$B$10),'Entrada das massas'!I134-((($C$11-$C$10)*($B$11-'Entrada das massas'!I134)+($B$10*$C$11)-($B$11*$C$11))/($B$10-$B$11)),IF(AND('Entrada das massas'!I134&lt;=$B$10,'Entrada das massas'!I134&gt;$B$9),'Entrada das massas'!I134-((($C$10-$C$9)*($B$10-'Entrada das massas'!I134)+($B$9*$C$10)-($B$10*$C$10))/($B$9-$B$10)),IF(AND('Entrada das massas'!I134&lt;=$B$9,'Entrada das massas'!I134&gt;$B$8),'Entrada das massas'!I134-((($C$9-$C$8)*($B$9-'Entrada das massas'!I134)+($B$8*$C$9)-($B$9*$C$9))/($B$8-$B$9)),IF(AND('Entrada das massas'!I134&lt;=$B$8,'Entrada das massas'!I134&gt;$B$7),'Entrada das massas'!I134-((($C$8-$C$7)*($B$8-'Entrada das massas'!I134)+($B$7*$C$8)-($B$8*$C$8))/($B$7-$B$8)),IF(AND('Entrada das massas'!I134&lt;=$B$7,'Entrada das massas'!I134&gt;$B$6),'Entrada das massas'!I134-((($C$7-$C$6)*($B$7-'Entrada das massas'!I134)+($B$6*$C$7)-($B$7*$C$7))/($B$6-$B$7)),IF(AND('Entrada das massas'!I134&lt;=$B$6,'Entrada das massas'!I134&gt;$B$5),'Entrada das massas'!I134-((($C$6-$C$5)*($B$6-'Entrada das massas'!I134)+($B$5*$C$6)-($B$6*$C$6))/($B$5-$B$6)),IF('Entrada das massas'!I134&lt;=$B$5,'Entrada das massas'!I134-$C$5)))))))))))))))))</f>
        <v/>
      </c>
      <c r="J154" s="117" t="str">
        <f t="shared" si="78"/>
        <v/>
      </c>
      <c r="K154" s="120" t="str">
        <f>IF(I152="","",I154-I152)</f>
        <v/>
      </c>
      <c r="L154" s="117" t="str">
        <f>IF(J152="","",SQRT(SUMSQ(J152,J154)))</f>
        <v/>
      </c>
      <c r="M154" s="93" t="str">
        <f>IF(I151="","","Solução")</f>
        <v/>
      </c>
      <c r="N154" s="93"/>
      <c r="O154" s="123" t="str">
        <f>IF(P151="","","Massa final")</f>
        <v/>
      </c>
      <c r="P154" s="95" t="str">
        <f>IF('Entrada das massas'!N134="","",IF(AND('Entrada das massas'!N134&lt;=$B$20,'Entrada das massas'!N134&gt;$B$19),'Entrada das massas'!N134-((($C$20-$C$19)*($B$20-'Entrada das massas'!N134)+($B$19*$C$20)-($B$20*$C$20))/($B$19-$B$20)),IF(AND('Entrada das massas'!N134&lt;=$B$19,'Entrada das massas'!N134&gt;$B$18),'Entrada das massas'!N134-((($C$19-$C$18)*($B$19-'Entrada das massas'!N134)+($B$18*$C$19)-($B$19*$C$19))/($B$18-$B$19)),IF(AND('Entrada das massas'!N134&lt;=$B$18,'Entrada das massas'!N134&gt;$B$17),'Entrada das massas'!N134-((($C$18-$C$17)*($B$18-'Entrada das massas'!N134)+($B$17*$C$18)-($B$18*$C$18))/($B$17-$B$18)),IF(AND('Entrada das massas'!N134&lt;=$B$17,'Entrada das massas'!N134&gt;$B$16),'Entrada das massas'!N134-((($C$17-$C$16)*($B$17-'Entrada das massas'!N134)+($B$16*$C$17)-($B$17*$C$17))/($B$16-$B$17)),IF(AND('Entrada das massas'!N134&lt;=$B$16,'Entrada das massas'!N134&gt;$B$15),'Entrada das massas'!N134-((($C$16-$C$15)*($B$16-'Entrada das massas'!N134)+($B$15*$C$16)-($B$16*$C$16))/($B$15-$B$16)),IF(AND('Entrada das massas'!N134&lt;=$B$15,'Entrada das massas'!N134&gt;$B$14),'Entrada das massas'!N134-((($C$15-$C$14)*($B$15-'Entrada das massas'!N134)+($B$14*$C$15)-($B$15*$C$15))/($B$14-$B$15)),IF(AND('Entrada das massas'!N134&lt;=$B$14,'Entrada das massas'!N134&gt;$B$13),'Entrada das massas'!N134-((($C$14-$C$13)*($B$14-'Entrada das massas'!N134)+($B$13*$C$14)-($B$14*$C$14))/($B$13-$B$14)),IF(AND('Entrada das massas'!N134&lt;=$B$13,'Entrada das massas'!N134&gt;$B$12),'Entrada das massas'!N134-((($C$13-$C$12)*($B$13-'Entrada das massas'!N134)+($B$12*$C$13)-($B$13*$C$13))/($B$12-$B$13)),IF(AND('Entrada das massas'!N134&lt;=$B$12,'Entrada das massas'!N134&gt;$B$11),'Entrada das massas'!N134-((($C$12-$C$11)*($B$12-'Entrada das massas'!N134)+($B$11*$C$12)-($B$12*$C$12))/($B$11-$B$12)),IF(AND('Entrada das massas'!N134&lt;=$B$11,'Entrada das massas'!N134&gt;$B$10),'Entrada das massas'!N134-((($C$11-$C$10)*($B$11-'Entrada das massas'!N134)+($B$10*$C$11)-($B$11*$C$11))/($B$10-$B$11)),IF(AND('Entrada das massas'!N134&lt;=$B$10,'Entrada das massas'!N134&gt;$B$9),'Entrada das massas'!N134-((($C$10-$C$9)*($B$10-'Entrada das massas'!N134)+($B$9*$C$10)-($B$10*$C$10))/($B$9-$B$10)),IF(AND('Entrada das massas'!N134&lt;=$B$9,'Entrada das massas'!N134&gt;$B$8),'Entrada das massas'!N134-((($C$9-$C$8)*($B$9-'Entrada das massas'!N134)+($B$8*$C$9)-($B$9*$C$9))/($B$8-$B$9)),IF(AND('Entrada das massas'!N134&lt;=$B$8,'Entrada das massas'!N134&gt;$B$7),'Entrada das massas'!N134-((($C$8-$C$7)*($B$8-'Entrada das massas'!N134)+($B$7*$C$8)-($B$8*$C$8))/($B$7-$B$8)),IF(AND('Entrada das massas'!N134&lt;=$B$7,'Entrada das massas'!N134&gt;$B$6),'Entrada das massas'!N134-((($C$7-$C$6)*($B$7-'Entrada das massas'!N134)+($B$6*$C$7)-($B$7*$C$7))/($B$6-$B$7)),IF(AND('Entrada das massas'!N134&lt;=$B$6,'Entrada das massas'!N134&gt;$B$5),'Entrada das massas'!N134-((($C$6-$C$5)*($B$6-'Entrada das massas'!N134)+($B$5*$C$6)-($B$6*$C$6))/($B$5-$B$6)),IF('Entrada das massas'!N134&lt;=$B$5,'Entrada das massas'!N134-$C$5)))))))))))))))))</f>
        <v/>
      </c>
      <c r="Q154" s="117" t="str">
        <f t="shared" si="79"/>
        <v/>
      </c>
      <c r="R154" s="120" t="str">
        <f>IF(P152="","",P154-P152)</f>
        <v/>
      </c>
      <c r="S154" s="117" t="str">
        <f>IF(Q152="","",SQRT(SUMSQ(Q152,Q154)))</f>
        <v/>
      </c>
      <c r="T154" s="93" t="str">
        <f>IF(P151="","","Solução")</f>
        <v/>
      </c>
      <c r="U154" s="93"/>
      <c r="V154" s="123" t="str">
        <f>IF(W151="","","Massa final")</f>
        <v/>
      </c>
      <c r="W154" s="95" t="str">
        <f>IF('Entrada das massas'!S134="","",IF(AND('Entrada das massas'!S134&lt;=$B$20,'Entrada das massas'!S134&gt;$B$19),'Entrada das massas'!S134-((($C$20-$C$19)*($B$20-'Entrada das massas'!S134)+($B$19*$C$20)-($B$20*$C$20))/($B$19-$B$20)),IF(AND('Entrada das massas'!S134&lt;=$B$19,'Entrada das massas'!S134&gt;$B$18),'Entrada das massas'!S134-((($C$19-$C$18)*($B$19-'Entrada das massas'!S134)+($B$18*$C$19)-($B$19*$C$19))/($B$18-$B$19)),IF(AND('Entrada das massas'!S134&lt;=$B$18,'Entrada das massas'!S134&gt;$B$17),'Entrada das massas'!S134-((($C$18-$C$17)*($B$18-'Entrada das massas'!S134)+($B$17*$C$18)-($B$18*$C$18))/($B$17-$B$18)),IF(AND('Entrada das massas'!S134&lt;=$B$17,'Entrada das massas'!S134&gt;$B$16),'Entrada das massas'!S134-((($C$17-$C$16)*($B$17-'Entrada das massas'!S134)+($B$16*$C$17)-($B$17*$C$17))/($B$16-$B$17)),IF(AND('Entrada das massas'!S134&lt;=$B$16,'Entrada das massas'!S134&gt;$B$15),'Entrada das massas'!S134-((($C$16-$C$15)*($B$16-'Entrada das massas'!S134)+($B$15*$C$16)-($B$16*$C$16))/($B$15-$B$16)),IF(AND('Entrada das massas'!S134&lt;=$B$15,'Entrada das massas'!S134&gt;$B$14),'Entrada das massas'!S134-((($C$15-$C$14)*($B$15-'Entrada das massas'!S134)+($B$14*$C$15)-($B$15*$C$15))/($B$14-$B$15)),IF(AND('Entrada das massas'!S134&lt;=$B$14,'Entrada das massas'!S134&gt;$B$13),'Entrada das massas'!S134-((($C$14-$C$13)*($B$14-'Entrada das massas'!S134)+($B$13*$C$14)-($B$14*$C$14))/($B$13-$B$14)),IF(AND('Entrada das massas'!S134&lt;=$B$13,'Entrada das massas'!S134&gt;$B$12),'Entrada das massas'!S134-((($C$13-$C$12)*($B$13-'Entrada das massas'!S134)+($B$12*$C$13)-($B$13*$C$13))/($B$12-$B$13)),IF(AND('Entrada das massas'!S134&lt;=$B$12,'Entrada das massas'!S134&gt;$B$11),'Entrada das massas'!S134-((($C$12-$C$11)*($B$12-'Entrada das massas'!S134)+($B$11*$C$12)-($B$12*$C$12))/($B$11-$B$12)),IF(AND('Entrada das massas'!S134&lt;=$B$11,'Entrada das massas'!S134&gt;$B$10),'Entrada das massas'!S134-((($C$11-$C$10)*($B$11-'Entrada das massas'!S134)+($B$10*$C$11)-($B$11*$C$11))/($B$10-$B$11)),IF(AND('Entrada das massas'!S134&lt;=$B$10,'Entrada das massas'!S134&gt;$B$9),'Entrada das massas'!S134-((($C$10-$C$9)*($B$10-'Entrada das massas'!S134)+($B$9*$C$10)-($B$10*$C$10))/($B$9-$B$10)),IF(AND('Entrada das massas'!S134&lt;=$B$9,'Entrada das massas'!S134&gt;$B$8),'Entrada das massas'!S134-((($C$9-$C$8)*($B$9-'Entrada das massas'!S134)+($B$8*$C$9)-($B$9*$C$9))/($B$8-$B$9)),IF(AND('Entrada das massas'!S134&lt;=$B$8,'Entrada das massas'!S134&gt;$B$7),'Entrada das massas'!S134-((($C$8-$C$7)*($B$8-'Entrada das massas'!S134)+($B$7*$C$8)-($B$8*$C$8))/($B$7-$B$8)),IF(AND('Entrada das massas'!S134&lt;=$B$7,'Entrada das massas'!S134&gt;$B$6),'Entrada das massas'!S134-((($C$7-$C$6)*($B$7-'Entrada das massas'!S134)+($B$6*$C$7)-($B$7*$C$7))/($B$6-$B$7)),IF(AND('Entrada das massas'!S134&lt;=$B$6,'Entrada das massas'!S134&gt;$B$5),'Entrada das massas'!S134-((($C$6-$C$5)*($B$6-'Entrada das massas'!S134)+($B$5*$C$6)-($B$6*$C$6))/($B$5-$B$6)),IF('Entrada das massas'!S134&lt;=$B$5,'Entrada das massas'!S134-$C$5)))))))))))))))))</f>
        <v/>
      </c>
      <c r="X154" s="117" t="str">
        <f t="shared" si="80"/>
        <v/>
      </c>
      <c r="Y154" s="120" t="str">
        <f>IF(W152="","",W154-W152)</f>
        <v/>
      </c>
      <c r="Z154" s="117" t="str">
        <f>IF(X152="","",SQRT(SUMSQ(X152,X154)))</f>
        <v/>
      </c>
      <c r="AA154" s="93" t="str">
        <f>IF(W151="","","Solução")</f>
        <v/>
      </c>
    </row>
    <row r="155" spans="3:27" x14ac:dyDescent="0.2">
      <c r="C155" s="104"/>
      <c r="F155" s="104"/>
      <c r="H155" s="98"/>
      <c r="I155" s="93"/>
      <c r="J155" s="139"/>
      <c r="K155" s="139"/>
      <c r="L155" s="139"/>
      <c r="M155" s="98"/>
      <c r="N155" s="98"/>
      <c r="O155" s="98"/>
      <c r="P155" s="93"/>
      <c r="Q155" s="120"/>
      <c r="R155" s="120"/>
      <c r="S155" s="120"/>
      <c r="T155" s="98"/>
      <c r="U155" s="98"/>
      <c r="V155" s="98"/>
      <c r="W155" s="93"/>
      <c r="X155" s="120"/>
      <c r="Y155" s="120"/>
      <c r="Z155" s="120"/>
      <c r="AA155" s="98"/>
    </row>
    <row r="156" spans="3:27" x14ac:dyDescent="0.2">
      <c r="C156" s="109"/>
      <c r="D156" s="104"/>
      <c r="F156" s="104"/>
      <c r="H156" s="126" t="str">
        <f>IF(I151="","","Amostra")</f>
        <v/>
      </c>
      <c r="I156" s="127" t="str">
        <f>IF('Entrada das massas'!I136="","",'Entrada das massas'!I136)</f>
        <v/>
      </c>
      <c r="J156" s="120" t="str">
        <f>IF(I156="","","uc(g)")</f>
        <v/>
      </c>
      <c r="K156" s="120" t="str">
        <f>IF(J156="","","Massa (g)")</f>
        <v/>
      </c>
      <c r="L156" s="120" t="str">
        <f>IF(K156="","","ucomb (g)")</f>
        <v/>
      </c>
      <c r="M156" s="98" t="str">
        <f>IF(I156="","","Fdiluição")</f>
        <v/>
      </c>
      <c r="N156" s="98"/>
      <c r="O156" s="126" t="str">
        <f>IF(M157="","","Amostra")</f>
        <v/>
      </c>
      <c r="P156" s="127" t="str">
        <f>IF('Entrada das massas'!N136="","",'Entrada das massas'!N136)</f>
        <v/>
      </c>
      <c r="Q156" s="120" t="str">
        <f>IF(P156="","","uc(g)")</f>
        <v/>
      </c>
      <c r="R156" s="120" t="str">
        <f>IF(Q156="","","Massa (g)")</f>
        <v/>
      </c>
      <c r="S156" s="120" t="str">
        <f>IF(R156="","","ucomb (g)")</f>
        <v/>
      </c>
      <c r="T156" s="98" t="str">
        <f>IF(P156="","","Fdiluição")</f>
        <v/>
      </c>
      <c r="U156" s="98"/>
      <c r="V156" s="126" t="str">
        <f>IF(T157="","","Amostra")</f>
        <v/>
      </c>
      <c r="W156" s="127" t="str">
        <f>IF('Entrada das massas'!S136="","",'Entrada das massas'!S136)</f>
        <v/>
      </c>
      <c r="X156" s="120" t="str">
        <f>IF(W156="","","uc(g)")</f>
        <v/>
      </c>
      <c r="Y156" s="120" t="str">
        <f>IF(X156="","","Massa (g)")</f>
        <v/>
      </c>
      <c r="Z156" s="120" t="str">
        <f>IF(Y156="","","ucomb (g)")</f>
        <v/>
      </c>
      <c r="AA156" s="98" t="str">
        <f>IF(W156="","","Fdiluição")</f>
        <v/>
      </c>
    </row>
    <row r="157" spans="3:27" x14ac:dyDescent="0.2">
      <c r="C157" s="104"/>
      <c r="D157" s="109"/>
      <c r="E157" s="163"/>
      <c r="F157" s="104"/>
      <c r="H157" s="115" t="str">
        <f>IF(I156="","","Frasco")</f>
        <v/>
      </c>
      <c r="I157" s="116" t="str">
        <f>IF('Entrada das massas'!I137="","",IF(AND('Entrada das massas'!I137&lt;=$B$20,'Entrada das massas'!I137&gt;$B$19),'Entrada das massas'!I137-((($C$20-$C$19)*($B$20-'Entrada das massas'!I137)+($B$19*$C$20)-($B$20*$C$20))/($B$19-$B$20)),IF(AND('Entrada das massas'!I137&lt;=$B$19,'Entrada das massas'!I137&gt;$B$18),'Entrada das massas'!I137-((($C$19-$C$18)*($B$19-'Entrada das massas'!I137)+($B$18*$C$19)-($B$19*$C$19))/($B$18-$B$19)),IF(AND('Entrada das massas'!I137&lt;=$B$18,'Entrada das massas'!I137&gt;$B$17),'Entrada das massas'!I137-((($C$18-$C$17)*($B$18-'Entrada das massas'!I137)+($B$17*$C$18)-($B$18*$C$18))/($B$17-$B$18)),IF(AND('Entrada das massas'!I137&lt;=$B$17,'Entrada das massas'!I137&gt;$B$16),'Entrada das massas'!I137-((($C$17-$C$16)*($B$17-'Entrada das massas'!I137)+($B$16*$C$17)-($B$17*$C$17))/($B$16-$B$17)),IF(AND('Entrada das massas'!I137&lt;=$B$16,'Entrada das massas'!I137&gt;$B$15),'Entrada das massas'!I137-((($C$16-$C$15)*($B$16-'Entrada das massas'!I137)+($B$15*$C$16)-($B$16*$C$16))/($B$15-$B$16)),IF(AND('Entrada das massas'!I137&lt;=$B$15,'Entrada das massas'!I137&gt;$B$14),'Entrada das massas'!I137-((($C$15-$C$14)*($B$15-'Entrada das massas'!I137)+($B$14*$C$15)-($B$15*$C$15))/($B$14-$B$15)),IF(AND('Entrada das massas'!I137&lt;=$B$14,'Entrada das massas'!I137&gt;$B$13),'Entrada das massas'!I137-((($C$14-$C$13)*($B$14-'Entrada das massas'!I137)+($B$13*$C$14)-($B$14*$C$14))/($B$13-$B$14)),IF(AND('Entrada das massas'!I137&lt;=$B$13,'Entrada das massas'!I137&gt;$B$12),'Entrada das massas'!I137-((($C$13-$C$12)*($B$13-'Entrada das massas'!I137)+($B$12*$C$13)-($B$13*$C$13))/($B$12-$B$13)),IF(AND('Entrada das massas'!I137&lt;=$B$12,'Entrada das massas'!I137&gt;$B$11),'Entrada das massas'!I137-((($C$12-$C$11)*($B$12-'Entrada das massas'!I137)+($B$11*$C$12)-($B$12*$C$12))/($B$11-$B$12)),IF(AND('Entrada das massas'!I137&lt;=$B$11,'Entrada das massas'!I137&gt;$B$10),'Entrada das massas'!I137-((($C$11-$C$10)*($B$11-'Entrada das massas'!I137)+($B$10*$C$11)-($B$11*$C$11))/($B$10-$B$11)),IF(AND('Entrada das massas'!I137&lt;=$B$10,'Entrada das massas'!I137&gt;$B$9),'Entrada das massas'!I137-((($C$10-$C$9)*($B$10-'Entrada das massas'!I137)+($B$9*$C$10)-($B$10*$C$10))/($B$9-$B$10)),IF(AND('Entrada das massas'!I137&lt;=$B$9,'Entrada das massas'!I137&gt;$B$8),'Entrada das massas'!I137-((($C$9-$C$8)*($B$9-'Entrada das massas'!I137)+($B$8*$C$9)-($B$9*$C$9))/($B$8-$B$9)),IF(AND('Entrada das massas'!I137&lt;=$B$8,'Entrada das massas'!I137&gt;$B$7),'Entrada das massas'!I137-((($C$8-$C$7)*($B$8-'Entrada das massas'!I137)+($B$7*$C$8)-($B$8*$C$8))/($B$7-$B$8)),IF(AND('Entrada das massas'!I137&lt;=$B$7,'Entrada das massas'!I137&gt;$B$6),'Entrada das massas'!I137-((($C$7-$C$6)*($B$7-'Entrada das massas'!I137)+($B$6*$C$7)-($B$7*$C$7))/($B$6-$B$7)),IF(AND('Entrada das massas'!I137&lt;=$B$6,'Entrada das massas'!I137&gt;$B$5),'Entrada das massas'!I137-((($C$6-$C$5)*($B$6-'Entrada das massas'!I137)+($B$5*$C$6)-($B$6*$C$6))/($B$5-$B$6)),IF('Entrada das massas'!I137&lt;=$B$5,'Entrada das massas'!I137-$C$5)))))))))))))))))</f>
        <v/>
      </c>
      <c r="J157" s="117" t="str">
        <f>IF(I157="","",(IF(AND(I157&lt;=$B$20,I157&gt;$B$19),$D$19+($B$19-I157)/($B$19-$B$20)*($D$20-$D$19),IF(AND(I157&lt;=$B$19,I157&gt;$B$18),$D$18+($B$18-I157)/($B$18-$B$19)*($D$19-$D$18),IF(AND(I157&lt;=$B$18,I157&gt;$B$17),$D$17+($B$17-I157)/($B$17-$B$18)*($D$18-$D$17),IF(AND(I157&lt;=$B$17,I157&gt;$B$16),$D$16+($B$16-I157)/($B$16-$B$17)*($D$17-$D$16),IF(AND(I157&lt;=$B$16,I157&gt;$B$15),$D$15+($B$15-I157)/($B$15-$B$16)*($D$16-$D$15),IF(AND(I157&lt;=$B$15,I157&gt;$B$14),$D$14+($B$14-I157)/($B$14-$B$15)*($D$15-$D$14),IF(AND(I157&lt;=$B$14,I157&gt;$B$13),$D$13+($B$13-I157)/($B$13-$B$14)*($D$14-$D$13),IF(AND(I157&lt;=$B$13,I157&gt;$B$12),$D$12+($B$12-I157)/($B$12-$B$13)*($D$13-$D$12),IF(AND(I157&lt;=$B$12,I157&gt;$B$11),$D$11+($B$11-I157)/($B$11-$B$12)*($D$12-$D$11),IF(AND(I157&lt;=$B$11,I157&gt;$B$10),$D$10+($B$10-I157)/($B$10-$B$11)*($D$11-$D$10),IF(AND(I157&lt;=$B$10,I157&gt;$B$9),$D$9+($B$9-I157)/($B$9-$B$10)*($D$10-$D$9),IF(AND(I157&lt;=$B$9,I157&gt;$B$8),$D$8+($B$8-I157)/($B$8-$B$9)*($D$9-$D$8),IF(AND(I157&lt;=$B$8,I157&gt;$B$7),$D$7+($B$7-I157)/($B$7-$B$8)*($D$8-$D$7),IF(AND(I157&lt;=$B$7,I157&gt;$B$6),$D$6+($B$6-I157)/($B$6-$B$7)*($D$7-$D$6),IF(I157&lt;=$B$6,$D$6)))))))))))))))))</f>
        <v/>
      </c>
      <c r="K157" s="117"/>
      <c r="L157" s="117"/>
      <c r="M157" s="118" t="str">
        <f>IFERROR(K159/K158,"")</f>
        <v/>
      </c>
      <c r="N157" s="93"/>
      <c r="O157" s="115" t="str">
        <f>IF(P156="","","Frasco")</f>
        <v/>
      </c>
      <c r="P157" s="95" t="str">
        <f>IF('Entrada das massas'!N137="","",IF(AND('Entrada das massas'!N137&lt;=$B$20,'Entrada das massas'!N137&gt;$B$19),'Entrada das massas'!N137-((($C$20-$C$19)*($B$20-'Entrada das massas'!N137)+($B$19*$C$20)-($B$20*$C$20))/($B$19-$B$20)),IF(AND('Entrada das massas'!N137&lt;=$B$19,'Entrada das massas'!N137&gt;$B$18),'Entrada das massas'!N137-((($C$19-$C$18)*($B$19-'Entrada das massas'!N137)+($B$18*$C$19)-($B$19*$C$19))/($B$18-$B$19)),IF(AND('Entrada das massas'!N137&lt;=$B$18,'Entrada das massas'!N137&gt;$B$17),'Entrada das massas'!N137-((($C$18-$C$17)*($B$18-'Entrada das massas'!N137)+($B$17*$C$18)-($B$18*$C$18))/($B$17-$B$18)),IF(AND('Entrada das massas'!N137&lt;=$B$17,'Entrada das massas'!N137&gt;$B$16),'Entrada das massas'!N137-((($C$17-$C$16)*($B$17-'Entrada das massas'!N137)+($B$16*$C$17)-($B$17*$C$17))/($B$16-$B$17)),IF(AND('Entrada das massas'!N137&lt;=$B$16,'Entrada das massas'!N137&gt;$B$15),'Entrada das massas'!N137-((($C$16-$C$15)*($B$16-'Entrada das massas'!N137)+($B$15*$C$16)-($B$16*$C$16))/($B$15-$B$16)),IF(AND('Entrada das massas'!N137&lt;=$B$15,'Entrada das massas'!N137&gt;$B$14),'Entrada das massas'!N137-((($C$15-$C$14)*($B$15-'Entrada das massas'!N137)+($B$14*$C$15)-($B$15*$C$15))/($B$14-$B$15)),IF(AND('Entrada das massas'!N137&lt;=$B$14,'Entrada das massas'!N137&gt;$B$13),'Entrada das massas'!N137-((($C$14-$C$13)*($B$14-'Entrada das massas'!N137)+($B$13*$C$14)-($B$14*$C$14))/($B$13-$B$14)),IF(AND('Entrada das massas'!N137&lt;=$B$13,'Entrada das massas'!N137&gt;$B$12),'Entrada das massas'!N137-((($C$13-$C$12)*($B$13-'Entrada das massas'!N137)+($B$12*$C$13)-($B$13*$C$13))/($B$12-$B$13)),IF(AND('Entrada das massas'!N137&lt;=$B$12,'Entrada das massas'!N137&gt;$B$11),'Entrada das massas'!N137-((($C$12-$C$11)*($B$12-'Entrada das massas'!N137)+($B$11*$C$12)-($B$12*$C$12))/($B$11-$B$12)),IF(AND('Entrada das massas'!N137&lt;=$B$11,'Entrada das massas'!N137&gt;$B$10),'Entrada das massas'!N137-((($C$11-$C$10)*($B$11-'Entrada das massas'!N137)+($B$10*$C$11)-($B$11*$C$11))/($B$10-$B$11)),IF(AND('Entrada das massas'!N137&lt;=$B$10,'Entrada das massas'!N137&gt;$B$9),'Entrada das massas'!N137-((($C$10-$C$9)*($B$10-'Entrada das massas'!N137)+($B$9*$C$10)-($B$10*$C$10))/($B$9-$B$10)),IF(AND('Entrada das massas'!N137&lt;=$B$9,'Entrada das massas'!N137&gt;$B$8),'Entrada das massas'!N137-((($C$9-$C$8)*($B$9-'Entrada das massas'!N137)+($B$8*$C$9)-($B$9*$C$9))/($B$8-$B$9)),IF(AND('Entrada das massas'!N137&lt;=$B$8,'Entrada das massas'!N137&gt;$B$7),'Entrada das massas'!N137-((($C$8-$C$7)*($B$8-'Entrada das massas'!N137)+($B$7*$C$8)-($B$8*$C$8))/($B$7-$B$8)),IF(AND('Entrada das massas'!N137&lt;=$B$7,'Entrada das massas'!N137&gt;$B$6),'Entrada das massas'!N137-((($C$7-$C$6)*($B$7-'Entrada das massas'!N137)+($B$6*$C$7)-($B$7*$C$7))/($B$6-$B$7)),IF(AND('Entrada das massas'!N137&lt;=$B$6,'Entrada das massas'!N137&gt;$B$5),'Entrada das massas'!N137-((($C$6-$C$5)*($B$6-'Entrada das massas'!N137)+($B$5*$C$6)-($B$6*$C$6))/($B$5-$B$6)),IF('Entrada das massas'!N137&lt;=$B$5,'Entrada das massas'!N137-$C$5)))))))))))))))))</f>
        <v/>
      </c>
      <c r="Q157" s="117" t="str">
        <f>IF(P157="","",(IF(AND(P157&lt;=$B$20,P157&gt;$B$19),$D$19+($B$19-P157)/($B$19-$B$20)*($D$20-$D$19),IF(AND(P157&lt;=$B$19,P157&gt;$B$18),$D$18+($B$18-P157)/($B$18-$B$19)*($D$19-$D$18),IF(AND(P157&lt;=$B$18,P157&gt;$B$17),$D$17+($B$17-P157)/($B$17-$B$18)*($D$18-$D$17),IF(AND(P157&lt;=$B$17,P157&gt;$B$16),$D$16+($B$16-P157)/($B$16-$B$17)*($D$17-$D$16),IF(AND(P157&lt;=$B$16,P157&gt;$B$15),$D$15+($B$15-P157)/($B$15-$B$16)*($D$16-$D$15),IF(AND(P157&lt;=$B$15,P157&gt;$B$14),$D$14+($B$14-P157)/($B$14-$B$15)*($D$15-$D$14),IF(AND(P157&lt;=$B$14,P157&gt;$B$13),$D$13+($B$13-P157)/($B$13-$B$14)*($D$14-$D$13),IF(AND(P157&lt;=$B$13,P157&gt;$B$12),$D$12+($B$12-P157)/($B$12-$B$13)*($D$13-$D$12),IF(AND(P157&lt;=$B$12,P157&gt;$B$11),$D$11+($B$11-P157)/($B$11-$B$12)*($D$12-$D$11),IF(AND(P157&lt;=$B$11,P157&gt;$B$10),$D$10+($B$10-P157)/($B$10-$B$11)*($D$11-$D$10),IF(AND(P157&lt;=$B$10,P157&gt;$B$9),$D$9+($B$9-P157)/($B$9-$B$10)*($D$10-$D$9),IF(AND(P157&lt;=$B$9,P157&gt;$B$8),$D$8+($B$8-P157)/($B$8-$B$9)*($D$9-$D$8),IF(AND(P157&lt;=$B$8,P157&gt;$B$7),$D$7+($B$7-P157)/($B$7-$B$8)*($D$8-$D$7),IF(AND(P157&lt;=$B$7,P157&gt;$B$6),$D$6+($B$6-P157)/($B$6-$B$7)*($D$7-$D$6),IF(P157&lt;=$B$6,$D$6)))))))))))))))))</f>
        <v/>
      </c>
      <c r="R157" s="117"/>
      <c r="S157" s="117"/>
      <c r="T157" s="118" t="str">
        <f>IFERROR(R159/R158,"")</f>
        <v/>
      </c>
      <c r="U157" s="93"/>
      <c r="V157" s="115" t="str">
        <f>IF(W156="","","Frasco")</f>
        <v/>
      </c>
      <c r="W157" s="95" t="str">
        <f>IF('Entrada das massas'!S137="","",IF(AND('Entrada das massas'!S137&lt;=$B$20,'Entrada das massas'!S137&gt;$B$19),'Entrada das massas'!S137-((($C$20-$C$19)*($B$20-'Entrada das massas'!S137)+($B$19*$C$20)-($B$20*$C$20))/($B$19-$B$20)),IF(AND('Entrada das massas'!S137&lt;=$B$19,'Entrada das massas'!S137&gt;$B$18),'Entrada das massas'!S137-((($C$19-$C$18)*($B$19-'Entrada das massas'!S137)+($B$18*$C$19)-($B$19*$C$19))/($B$18-$B$19)),IF(AND('Entrada das massas'!S137&lt;=$B$18,'Entrada das massas'!S137&gt;$B$17),'Entrada das massas'!S137-((($C$18-$C$17)*($B$18-'Entrada das massas'!S137)+($B$17*$C$18)-($B$18*$C$18))/($B$17-$B$18)),IF(AND('Entrada das massas'!S137&lt;=$B$17,'Entrada das massas'!S137&gt;$B$16),'Entrada das massas'!S137-((($C$17-$C$16)*($B$17-'Entrada das massas'!S137)+($B$16*$C$17)-($B$17*$C$17))/($B$16-$B$17)),IF(AND('Entrada das massas'!S137&lt;=$B$16,'Entrada das massas'!S137&gt;$B$15),'Entrada das massas'!S137-((($C$16-$C$15)*($B$16-'Entrada das massas'!S137)+($B$15*$C$16)-($B$16*$C$16))/($B$15-$B$16)),IF(AND('Entrada das massas'!S137&lt;=$B$15,'Entrada das massas'!S137&gt;$B$14),'Entrada das massas'!S137-((($C$15-$C$14)*($B$15-'Entrada das massas'!S137)+($B$14*$C$15)-($B$15*$C$15))/($B$14-$B$15)),IF(AND('Entrada das massas'!S137&lt;=$B$14,'Entrada das massas'!S137&gt;$B$13),'Entrada das massas'!S137-((($C$14-$C$13)*($B$14-'Entrada das massas'!S137)+($B$13*$C$14)-($B$14*$C$14))/($B$13-$B$14)),IF(AND('Entrada das massas'!S137&lt;=$B$13,'Entrada das massas'!S137&gt;$B$12),'Entrada das massas'!S137-((($C$13-$C$12)*($B$13-'Entrada das massas'!S137)+($B$12*$C$13)-($B$13*$C$13))/($B$12-$B$13)),IF(AND('Entrada das massas'!S137&lt;=$B$12,'Entrada das massas'!S137&gt;$B$11),'Entrada das massas'!S137-((($C$12-$C$11)*($B$12-'Entrada das massas'!S137)+($B$11*$C$12)-($B$12*$C$12))/($B$11-$B$12)),IF(AND('Entrada das massas'!S137&lt;=$B$11,'Entrada das massas'!S137&gt;$B$10),'Entrada das massas'!S137-((($C$11-$C$10)*($B$11-'Entrada das massas'!S137)+($B$10*$C$11)-($B$11*$C$11))/($B$10-$B$11)),IF(AND('Entrada das massas'!S137&lt;=$B$10,'Entrada das massas'!S137&gt;$B$9),'Entrada das massas'!S137-((($C$10-$C$9)*($B$10-'Entrada das massas'!S137)+($B$9*$C$10)-($B$10*$C$10))/($B$9-$B$10)),IF(AND('Entrada das massas'!S137&lt;=$B$9,'Entrada das massas'!S137&gt;$B$8),'Entrada das massas'!S137-((($C$9-$C$8)*($B$9-'Entrada das massas'!S137)+($B$8*$C$9)-($B$9*$C$9))/($B$8-$B$9)),IF(AND('Entrada das massas'!S137&lt;=$B$8,'Entrada das massas'!S137&gt;$B$7),'Entrada das massas'!S137-((($C$8-$C$7)*($B$8-'Entrada das massas'!S137)+($B$7*$C$8)-($B$8*$C$8))/($B$7-$B$8)),IF(AND('Entrada das massas'!S137&lt;=$B$7,'Entrada das massas'!S137&gt;$B$6),'Entrada das massas'!S137-((($C$7-$C$6)*($B$7-'Entrada das massas'!S137)+($B$6*$C$7)-($B$7*$C$7))/($B$6-$B$7)),IF(AND('Entrada das massas'!S137&lt;=$B$6,'Entrada das massas'!S137&gt;$B$5),'Entrada das massas'!S137-((($C$6-$C$5)*($B$6-'Entrada das massas'!S137)+($B$5*$C$6)-($B$6*$C$6))/($B$5-$B$6)),IF('Entrada das massas'!S137&lt;=$B$5,'Entrada das massas'!S137-$C$5)))))))))))))))))</f>
        <v/>
      </c>
      <c r="X157" s="117" t="str">
        <f>IF(W157="","",(IF(AND(W157&lt;=$B$20,W157&gt;$B$19),$D$19+($B$19-W157)/($B$19-$B$20)*($D$20-$D$19),IF(AND(W157&lt;=$B$19,W157&gt;$B$18),$D$18+($B$18-W157)/($B$18-$B$19)*($D$19-$D$18),IF(AND(W157&lt;=$B$18,W157&gt;$B$17),$D$17+($B$17-W157)/($B$17-$B$18)*($D$18-$D$17),IF(AND(W157&lt;=$B$17,W157&gt;$B$16),$D$16+($B$16-W157)/($B$16-$B$17)*($D$17-$D$16),IF(AND(W157&lt;=$B$16,W157&gt;$B$15),$D$15+($B$15-W157)/($B$15-$B$16)*($D$16-$D$15),IF(AND(W157&lt;=$B$15,W157&gt;$B$14),$D$14+($B$14-W157)/($B$14-$B$15)*($D$15-$D$14),IF(AND(W157&lt;=$B$14,W157&gt;$B$13),$D$13+($B$13-W157)/($B$13-$B$14)*($D$14-$D$13),IF(AND(W157&lt;=$B$13,W157&gt;$B$12),$D$12+($B$12-W157)/($B$12-$B$13)*($D$13-$D$12),IF(AND(W157&lt;=$B$12,W157&gt;$B$11),$D$11+($B$11-W157)/($B$11-$B$12)*($D$12-$D$11),IF(AND(W157&lt;=$B$11,W157&gt;$B$10),$D$10+($B$10-W157)/($B$10-$B$11)*($D$11-$D$10),IF(AND(W157&lt;=$B$10,W157&gt;$B$9),$D$9+($B$9-W157)/($B$9-$B$10)*($D$10-$D$9),IF(AND(W157&lt;=$B$9,W157&gt;$B$8),$D$8+($B$8-W157)/($B$8-$B$9)*($D$9-$D$8),IF(AND(W157&lt;=$B$8,W157&gt;$B$7),$D$7+($B$7-W157)/($B$7-$B$8)*($D$8-$D$7),IF(AND(W157&lt;=$B$7,W157&gt;$B$6),$D$6+($B$6-W157)/($B$6-$B$7)*($D$7-$D$6),IF(W157&lt;=$B$6,$D$6)))))))))))))))))</f>
        <v/>
      </c>
      <c r="Y157" s="117"/>
      <c r="Z157" s="117"/>
      <c r="AA157" s="118" t="str">
        <f>IFERROR(Y159/Y158,"")</f>
        <v/>
      </c>
    </row>
    <row r="158" spans="3:27" x14ac:dyDescent="0.2">
      <c r="C158" s="104"/>
      <c r="D158" s="109"/>
      <c r="E158" s="164"/>
      <c r="F158" s="104"/>
      <c r="H158" s="115" t="str">
        <f>IF(I156="","","Frasco + Amostra")</f>
        <v/>
      </c>
      <c r="I158" s="116" t="str">
        <f>IF('Entrada das massas'!I138="","",IF(AND('Entrada das massas'!I138&lt;=$B$20,'Entrada das massas'!I138&gt;$B$19),'Entrada das massas'!I138-((($C$20-$C$19)*($B$20-'Entrada das massas'!I138)+($B$19*$C$20)-($B$20*$C$20))/($B$19-$B$20)),IF(AND('Entrada das massas'!I138&lt;=$B$19,'Entrada das massas'!I138&gt;$B$18),'Entrada das massas'!I138-((($C$19-$C$18)*($B$19-'Entrada das massas'!I138)+($B$18*$C$19)-($B$19*$C$19))/($B$18-$B$19)),IF(AND('Entrada das massas'!I138&lt;=$B$18,'Entrada das massas'!I138&gt;$B$17),'Entrada das massas'!I138-((($C$18-$C$17)*($B$18-'Entrada das massas'!I138)+($B$17*$C$18)-($B$18*$C$18))/($B$17-$B$18)),IF(AND('Entrada das massas'!I138&lt;=$B$17,'Entrada das massas'!I138&gt;$B$16),'Entrada das massas'!I138-((($C$17-$C$16)*($B$17-'Entrada das massas'!I138)+($B$16*$C$17)-($B$17*$C$17))/($B$16-$B$17)),IF(AND('Entrada das massas'!I138&lt;=$B$16,'Entrada das massas'!I138&gt;$B$15),'Entrada das massas'!I138-((($C$16-$C$15)*($B$16-'Entrada das massas'!I138)+($B$15*$C$16)-($B$16*$C$16))/($B$15-$B$16)),IF(AND('Entrada das massas'!I138&lt;=$B$15,'Entrada das massas'!I138&gt;$B$14),'Entrada das massas'!I138-((($C$15-$C$14)*($B$15-'Entrada das massas'!I138)+($B$14*$C$15)-($B$15*$C$15))/($B$14-$B$15)),IF(AND('Entrada das massas'!I138&lt;=$B$14,'Entrada das massas'!I138&gt;$B$13),'Entrada das massas'!I138-((($C$14-$C$13)*($B$14-'Entrada das massas'!I138)+($B$13*$C$14)-($B$14*$C$14))/($B$13-$B$14)),IF(AND('Entrada das massas'!I138&lt;=$B$13,'Entrada das massas'!I138&gt;$B$12),'Entrada das massas'!I138-((($C$13-$C$12)*($B$13-'Entrada das massas'!I138)+($B$12*$C$13)-($B$13*$C$13))/($B$12-$B$13)),IF(AND('Entrada das massas'!I138&lt;=$B$12,'Entrada das massas'!I138&gt;$B$11),'Entrada das massas'!I138-((($C$12-$C$11)*($B$12-'Entrada das massas'!I138)+($B$11*$C$12)-($B$12*$C$12))/($B$11-$B$12)),IF(AND('Entrada das massas'!I138&lt;=$B$11,'Entrada das massas'!I138&gt;$B$10),'Entrada das massas'!I138-((($C$11-$C$10)*($B$11-'Entrada das massas'!I138)+($B$10*$C$11)-($B$11*$C$11))/($B$10-$B$11)),IF(AND('Entrada das massas'!I138&lt;=$B$10,'Entrada das massas'!I138&gt;$B$9),'Entrada das massas'!I138-((($C$10-$C$9)*($B$10-'Entrada das massas'!I138)+($B$9*$C$10)-($B$10*$C$10))/($B$9-$B$10)),IF(AND('Entrada das massas'!I138&lt;=$B$9,'Entrada das massas'!I138&gt;$B$8),'Entrada das massas'!I138-((($C$9-$C$8)*($B$9-'Entrada das massas'!I138)+($B$8*$C$9)-($B$9*$C$9))/($B$8-$B$9)),IF(AND('Entrada das massas'!I138&lt;=$B$8,'Entrada das massas'!I138&gt;$B$7),'Entrada das massas'!I138-((($C$8-$C$7)*($B$8-'Entrada das massas'!I138)+($B$7*$C$8)-($B$8*$C$8))/($B$7-$B$8)),IF(AND('Entrada das massas'!I138&lt;=$B$7,'Entrada das massas'!I138&gt;$B$6),'Entrada das massas'!I138-((($C$7-$C$6)*($B$7-'Entrada das massas'!I138)+($B$6*$C$7)-($B$7*$C$7))/($B$6-$B$7)),IF(AND('Entrada das massas'!I138&lt;=$B$6,'Entrada das massas'!I138&gt;$B$5),'Entrada das massas'!I138-((($C$6-$C$5)*($B$6-'Entrada das massas'!I138)+($B$5*$C$6)-($B$6*$C$6))/($B$5-$B$6)),IF('Entrada das massas'!I138&lt;=$B$5,'Entrada das massas'!I138-$C$5)))))))))))))))))</f>
        <v/>
      </c>
      <c r="J158" s="117" t="str">
        <f t="shared" ref="J158:J159" si="81">IF(I158="","",(IF(AND(I158&lt;=$B$20,I158&gt;$B$19),$D$19+($B$19-I158)/($B$19-$B$20)*($D$20-$D$19),IF(AND(I158&lt;=$B$19,I158&gt;$B$18),$D$18+($B$18-I158)/($B$18-$B$19)*($D$19-$D$18),IF(AND(I158&lt;=$B$18,I158&gt;$B$17),$D$17+($B$17-I158)/($B$17-$B$18)*($D$18-$D$17),IF(AND(I158&lt;=$B$17,I158&gt;$B$16),$D$16+($B$16-I158)/($B$16-$B$17)*($D$17-$D$16),IF(AND(I158&lt;=$B$16,I158&gt;$B$15),$D$15+($B$15-I158)/($B$15-$B$16)*($D$16-$D$15),IF(AND(I158&lt;=$B$15,I158&gt;$B$14),$D$14+($B$14-I158)/($B$14-$B$15)*($D$15-$D$14),IF(AND(I158&lt;=$B$14,I158&gt;$B$13),$D$13+($B$13-I158)/($B$13-$B$14)*($D$14-$D$13),IF(AND(I158&lt;=$B$13,I158&gt;$B$12),$D$12+($B$12-I158)/($B$12-$B$13)*($D$13-$D$12),IF(AND(I158&lt;=$B$12,I158&gt;$B$11),$D$11+($B$11-I158)/($B$11-$B$12)*($D$12-$D$11),IF(AND(I158&lt;=$B$11,I158&gt;$B$10),$D$10+($B$10-I158)/($B$10-$B$11)*($D$11-$D$10),IF(AND(I158&lt;=$B$10,I158&gt;$B$9),$D$9+($B$9-I158)/($B$9-$B$10)*($D$10-$D$9),IF(AND(I158&lt;=$B$9,I158&gt;$B$8),$D$8+($B$8-I158)/($B$8-$B$9)*($D$9-$D$8),IF(AND(I158&lt;=$B$8,I158&gt;$B$7),$D$7+($B$7-I158)/($B$7-$B$8)*($D$8-$D$7),IF(AND(I158&lt;=$B$7,I158&gt;$B$6),$D$6+($B$6-I158)/($B$6-$B$7)*($D$7-$D$6),IF(I158&lt;=$B$6,$D$6)))))))))))))))))</f>
        <v/>
      </c>
      <c r="K158" s="120" t="str">
        <f>IF(I157="","",I158-I157)</f>
        <v/>
      </c>
      <c r="L158" s="117" t="str">
        <f>IF(J157="","",SQRT(SUMSQ(J157:J158)))</f>
        <v/>
      </c>
      <c r="M158" s="93" t="str">
        <f>IF(I156="","","Amostra")</f>
        <v/>
      </c>
      <c r="N158" s="118"/>
      <c r="O158" s="115" t="str">
        <f>IF(P156="","","Frasco + Amostra")</f>
        <v/>
      </c>
      <c r="P158" s="95" t="str">
        <f>IF('Entrada das massas'!N138="","",IF(AND('Entrada das massas'!N138&lt;=$B$20,'Entrada das massas'!N138&gt;$B$19),'Entrada das massas'!N138-((($C$20-$C$19)*($B$20-'Entrada das massas'!N138)+($B$19*$C$20)-($B$20*$C$20))/($B$19-$B$20)),IF(AND('Entrada das massas'!N138&lt;=$B$19,'Entrada das massas'!N138&gt;$B$18),'Entrada das massas'!N138-((($C$19-$C$18)*($B$19-'Entrada das massas'!N138)+($B$18*$C$19)-($B$19*$C$19))/($B$18-$B$19)),IF(AND('Entrada das massas'!N138&lt;=$B$18,'Entrada das massas'!N138&gt;$B$17),'Entrada das massas'!N138-((($C$18-$C$17)*($B$18-'Entrada das massas'!N138)+($B$17*$C$18)-($B$18*$C$18))/($B$17-$B$18)),IF(AND('Entrada das massas'!N138&lt;=$B$17,'Entrada das massas'!N138&gt;$B$16),'Entrada das massas'!N138-((($C$17-$C$16)*($B$17-'Entrada das massas'!N138)+($B$16*$C$17)-($B$17*$C$17))/($B$16-$B$17)),IF(AND('Entrada das massas'!N138&lt;=$B$16,'Entrada das massas'!N138&gt;$B$15),'Entrada das massas'!N138-((($C$16-$C$15)*($B$16-'Entrada das massas'!N138)+($B$15*$C$16)-($B$16*$C$16))/($B$15-$B$16)),IF(AND('Entrada das massas'!N138&lt;=$B$15,'Entrada das massas'!N138&gt;$B$14),'Entrada das massas'!N138-((($C$15-$C$14)*($B$15-'Entrada das massas'!N138)+($B$14*$C$15)-($B$15*$C$15))/($B$14-$B$15)),IF(AND('Entrada das massas'!N138&lt;=$B$14,'Entrada das massas'!N138&gt;$B$13),'Entrada das massas'!N138-((($C$14-$C$13)*($B$14-'Entrada das massas'!N138)+($B$13*$C$14)-($B$14*$C$14))/($B$13-$B$14)),IF(AND('Entrada das massas'!N138&lt;=$B$13,'Entrada das massas'!N138&gt;$B$12),'Entrada das massas'!N138-((($C$13-$C$12)*($B$13-'Entrada das massas'!N138)+($B$12*$C$13)-($B$13*$C$13))/($B$12-$B$13)),IF(AND('Entrada das massas'!N138&lt;=$B$12,'Entrada das massas'!N138&gt;$B$11),'Entrada das massas'!N138-((($C$12-$C$11)*($B$12-'Entrada das massas'!N138)+($B$11*$C$12)-($B$12*$C$12))/($B$11-$B$12)),IF(AND('Entrada das massas'!N138&lt;=$B$11,'Entrada das massas'!N138&gt;$B$10),'Entrada das massas'!N138-((($C$11-$C$10)*($B$11-'Entrada das massas'!N138)+($B$10*$C$11)-($B$11*$C$11))/($B$10-$B$11)),IF(AND('Entrada das massas'!N138&lt;=$B$10,'Entrada das massas'!N138&gt;$B$9),'Entrada das massas'!N138-((($C$10-$C$9)*($B$10-'Entrada das massas'!N138)+($B$9*$C$10)-($B$10*$C$10))/($B$9-$B$10)),IF(AND('Entrada das massas'!N138&lt;=$B$9,'Entrada das massas'!N138&gt;$B$8),'Entrada das massas'!N138-((($C$9-$C$8)*($B$9-'Entrada das massas'!N138)+($B$8*$C$9)-($B$9*$C$9))/($B$8-$B$9)),IF(AND('Entrada das massas'!N138&lt;=$B$8,'Entrada das massas'!N138&gt;$B$7),'Entrada das massas'!N138-((($C$8-$C$7)*($B$8-'Entrada das massas'!N138)+($B$7*$C$8)-($B$8*$C$8))/($B$7-$B$8)),IF(AND('Entrada das massas'!N138&lt;=$B$7,'Entrada das massas'!N138&gt;$B$6),'Entrada das massas'!N138-((($C$7-$C$6)*($B$7-'Entrada das massas'!N138)+($B$6*$C$7)-($B$7*$C$7))/($B$6-$B$7)),IF(AND('Entrada das massas'!N138&lt;=$B$6,'Entrada das massas'!N138&gt;$B$5),'Entrada das massas'!N138-((($C$6-$C$5)*($B$6-'Entrada das massas'!N138)+($B$5*$C$6)-($B$6*$C$6))/($B$5-$B$6)),IF('Entrada das massas'!N138&lt;=$B$5,'Entrada das massas'!N138-$C$5)))))))))))))))))</f>
        <v/>
      </c>
      <c r="Q158" s="117" t="str">
        <f t="shared" ref="Q158:Q159" si="82">IF(P158="","",(IF(AND(P158&lt;=$B$20,P158&gt;$B$19),$D$19+($B$19-P158)/($B$19-$B$20)*($D$20-$D$19),IF(AND(P158&lt;=$B$19,P158&gt;$B$18),$D$18+($B$18-P158)/($B$18-$B$19)*($D$19-$D$18),IF(AND(P158&lt;=$B$18,P158&gt;$B$17),$D$17+($B$17-P158)/($B$17-$B$18)*($D$18-$D$17),IF(AND(P158&lt;=$B$17,P158&gt;$B$16),$D$16+($B$16-P158)/($B$16-$B$17)*($D$17-$D$16),IF(AND(P158&lt;=$B$16,P158&gt;$B$15),$D$15+($B$15-P158)/($B$15-$B$16)*($D$16-$D$15),IF(AND(P158&lt;=$B$15,P158&gt;$B$14),$D$14+($B$14-P158)/($B$14-$B$15)*($D$15-$D$14),IF(AND(P158&lt;=$B$14,P158&gt;$B$13),$D$13+($B$13-P158)/($B$13-$B$14)*($D$14-$D$13),IF(AND(P158&lt;=$B$13,P158&gt;$B$12),$D$12+($B$12-P158)/($B$12-$B$13)*($D$13-$D$12),IF(AND(P158&lt;=$B$12,P158&gt;$B$11),$D$11+($B$11-P158)/($B$11-$B$12)*($D$12-$D$11),IF(AND(P158&lt;=$B$11,P158&gt;$B$10),$D$10+($B$10-P158)/($B$10-$B$11)*($D$11-$D$10),IF(AND(P158&lt;=$B$10,P158&gt;$B$9),$D$9+($B$9-P158)/($B$9-$B$10)*($D$10-$D$9),IF(AND(P158&lt;=$B$9,P158&gt;$B$8),$D$8+($B$8-P158)/($B$8-$B$9)*($D$9-$D$8),IF(AND(P158&lt;=$B$8,P158&gt;$B$7),$D$7+($B$7-P158)/($B$7-$B$8)*($D$8-$D$7),IF(AND(P158&lt;=$B$7,P158&gt;$B$6),$D$6+($B$6-P158)/($B$6-$B$7)*($D$7-$D$6),IF(P158&lt;=$B$6,$D$6)))))))))))))))))</f>
        <v/>
      </c>
      <c r="R158" s="120" t="str">
        <f>IF(P157="","",P158-P157)</f>
        <v/>
      </c>
      <c r="S158" s="117" t="str">
        <f>IF(Q157="","",SQRT(SUMSQ(Q157:Q158)))</f>
        <v/>
      </c>
      <c r="T158" s="93" t="str">
        <f>IF(P156="","","Amostra")</f>
        <v/>
      </c>
      <c r="U158" s="118"/>
      <c r="V158" s="115" t="str">
        <f>IF(W156="","","Frasco + Amostra")</f>
        <v/>
      </c>
      <c r="W158" s="95" t="str">
        <f>IF('Entrada das massas'!S138="","",IF(AND('Entrada das massas'!S138&lt;=$B$20,'Entrada das massas'!S138&gt;$B$19),'Entrada das massas'!S138-((($C$20-$C$19)*($B$20-'Entrada das massas'!S138)+($B$19*$C$20)-($B$20*$C$20))/($B$19-$B$20)),IF(AND('Entrada das massas'!S138&lt;=$B$19,'Entrada das massas'!S138&gt;$B$18),'Entrada das massas'!S138-((($C$19-$C$18)*($B$19-'Entrada das massas'!S138)+($B$18*$C$19)-($B$19*$C$19))/($B$18-$B$19)),IF(AND('Entrada das massas'!S138&lt;=$B$18,'Entrada das massas'!S138&gt;$B$17),'Entrada das massas'!S138-((($C$18-$C$17)*($B$18-'Entrada das massas'!S138)+($B$17*$C$18)-($B$18*$C$18))/($B$17-$B$18)),IF(AND('Entrada das massas'!S138&lt;=$B$17,'Entrada das massas'!S138&gt;$B$16),'Entrada das massas'!S138-((($C$17-$C$16)*($B$17-'Entrada das massas'!S138)+($B$16*$C$17)-($B$17*$C$17))/($B$16-$B$17)),IF(AND('Entrada das massas'!S138&lt;=$B$16,'Entrada das massas'!S138&gt;$B$15),'Entrada das massas'!S138-((($C$16-$C$15)*($B$16-'Entrada das massas'!S138)+($B$15*$C$16)-($B$16*$C$16))/($B$15-$B$16)),IF(AND('Entrada das massas'!S138&lt;=$B$15,'Entrada das massas'!S138&gt;$B$14),'Entrada das massas'!S138-((($C$15-$C$14)*($B$15-'Entrada das massas'!S138)+($B$14*$C$15)-($B$15*$C$15))/($B$14-$B$15)),IF(AND('Entrada das massas'!S138&lt;=$B$14,'Entrada das massas'!S138&gt;$B$13),'Entrada das massas'!S138-((($C$14-$C$13)*($B$14-'Entrada das massas'!S138)+($B$13*$C$14)-($B$14*$C$14))/($B$13-$B$14)),IF(AND('Entrada das massas'!S138&lt;=$B$13,'Entrada das massas'!S138&gt;$B$12),'Entrada das massas'!S138-((($C$13-$C$12)*($B$13-'Entrada das massas'!S138)+($B$12*$C$13)-($B$13*$C$13))/($B$12-$B$13)),IF(AND('Entrada das massas'!S138&lt;=$B$12,'Entrada das massas'!S138&gt;$B$11),'Entrada das massas'!S138-((($C$12-$C$11)*($B$12-'Entrada das massas'!S138)+($B$11*$C$12)-($B$12*$C$12))/($B$11-$B$12)),IF(AND('Entrada das massas'!S138&lt;=$B$11,'Entrada das massas'!S138&gt;$B$10),'Entrada das massas'!S138-((($C$11-$C$10)*($B$11-'Entrada das massas'!S138)+($B$10*$C$11)-($B$11*$C$11))/($B$10-$B$11)),IF(AND('Entrada das massas'!S138&lt;=$B$10,'Entrada das massas'!S138&gt;$B$9),'Entrada das massas'!S138-((($C$10-$C$9)*($B$10-'Entrada das massas'!S138)+($B$9*$C$10)-($B$10*$C$10))/($B$9-$B$10)),IF(AND('Entrada das massas'!S138&lt;=$B$9,'Entrada das massas'!S138&gt;$B$8),'Entrada das massas'!S138-((($C$9-$C$8)*($B$9-'Entrada das massas'!S138)+($B$8*$C$9)-($B$9*$C$9))/($B$8-$B$9)),IF(AND('Entrada das massas'!S138&lt;=$B$8,'Entrada das massas'!S138&gt;$B$7),'Entrada das massas'!S138-((($C$8-$C$7)*($B$8-'Entrada das massas'!S138)+($B$7*$C$8)-($B$8*$C$8))/($B$7-$B$8)),IF(AND('Entrada das massas'!S138&lt;=$B$7,'Entrada das massas'!S138&gt;$B$6),'Entrada das massas'!S138-((($C$7-$C$6)*($B$7-'Entrada das massas'!S138)+($B$6*$C$7)-($B$7*$C$7))/($B$6-$B$7)),IF(AND('Entrada das massas'!S138&lt;=$B$6,'Entrada das massas'!S138&gt;$B$5),'Entrada das massas'!S138-((($C$6-$C$5)*($B$6-'Entrada das massas'!S138)+($B$5*$C$6)-($B$6*$C$6))/($B$5-$B$6)),IF('Entrada das massas'!S138&lt;=$B$5,'Entrada das massas'!S138-$C$5)))))))))))))))))</f>
        <v/>
      </c>
      <c r="X158" s="117" t="str">
        <f t="shared" ref="X158:X159" si="83">IF(W158="","",(IF(AND(W158&lt;=$B$20,W158&gt;$B$19),$D$19+($B$19-W158)/($B$19-$B$20)*($D$20-$D$19),IF(AND(W158&lt;=$B$19,W158&gt;$B$18),$D$18+($B$18-W158)/($B$18-$B$19)*($D$19-$D$18),IF(AND(W158&lt;=$B$18,W158&gt;$B$17),$D$17+($B$17-W158)/($B$17-$B$18)*($D$18-$D$17),IF(AND(W158&lt;=$B$17,W158&gt;$B$16),$D$16+($B$16-W158)/($B$16-$B$17)*($D$17-$D$16),IF(AND(W158&lt;=$B$16,W158&gt;$B$15),$D$15+($B$15-W158)/($B$15-$B$16)*($D$16-$D$15),IF(AND(W158&lt;=$B$15,W158&gt;$B$14),$D$14+($B$14-W158)/($B$14-$B$15)*($D$15-$D$14),IF(AND(W158&lt;=$B$14,W158&gt;$B$13),$D$13+($B$13-W158)/($B$13-$B$14)*($D$14-$D$13),IF(AND(W158&lt;=$B$13,W158&gt;$B$12),$D$12+($B$12-W158)/($B$12-$B$13)*($D$13-$D$12),IF(AND(W158&lt;=$B$12,W158&gt;$B$11),$D$11+($B$11-W158)/($B$11-$B$12)*($D$12-$D$11),IF(AND(W158&lt;=$B$11,W158&gt;$B$10),$D$10+($B$10-W158)/($B$10-$B$11)*($D$11-$D$10),IF(AND(W158&lt;=$B$10,W158&gt;$B$9),$D$9+($B$9-W158)/($B$9-$B$10)*($D$10-$D$9),IF(AND(W158&lt;=$B$9,W158&gt;$B$8),$D$8+($B$8-W158)/($B$8-$B$9)*($D$9-$D$8),IF(AND(W158&lt;=$B$8,W158&gt;$B$7),$D$7+($B$7-W158)/($B$7-$B$8)*($D$8-$D$7),IF(AND(W158&lt;=$B$7,W158&gt;$B$6),$D$6+($B$6-W158)/($B$6-$B$7)*($D$7-$D$6),IF(W158&lt;=$B$6,$D$6)))))))))))))))))</f>
        <v/>
      </c>
      <c r="Y158" s="120" t="str">
        <f>IF(W157="","",W158-W157)</f>
        <v/>
      </c>
      <c r="Z158" s="117" t="str">
        <f>IF(X157="","",SQRT(SUMSQ(X157:X158)))</f>
        <v/>
      </c>
      <c r="AA158" s="93" t="str">
        <f>IF(W156="","","Amostra")</f>
        <v/>
      </c>
    </row>
    <row r="159" spans="3:27" x14ac:dyDescent="0.2">
      <c r="H159" s="123" t="str">
        <f>IF(I156="","","Massa final")</f>
        <v/>
      </c>
      <c r="I159" s="116" t="str">
        <f>IF('Entrada das massas'!I139="","",IF(AND('Entrada das massas'!I139&lt;=$B$20,'Entrada das massas'!I139&gt;$B$19),'Entrada das massas'!I139-((($C$20-$C$19)*($B$20-'Entrada das massas'!I139)+($B$19*$C$20)-($B$20*$C$20))/($B$19-$B$20)),IF(AND('Entrada das massas'!I139&lt;=$B$19,'Entrada das massas'!I139&gt;$B$18),'Entrada das massas'!I139-((($C$19-$C$18)*($B$19-'Entrada das massas'!I139)+($B$18*$C$19)-($B$19*$C$19))/($B$18-$B$19)),IF(AND('Entrada das massas'!I139&lt;=$B$18,'Entrada das massas'!I139&gt;$B$17),'Entrada das massas'!I139-((($C$18-$C$17)*($B$18-'Entrada das massas'!I139)+($B$17*$C$18)-($B$18*$C$18))/($B$17-$B$18)),IF(AND('Entrada das massas'!I139&lt;=$B$17,'Entrada das massas'!I139&gt;$B$16),'Entrada das massas'!I139-((($C$17-$C$16)*($B$17-'Entrada das massas'!I139)+($B$16*$C$17)-($B$17*$C$17))/($B$16-$B$17)),IF(AND('Entrada das massas'!I139&lt;=$B$16,'Entrada das massas'!I139&gt;$B$15),'Entrada das massas'!I139-((($C$16-$C$15)*($B$16-'Entrada das massas'!I139)+($B$15*$C$16)-($B$16*$C$16))/($B$15-$B$16)),IF(AND('Entrada das massas'!I139&lt;=$B$15,'Entrada das massas'!I139&gt;$B$14),'Entrada das massas'!I139-((($C$15-$C$14)*($B$15-'Entrada das massas'!I139)+($B$14*$C$15)-($B$15*$C$15))/($B$14-$B$15)),IF(AND('Entrada das massas'!I139&lt;=$B$14,'Entrada das massas'!I139&gt;$B$13),'Entrada das massas'!I139-((($C$14-$C$13)*($B$14-'Entrada das massas'!I139)+($B$13*$C$14)-($B$14*$C$14))/($B$13-$B$14)),IF(AND('Entrada das massas'!I139&lt;=$B$13,'Entrada das massas'!I139&gt;$B$12),'Entrada das massas'!I139-((($C$13-$C$12)*($B$13-'Entrada das massas'!I139)+($B$12*$C$13)-($B$13*$C$13))/($B$12-$B$13)),IF(AND('Entrada das massas'!I139&lt;=$B$12,'Entrada das massas'!I139&gt;$B$11),'Entrada das massas'!I139-((($C$12-$C$11)*($B$12-'Entrada das massas'!I139)+($B$11*$C$12)-($B$12*$C$12))/($B$11-$B$12)),IF(AND('Entrada das massas'!I139&lt;=$B$11,'Entrada das massas'!I139&gt;$B$10),'Entrada das massas'!I139-((($C$11-$C$10)*($B$11-'Entrada das massas'!I139)+($B$10*$C$11)-($B$11*$C$11))/($B$10-$B$11)),IF(AND('Entrada das massas'!I139&lt;=$B$10,'Entrada das massas'!I139&gt;$B$9),'Entrada das massas'!I139-((($C$10-$C$9)*($B$10-'Entrada das massas'!I139)+($B$9*$C$10)-($B$10*$C$10))/($B$9-$B$10)),IF(AND('Entrada das massas'!I139&lt;=$B$9,'Entrada das massas'!I139&gt;$B$8),'Entrada das massas'!I139-((($C$9-$C$8)*($B$9-'Entrada das massas'!I139)+($B$8*$C$9)-($B$9*$C$9))/($B$8-$B$9)),IF(AND('Entrada das massas'!I139&lt;=$B$8,'Entrada das massas'!I139&gt;$B$7),'Entrada das massas'!I139-((($C$8-$C$7)*($B$8-'Entrada das massas'!I139)+($B$7*$C$8)-($B$8*$C$8))/($B$7-$B$8)),IF(AND('Entrada das massas'!I139&lt;=$B$7,'Entrada das massas'!I139&gt;$B$6),'Entrada das massas'!I139-((($C$7-$C$6)*($B$7-'Entrada das massas'!I139)+($B$6*$C$7)-($B$7*$C$7))/($B$6-$B$7)),IF(AND('Entrada das massas'!I139&lt;=$B$6,'Entrada das massas'!I139&gt;$B$5),'Entrada das massas'!I139-((($C$6-$C$5)*($B$6-'Entrada das massas'!I139)+($B$5*$C$6)-($B$6*$C$6))/($B$5-$B$6)),IF('Entrada das massas'!I139&lt;=$B$5,'Entrada das massas'!I139-$C$5)))))))))))))))))</f>
        <v/>
      </c>
      <c r="J159" s="117" t="str">
        <f t="shared" si="81"/>
        <v/>
      </c>
      <c r="K159" s="120" t="str">
        <f>IF(I157="","",I159-I157)</f>
        <v/>
      </c>
      <c r="L159" s="117" t="str">
        <f>IF(J157="","",SQRT(SUMSQ(J157,J159)))</f>
        <v/>
      </c>
      <c r="M159" s="93" t="str">
        <f>IF(I156="","","Solução")</f>
        <v/>
      </c>
      <c r="N159" s="93"/>
      <c r="O159" s="123" t="str">
        <f>IF(P156="","","Massa final")</f>
        <v/>
      </c>
      <c r="P159" s="95" t="str">
        <f>IF('Entrada das massas'!N139="","",IF(AND('Entrada das massas'!N139&lt;=$B$20,'Entrada das massas'!N139&gt;$B$19),'Entrada das massas'!N139-((($C$20-$C$19)*($B$20-'Entrada das massas'!N139)+($B$19*$C$20)-($B$20*$C$20))/($B$19-$B$20)),IF(AND('Entrada das massas'!N139&lt;=$B$19,'Entrada das massas'!N139&gt;$B$18),'Entrada das massas'!N139-((($C$19-$C$18)*($B$19-'Entrada das massas'!N139)+($B$18*$C$19)-($B$19*$C$19))/($B$18-$B$19)),IF(AND('Entrada das massas'!N139&lt;=$B$18,'Entrada das massas'!N139&gt;$B$17),'Entrada das massas'!N139-((($C$18-$C$17)*($B$18-'Entrada das massas'!N139)+($B$17*$C$18)-($B$18*$C$18))/($B$17-$B$18)),IF(AND('Entrada das massas'!N139&lt;=$B$17,'Entrada das massas'!N139&gt;$B$16),'Entrada das massas'!N139-((($C$17-$C$16)*($B$17-'Entrada das massas'!N139)+($B$16*$C$17)-($B$17*$C$17))/($B$16-$B$17)),IF(AND('Entrada das massas'!N139&lt;=$B$16,'Entrada das massas'!N139&gt;$B$15),'Entrada das massas'!N139-((($C$16-$C$15)*($B$16-'Entrada das massas'!N139)+($B$15*$C$16)-($B$16*$C$16))/($B$15-$B$16)),IF(AND('Entrada das massas'!N139&lt;=$B$15,'Entrada das massas'!N139&gt;$B$14),'Entrada das massas'!N139-((($C$15-$C$14)*($B$15-'Entrada das massas'!N139)+($B$14*$C$15)-($B$15*$C$15))/($B$14-$B$15)),IF(AND('Entrada das massas'!N139&lt;=$B$14,'Entrada das massas'!N139&gt;$B$13),'Entrada das massas'!N139-((($C$14-$C$13)*($B$14-'Entrada das massas'!N139)+($B$13*$C$14)-($B$14*$C$14))/($B$13-$B$14)),IF(AND('Entrada das massas'!N139&lt;=$B$13,'Entrada das massas'!N139&gt;$B$12),'Entrada das massas'!N139-((($C$13-$C$12)*($B$13-'Entrada das massas'!N139)+($B$12*$C$13)-($B$13*$C$13))/($B$12-$B$13)),IF(AND('Entrada das massas'!N139&lt;=$B$12,'Entrada das massas'!N139&gt;$B$11),'Entrada das massas'!N139-((($C$12-$C$11)*($B$12-'Entrada das massas'!N139)+($B$11*$C$12)-($B$12*$C$12))/($B$11-$B$12)),IF(AND('Entrada das massas'!N139&lt;=$B$11,'Entrada das massas'!N139&gt;$B$10),'Entrada das massas'!N139-((($C$11-$C$10)*($B$11-'Entrada das massas'!N139)+($B$10*$C$11)-($B$11*$C$11))/($B$10-$B$11)),IF(AND('Entrada das massas'!N139&lt;=$B$10,'Entrada das massas'!N139&gt;$B$9),'Entrada das massas'!N139-((($C$10-$C$9)*($B$10-'Entrada das massas'!N139)+($B$9*$C$10)-($B$10*$C$10))/($B$9-$B$10)),IF(AND('Entrada das massas'!N139&lt;=$B$9,'Entrada das massas'!N139&gt;$B$8),'Entrada das massas'!N139-((($C$9-$C$8)*($B$9-'Entrada das massas'!N139)+($B$8*$C$9)-($B$9*$C$9))/($B$8-$B$9)),IF(AND('Entrada das massas'!N139&lt;=$B$8,'Entrada das massas'!N139&gt;$B$7),'Entrada das massas'!N139-((($C$8-$C$7)*($B$8-'Entrada das massas'!N139)+($B$7*$C$8)-($B$8*$C$8))/($B$7-$B$8)),IF(AND('Entrada das massas'!N139&lt;=$B$7,'Entrada das massas'!N139&gt;$B$6),'Entrada das massas'!N139-((($C$7-$C$6)*($B$7-'Entrada das massas'!N139)+($B$6*$C$7)-($B$7*$C$7))/($B$6-$B$7)),IF(AND('Entrada das massas'!N139&lt;=$B$6,'Entrada das massas'!N139&gt;$B$5),'Entrada das massas'!N139-((($C$6-$C$5)*($B$6-'Entrada das massas'!N139)+($B$5*$C$6)-($B$6*$C$6))/($B$5-$B$6)),IF('Entrada das massas'!N139&lt;=$B$5,'Entrada das massas'!N139-$C$5)))))))))))))))))</f>
        <v/>
      </c>
      <c r="Q159" s="117" t="str">
        <f t="shared" si="82"/>
        <v/>
      </c>
      <c r="R159" s="120" t="str">
        <f>IF(P157="","",P159-P157)</f>
        <v/>
      </c>
      <c r="S159" s="117" t="str">
        <f>IF(Q157="","",SQRT(SUMSQ(Q157,Q159)))</f>
        <v/>
      </c>
      <c r="T159" s="93" t="str">
        <f>IF(P156="","","Solução")</f>
        <v/>
      </c>
      <c r="U159" s="93"/>
      <c r="V159" s="123" t="str">
        <f>IF(W156="","","Massa final")</f>
        <v/>
      </c>
      <c r="W159" s="95" t="str">
        <f>IF('Entrada das massas'!S139="","",IF(AND('Entrada das massas'!S139&lt;=$B$20,'Entrada das massas'!S139&gt;$B$19),'Entrada das massas'!S139-((($C$20-$C$19)*($B$20-'Entrada das massas'!S139)+($B$19*$C$20)-($B$20*$C$20))/($B$19-$B$20)),IF(AND('Entrada das massas'!S139&lt;=$B$19,'Entrada das massas'!S139&gt;$B$18),'Entrada das massas'!S139-((($C$19-$C$18)*($B$19-'Entrada das massas'!S139)+($B$18*$C$19)-($B$19*$C$19))/($B$18-$B$19)),IF(AND('Entrada das massas'!S139&lt;=$B$18,'Entrada das massas'!S139&gt;$B$17),'Entrada das massas'!S139-((($C$18-$C$17)*($B$18-'Entrada das massas'!S139)+($B$17*$C$18)-($B$18*$C$18))/($B$17-$B$18)),IF(AND('Entrada das massas'!S139&lt;=$B$17,'Entrada das massas'!S139&gt;$B$16),'Entrada das massas'!S139-((($C$17-$C$16)*($B$17-'Entrada das massas'!S139)+($B$16*$C$17)-($B$17*$C$17))/($B$16-$B$17)),IF(AND('Entrada das massas'!S139&lt;=$B$16,'Entrada das massas'!S139&gt;$B$15),'Entrada das massas'!S139-((($C$16-$C$15)*($B$16-'Entrada das massas'!S139)+($B$15*$C$16)-($B$16*$C$16))/($B$15-$B$16)),IF(AND('Entrada das massas'!S139&lt;=$B$15,'Entrada das massas'!S139&gt;$B$14),'Entrada das massas'!S139-((($C$15-$C$14)*($B$15-'Entrada das massas'!S139)+($B$14*$C$15)-($B$15*$C$15))/($B$14-$B$15)),IF(AND('Entrada das massas'!S139&lt;=$B$14,'Entrada das massas'!S139&gt;$B$13),'Entrada das massas'!S139-((($C$14-$C$13)*($B$14-'Entrada das massas'!S139)+($B$13*$C$14)-($B$14*$C$14))/($B$13-$B$14)),IF(AND('Entrada das massas'!S139&lt;=$B$13,'Entrada das massas'!S139&gt;$B$12),'Entrada das massas'!S139-((($C$13-$C$12)*($B$13-'Entrada das massas'!S139)+($B$12*$C$13)-($B$13*$C$13))/($B$12-$B$13)),IF(AND('Entrada das massas'!S139&lt;=$B$12,'Entrada das massas'!S139&gt;$B$11),'Entrada das massas'!S139-((($C$12-$C$11)*($B$12-'Entrada das massas'!S139)+($B$11*$C$12)-($B$12*$C$12))/($B$11-$B$12)),IF(AND('Entrada das massas'!S139&lt;=$B$11,'Entrada das massas'!S139&gt;$B$10),'Entrada das massas'!S139-((($C$11-$C$10)*($B$11-'Entrada das massas'!S139)+($B$10*$C$11)-($B$11*$C$11))/($B$10-$B$11)),IF(AND('Entrada das massas'!S139&lt;=$B$10,'Entrada das massas'!S139&gt;$B$9),'Entrada das massas'!S139-((($C$10-$C$9)*($B$10-'Entrada das massas'!S139)+($B$9*$C$10)-($B$10*$C$10))/($B$9-$B$10)),IF(AND('Entrada das massas'!S139&lt;=$B$9,'Entrada das massas'!S139&gt;$B$8),'Entrada das massas'!S139-((($C$9-$C$8)*($B$9-'Entrada das massas'!S139)+($B$8*$C$9)-($B$9*$C$9))/($B$8-$B$9)),IF(AND('Entrada das massas'!S139&lt;=$B$8,'Entrada das massas'!S139&gt;$B$7),'Entrada das massas'!S139-((($C$8-$C$7)*($B$8-'Entrada das massas'!S139)+($B$7*$C$8)-($B$8*$C$8))/($B$7-$B$8)),IF(AND('Entrada das massas'!S139&lt;=$B$7,'Entrada das massas'!S139&gt;$B$6),'Entrada das massas'!S139-((($C$7-$C$6)*($B$7-'Entrada das massas'!S139)+($B$6*$C$7)-($B$7*$C$7))/($B$6-$B$7)),IF(AND('Entrada das massas'!S139&lt;=$B$6,'Entrada das massas'!S139&gt;$B$5),'Entrada das massas'!S139-((($C$6-$C$5)*($B$6-'Entrada das massas'!S139)+($B$5*$C$6)-($B$6*$C$6))/($B$5-$B$6)),IF('Entrada das massas'!S139&lt;=$B$5,'Entrada das massas'!S139-$C$5)))))))))))))))))</f>
        <v/>
      </c>
      <c r="X159" s="117" t="str">
        <f t="shared" si="83"/>
        <v/>
      </c>
      <c r="Y159" s="120" t="str">
        <f>IF(W157="","",W159-W157)</f>
        <v/>
      </c>
      <c r="Z159" s="117" t="str">
        <f>IF(X157="","",SQRT(SUMSQ(X157,X159)))</f>
        <v/>
      </c>
      <c r="AA159" s="93" t="str">
        <f>IF(W156="","","Solução")</f>
        <v/>
      </c>
    </row>
    <row r="160" spans="3:27" x14ac:dyDescent="0.2">
      <c r="H160" s="98"/>
      <c r="I160" s="93"/>
      <c r="J160" s="144"/>
      <c r="K160" s="139"/>
      <c r="L160" s="139"/>
      <c r="M160" s="98"/>
      <c r="N160" s="98"/>
      <c r="O160" s="98"/>
      <c r="P160" s="93"/>
      <c r="Q160" s="120"/>
      <c r="R160" s="120"/>
      <c r="S160" s="120"/>
      <c r="T160" s="98"/>
      <c r="U160" s="98"/>
      <c r="V160" s="98"/>
      <c r="W160" s="93"/>
      <c r="X160" s="120"/>
      <c r="Y160" s="120"/>
      <c r="Z160" s="120"/>
      <c r="AA160" s="98"/>
    </row>
    <row r="161" spans="8:27" x14ac:dyDescent="0.2">
      <c r="H161" s="126" t="str">
        <f>IF(I156="","","Amostra")</f>
        <v/>
      </c>
      <c r="I161" s="127" t="str">
        <f>IF('Entrada das massas'!I141="","",'Entrada das massas'!I141)</f>
        <v/>
      </c>
      <c r="J161" s="120" t="str">
        <f>IF(I161="","","uc(g)")</f>
        <v/>
      </c>
      <c r="K161" s="120" t="str">
        <f>IF(J161="","","Massa (g)")</f>
        <v/>
      </c>
      <c r="L161" s="120" t="str">
        <f>IF(K161="","","ucomb (g)")</f>
        <v/>
      </c>
      <c r="M161" s="98" t="str">
        <f>IF(I161="","","Fdiluição")</f>
        <v/>
      </c>
      <c r="N161" s="98"/>
      <c r="O161" s="126" t="str">
        <f>IF(M162="","","Amostra")</f>
        <v/>
      </c>
      <c r="P161" s="127" t="str">
        <f>IF('Entrada das massas'!N141="","",'Entrada das massas'!N141)</f>
        <v/>
      </c>
      <c r="Q161" s="120" t="str">
        <f>IF(P161="","","uc(g)")</f>
        <v/>
      </c>
      <c r="R161" s="120" t="str">
        <f>IF(Q161="","","Massa (g)")</f>
        <v/>
      </c>
      <c r="S161" s="120" t="str">
        <f>IF(R161="","","ucomb (g)")</f>
        <v/>
      </c>
      <c r="T161" s="98" t="str">
        <f>IF(P161="","","Fdiluição")</f>
        <v/>
      </c>
      <c r="U161" s="98"/>
      <c r="V161" s="126" t="str">
        <f>IF(T162="","","Amostra")</f>
        <v/>
      </c>
      <c r="W161" s="127" t="str">
        <f>IF('Entrada das massas'!S141="","",'Entrada das massas'!S141)</f>
        <v/>
      </c>
      <c r="X161" s="120" t="str">
        <f>IF(W161="","","uc(g)")</f>
        <v/>
      </c>
      <c r="Y161" s="120" t="str">
        <f>IF(X161="","","Massa (g)")</f>
        <v/>
      </c>
      <c r="Z161" s="120" t="str">
        <f>IF(Y161="","","ucomb (g)")</f>
        <v/>
      </c>
      <c r="AA161" s="98" t="str">
        <f>IF(W161="","","Fdiluição")</f>
        <v/>
      </c>
    </row>
    <row r="162" spans="8:27" x14ac:dyDescent="0.2">
      <c r="H162" s="115" t="str">
        <f>IF(I161="","","Frasco")</f>
        <v/>
      </c>
      <c r="I162" s="116" t="str">
        <f>IF('Entrada das massas'!I142="","",IF(AND('Entrada das massas'!I142&lt;=$B$20,'Entrada das massas'!I142&gt;$B$19),'Entrada das massas'!I142-((($C$20-$C$19)*($B$20-'Entrada das massas'!I142)+($B$19*$C$20)-($B$20*$C$20))/($B$19-$B$20)),IF(AND('Entrada das massas'!I142&lt;=$B$19,'Entrada das massas'!I142&gt;$B$18),'Entrada das massas'!I142-((($C$19-$C$18)*($B$19-'Entrada das massas'!I142)+($B$18*$C$19)-($B$19*$C$19))/($B$18-$B$19)),IF(AND('Entrada das massas'!I142&lt;=$B$18,'Entrada das massas'!I142&gt;$B$17),'Entrada das massas'!I142-((($C$18-$C$17)*($B$18-'Entrada das massas'!I142)+($B$17*$C$18)-($B$18*$C$18))/($B$17-$B$18)),IF(AND('Entrada das massas'!I142&lt;=$B$17,'Entrada das massas'!I142&gt;$B$16),'Entrada das massas'!I142-((($C$17-$C$16)*($B$17-'Entrada das massas'!I142)+($B$16*$C$17)-($B$17*$C$17))/($B$16-$B$17)),IF(AND('Entrada das massas'!I142&lt;=$B$16,'Entrada das massas'!I142&gt;$B$15),'Entrada das massas'!I142-((($C$16-$C$15)*($B$16-'Entrada das massas'!I142)+($B$15*$C$16)-($B$16*$C$16))/($B$15-$B$16)),IF(AND('Entrada das massas'!I142&lt;=$B$15,'Entrada das massas'!I142&gt;$B$14),'Entrada das massas'!I142-((($C$15-$C$14)*($B$15-'Entrada das massas'!I142)+($B$14*$C$15)-($B$15*$C$15))/($B$14-$B$15)),IF(AND('Entrada das massas'!I142&lt;=$B$14,'Entrada das massas'!I142&gt;$B$13),'Entrada das massas'!I142-((($C$14-$C$13)*($B$14-'Entrada das massas'!I142)+($B$13*$C$14)-($B$14*$C$14))/($B$13-$B$14)),IF(AND('Entrada das massas'!I142&lt;=$B$13,'Entrada das massas'!I142&gt;$B$12),'Entrada das massas'!I142-((($C$13-$C$12)*($B$13-'Entrada das massas'!I142)+($B$12*$C$13)-($B$13*$C$13))/($B$12-$B$13)),IF(AND('Entrada das massas'!I142&lt;=$B$12,'Entrada das massas'!I142&gt;$B$11),'Entrada das massas'!I142-((($C$12-$C$11)*($B$12-'Entrada das massas'!I142)+($B$11*$C$12)-($B$12*$C$12))/($B$11-$B$12)),IF(AND('Entrada das massas'!I142&lt;=$B$11,'Entrada das massas'!I142&gt;$B$10),'Entrada das massas'!I142-((($C$11-$C$10)*($B$11-'Entrada das massas'!I142)+($B$10*$C$11)-($B$11*$C$11))/($B$10-$B$11)),IF(AND('Entrada das massas'!I142&lt;=$B$10,'Entrada das massas'!I142&gt;$B$9),'Entrada das massas'!I142-((($C$10-$C$9)*($B$10-'Entrada das massas'!I142)+($B$9*$C$10)-($B$10*$C$10))/($B$9-$B$10)),IF(AND('Entrada das massas'!I142&lt;=$B$9,'Entrada das massas'!I142&gt;$B$8),'Entrada das massas'!I142-((($C$9-$C$8)*($B$9-'Entrada das massas'!I142)+($B$8*$C$9)-($B$9*$C$9))/($B$8-$B$9)),IF(AND('Entrada das massas'!I142&lt;=$B$8,'Entrada das massas'!I142&gt;$B$7),'Entrada das massas'!I142-((($C$8-$C$7)*($B$8-'Entrada das massas'!I142)+($B$7*$C$8)-($B$8*$C$8))/($B$7-$B$8)),IF(AND('Entrada das massas'!I142&lt;=$B$7,'Entrada das massas'!I142&gt;$B$6),'Entrada das massas'!I142-((($C$7-$C$6)*($B$7-'Entrada das massas'!I142)+($B$6*$C$7)-($B$7*$C$7))/($B$6-$B$7)),IF(AND('Entrada das massas'!I142&lt;=$B$6,'Entrada das massas'!I142&gt;$B$5),'Entrada das massas'!I142-((($C$6-$C$5)*($B$6-'Entrada das massas'!I142)+($B$5*$C$6)-($B$6*$C$6))/($B$5-$B$6)),IF('Entrada das massas'!I142&lt;=$B$5,'Entrada das massas'!I142-$C$5)))))))))))))))))</f>
        <v/>
      </c>
      <c r="J162" s="117" t="str">
        <f>IF(I162="","",(IF(AND(I162&lt;=$B$20,I162&gt;$B$19),$D$19+($B$19-I162)/($B$19-$B$20)*($D$20-$D$19),IF(AND(I162&lt;=$B$19,I162&gt;$B$18),$D$18+($B$18-I162)/($B$18-$B$19)*($D$19-$D$18),IF(AND(I162&lt;=$B$18,I162&gt;$B$17),$D$17+($B$17-I162)/($B$17-$B$18)*($D$18-$D$17),IF(AND(I162&lt;=$B$17,I162&gt;$B$16),$D$16+($B$16-I162)/($B$16-$B$17)*($D$17-$D$16),IF(AND(I162&lt;=$B$16,I162&gt;$B$15),$D$15+($B$15-I162)/($B$15-$B$16)*($D$16-$D$15),IF(AND(I162&lt;=$B$15,I162&gt;$B$14),$D$14+($B$14-I162)/($B$14-$B$15)*($D$15-$D$14),IF(AND(I162&lt;=$B$14,I162&gt;$B$13),$D$13+($B$13-I162)/($B$13-$B$14)*($D$14-$D$13),IF(AND(I162&lt;=$B$13,I162&gt;$B$12),$D$12+($B$12-I162)/($B$12-$B$13)*($D$13-$D$12),IF(AND(I162&lt;=$B$12,I162&gt;$B$11),$D$11+($B$11-I162)/($B$11-$B$12)*($D$12-$D$11),IF(AND(I162&lt;=$B$11,I162&gt;$B$10),$D$10+($B$10-I162)/($B$10-$B$11)*($D$11-$D$10),IF(AND(I162&lt;=$B$10,I162&gt;$B$9),$D$9+($B$9-I162)/($B$9-$B$10)*($D$10-$D$9),IF(AND(I162&lt;=$B$9,I162&gt;$B$8),$D$8+($B$8-I162)/($B$8-$B$9)*($D$9-$D$8),IF(AND(I162&lt;=$B$8,I162&gt;$B$7),$D$7+($B$7-I162)/($B$7-$B$8)*($D$8-$D$7),IF(AND(I162&lt;=$B$7,I162&gt;$B$6),$D$6+($B$6-I162)/($B$6-$B$7)*($D$7-$D$6),IF(I162&lt;=$B$6,$D$6)))))))))))))))))</f>
        <v/>
      </c>
      <c r="K162" s="117"/>
      <c r="L162" s="117"/>
      <c r="M162" s="118" t="str">
        <f>IFERROR(K164/K163,"")</f>
        <v/>
      </c>
      <c r="N162" s="93"/>
      <c r="O162" s="115" t="str">
        <f>IF(P161="","","Frasco")</f>
        <v/>
      </c>
      <c r="P162" s="95" t="str">
        <f>IF('Entrada das massas'!N142="","",IF(AND('Entrada das massas'!N142&lt;=$B$20,'Entrada das massas'!N142&gt;$B$19),'Entrada das massas'!N142-((($C$20-$C$19)*($B$20-'Entrada das massas'!N142)+($B$19*$C$20)-($B$20*$C$20))/($B$19-$B$20)),IF(AND('Entrada das massas'!N142&lt;=$B$19,'Entrada das massas'!N142&gt;$B$18),'Entrada das massas'!N142-((($C$19-$C$18)*($B$19-'Entrada das massas'!N142)+($B$18*$C$19)-($B$19*$C$19))/($B$18-$B$19)),IF(AND('Entrada das massas'!N142&lt;=$B$18,'Entrada das massas'!N142&gt;$B$17),'Entrada das massas'!N142-((($C$18-$C$17)*($B$18-'Entrada das massas'!N142)+($B$17*$C$18)-($B$18*$C$18))/($B$17-$B$18)),IF(AND('Entrada das massas'!N142&lt;=$B$17,'Entrada das massas'!N142&gt;$B$16),'Entrada das massas'!N142-((($C$17-$C$16)*($B$17-'Entrada das massas'!N142)+($B$16*$C$17)-($B$17*$C$17))/($B$16-$B$17)),IF(AND('Entrada das massas'!N142&lt;=$B$16,'Entrada das massas'!N142&gt;$B$15),'Entrada das massas'!N142-((($C$16-$C$15)*($B$16-'Entrada das massas'!N142)+($B$15*$C$16)-($B$16*$C$16))/($B$15-$B$16)),IF(AND('Entrada das massas'!N142&lt;=$B$15,'Entrada das massas'!N142&gt;$B$14),'Entrada das massas'!N142-((($C$15-$C$14)*($B$15-'Entrada das massas'!N142)+($B$14*$C$15)-($B$15*$C$15))/($B$14-$B$15)),IF(AND('Entrada das massas'!N142&lt;=$B$14,'Entrada das massas'!N142&gt;$B$13),'Entrada das massas'!N142-((($C$14-$C$13)*($B$14-'Entrada das massas'!N142)+($B$13*$C$14)-($B$14*$C$14))/($B$13-$B$14)),IF(AND('Entrada das massas'!N142&lt;=$B$13,'Entrada das massas'!N142&gt;$B$12),'Entrada das massas'!N142-((($C$13-$C$12)*($B$13-'Entrada das massas'!N142)+($B$12*$C$13)-($B$13*$C$13))/($B$12-$B$13)),IF(AND('Entrada das massas'!N142&lt;=$B$12,'Entrada das massas'!N142&gt;$B$11),'Entrada das massas'!N142-((($C$12-$C$11)*($B$12-'Entrada das massas'!N142)+($B$11*$C$12)-($B$12*$C$12))/($B$11-$B$12)),IF(AND('Entrada das massas'!N142&lt;=$B$11,'Entrada das massas'!N142&gt;$B$10),'Entrada das massas'!N142-((($C$11-$C$10)*($B$11-'Entrada das massas'!N142)+($B$10*$C$11)-($B$11*$C$11))/($B$10-$B$11)),IF(AND('Entrada das massas'!N142&lt;=$B$10,'Entrada das massas'!N142&gt;$B$9),'Entrada das massas'!N142-((($C$10-$C$9)*($B$10-'Entrada das massas'!N142)+($B$9*$C$10)-($B$10*$C$10))/($B$9-$B$10)),IF(AND('Entrada das massas'!N142&lt;=$B$9,'Entrada das massas'!N142&gt;$B$8),'Entrada das massas'!N142-((($C$9-$C$8)*($B$9-'Entrada das massas'!N142)+($B$8*$C$9)-($B$9*$C$9))/($B$8-$B$9)),IF(AND('Entrada das massas'!N142&lt;=$B$8,'Entrada das massas'!N142&gt;$B$7),'Entrada das massas'!N142-((($C$8-$C$7)*($B$8-'Entrada das massas'!N142)+($B$7*$C$8)-($B$8*$C$8))/($B$7-$B$8)),IF(AND('Entrada das massas'!N142&lt;=$B$7,'Entrada das massas'!N142&gt;$B$6),'Entrada das massas'!N142-((($C$7-$C$6)*($B$7-'Entrada das massas'!N142)+($B$6*$C$7)-($B$7*$C$7))/($B$6-$B$7)),IF(AND('Entrada das massas'!N142&lt;=$B$6,'Entrada das massas'!N142&gt;$B$5),'Entrada das massas'!N142-((($C$6-$C$5)*($B$6-'Entrada das massas'!N142)+($B$5*$C$6)-($B$6*$C$6))/($B$5-$B$6)),IF('Entrada das massas'!N142&lt;=$B$5,'Entrada das massas'!N142-$C$5)))))))))))))))))</f>
        <v/>
      </c>
      <c r="Q162" s="117" t="str">
        <f>IF(P162="","",(IF(AND(P162&lt;=$B$20,P162&gt;$B$19),$D$19+($B$19-P162)/($B$19-$B$20)*($D$20-$D$19),IF(AND(P162&lt;=$B$19,P162&gt;$B$18),$D$18+($B$18-P162)/($B$18-$B$19)*($D$19-$D$18),IF(AND(P162&lt;=$B$18,P162&gt;$B$17),$D$17+($B$17-P162)/($B$17-$B$18)*($D$18-$D$17),IF(AND(P162&lt;=$B$17,P162&gt;$B$16),$D$16+($B$16-P162)/($B$16-$B$17)*($D$17-$D$16),IF(AND(P162&lt;=$B$16,P162&gt;$B$15),$D$15+($B$15-P162)/($B$15-$B$16)*($D$16-$D$15),IF(AND(P162&lt;=$B$15,P162&gt;$B$14),$D$14+($B$14-P162)/($B$14-$B$15)*($D$15-$D$14),IF(AND(P162&lt;=$B$14,P162&gt;$B$13),$D$13+($B$13-P162)/($B$13-$B$14)*($D$14-$D$13),IF(AND(P162&lt;=$B$13,P162&gt;$B$12),$D$12+($B$12-P162)/($B$12-$B$13)*($D$13-$D$12),IF(AND(P162&lt;=$B$12,P162&gt;$B$11),$D$11+($B$11-P162)/($B$11-$B$12)*($D$12-$D$11),IF(AND(P162&lt;=$B$11,P162&gt;$B$10),$D$10+($B$10-P162)/($B$10-$B$11)*($D$11-$D$10),IF(AND(P162&lt;=$B$10,P162&gt;$B$9),$D$9+($B$9-P162)/($B$9-$B$10)*($D$10-$D$9),IF(AND(P162&lt;=$B$9,P162&gt;$B$8),$D$8+($B$8-P162)/($B$8-$B$9)*($D$9-$D$8),IF(AND(P162&lt;=$B$8,P162&gt;$B$7),$D$7+($B$7-P162)/($B$7-$B$8)*($D$8-$D$7),IF(AND(P162&lt;=$B$7,P162&gt;$B$6),$D$6+($B$6-P162)/($B$6-$B$7)*($D$7-$D$6),IF(P162&lt;=$B$6,$D$6)))))))))))))))))</f>
        <v/>
      </c>
      <c r="R162" s="117"/>
      <c r="S162" s="117"/>
      <c r="T162" s="118" t="str">
        <f>IFERROR(R164/R163,"")</f>
        <v/>
      </c>
      <c r="U162" s="93"/>
      <c r="V162" s="115" t="str">
        <f>IF(W161="","","Frasco")</f>
        <v/>
      </c>
      <c r="W162" s="95" t="str">
        <f>IF('Entrada das massas'!S142="","",IF(AND('Entrada das massas'!S142&lt;=$B$20,'Entrada das massas'!S142&gt;$B$19),'Entrada das massas'!S142-((($C$20-$C$19)*($B$20-'Entrada das massas'!S142)+($B$19*$C$20)-($B$20*$C$20))/($B$19-$B$20)),IF(AND('Entrada das massas'!S142&lt;=$B$19,'Entrada das massas'!S142&gt;$B$18),'Entrada das massas'!S142-((($C$19-$C$18)*($B$19-'Entrada das massas'!S142)+($B$18*$C$19)-($B$19*$C$19))/($B$18-$B$19)),IF(AND('Entrada das massas'!S142&lt;=$B$18,'Entrada das massas'!S142&gt;$B$17),'Entrada das massas'!S142-((($C$18-$C$17)*($B$18-'Entrada das massas'!S142)+($B$17*$C$18)-($B$18*$C$18))/($B$17-$B$18)),IF(AND('Entrada das massas'!S142&lt;=$B$17,'Entrada das massas'!S142&gt;$B$16),'Entrada das massas'!S142-((($C$17-$C$16)*($B$17-'Entrada das massas'!S142)+($B$16*$C$17)-($B$17*$C$17))/($B$16-$B$17)),IF(AND('Entrada das massas'!S142&lt;=$B$16,'Entrada das massas'!S142&gt;$B$15),'Entrada das massas'!S142-((($C$16-$C$15)*($B$16-'Entrada das massas'!S142)+($B$15*$C$16)-($B$16*$C$16))/($B$15-$B$16)),IF(AND('Entrada das massas'!S142&lt;=$B$15,'Entrada das massas'!S142&gt;$B$14),'Entrada das massas'!S142-((($C$15-$C$14)*($B$15-'Entrada das massas'!S142)+($B$14*$C$15)-($B$15*$C$15))/($B$14-$B$15)),IF(AND('Entrada das massas'!S142&lt;=$B$14,'Entrada das massas'!S142&gt;$B$13),'Entrada das massas'!S142-((($C$14-$C$13)*($B$14-'Entrada das massas'!S142)+($B$13*$C$14)-($B$14*$C$14))/($B$13-$B$14)),IF(AND('Entrada das massas'!S142&lt;=$B$13,'Entrada das massas'!S142&gt;$B$12),'Entrada das massas'!S142-((($C$13-$C$12)*($B$13-'Entrada das massas'!S142)+($B$12*$C$13)-($B$13*$C$13))/($B$12-$B$13)),IF(AND('Entrada das massas'!S142&lt;=$B$12,'Entrada das massas'!S142&gt;$B$11),'Entrada das massas'!S142-((($C$12-$C$11)*($B$12-'Entrada das massas'!S142)+($B$11*$C$12)-($B$12*$C$12))/($B$11-$B$12)),IF(AND('Entrada das massas'!S142&lt;=$B$11,'Entrada das massas'!S142&gt;$B$10),'Entrada das massas'!S142-((($C$11-$C$10)*($B$11-'Entrada das massas'!S142)+($B$10*$C$11)-($B$11*$C$11))/($B$10-$B$11)),IF(AND('Entrada das massas'!S142&lt;=$B$10,'Entrada das massas'!S142&gt;$B$9),'Entrada das massas'!S142-((($C$10-$C$9)*($B$10-'Entrada das massas'!S142)+($B$9*$C$10)-($B$10*$C$10))/($B$9-$B$10)),IF(AND('Entrada das massas'!S142&lt;=$B$9,'Entrada das massas'!S142&gt;$B$8),'Entrada das massas'!S142-((($C$9-$C$8)*($B$9-'Entrada das massas'!S142)+($B$8*$C$9)-($B$9*$C$9))/($B$8-$B$9)),IF(AND('Entrada das massas'!S142&lt;=$B$8,'Entrada das massas'!S142&gt;$B$7),'Entrada das massas'!S142-((($C$8-$C$7)*($B$8-'Entrada das massas'!S142)+($B$7*$C$8)-($B$8*$C$8))/($B$7-$B$8)),IF(AND('Entrada das massas'!S142&lt;=$B$7,'Entrada das massas'!S142&gt;$B$6),'Entrada das massas'!S142-((($C$7-$C$6)*($B$7-'Entrada das massas'!S142)+($B$6*$C$7)-($B$7*$C$7))/($B$6-$B$7)),IF(AND('Entrada das massas'!S142&lt;=$B$6,'Entrada das massas'!S142&gt;$B$5),'Entrada das massas'!S142-((($C$6-$C$5)*($B$6-'Entrada das massas'!S142)+($B$5*$C$6)-($B$6*$C$6))/($B$5-$B$6)),IF('Entrada das massas'!S142&lt;=$B$5,'Entrada das massas'!S142-$C$5)))))))))))))))))</f>
        <v/>
      </c>
      <c r="X162" s="117" t="str">
        <f>IF(W162="","",(IF(AND(W162&lt;=$B$20,W162&gt;$B$19),$D$19+($B$19-W162)/($B$19-$B$20)*($D$20-$D$19),IF(AND(W162&lt;=$B$19,W162&gt;$B$18),$D$18+($B$18-W162)/($B$18-$B$19)*($D$19-$D$18),IF(AND(W162&lt;=$B$18,W162&gt;$B$17),$D$17+($B$17-W162)/($B$17-$B$18)*($D$18-$D$17),IF(AND(W162&lt;=$B$17,W162&gt;$B$16),$D$16+($B$16-W162)/($B$16-$B$17)*($D$17-$D$16),IF(AND(W162&lt;=$B$16,W162&gt;$B$15),$D$15+($B$15-W162)/($B$15-$B$16)*($D$16-$D$15),IF(AND(W162&lt;=$B$15,W162&gt;$B$14),$D$14+($B$14-W162)/($B$14-$B$15)*($D$15-$D$14),IF(AND(W162&lt;=$B$14,W162&gt;$B$13),$D$13+($B$13-W162)/($B$13-$B$14)*($D$14-$D$13),IF(AND(W162&lt;=$B$13,W162&gt;$B$12),$D$12+($B$12-W162)/($B$12-$B$13)*($D$13-$D$12),IF(AND(W162&lt;=$B$12,W162&gt;$B$11),$D$11+($B$11-W162)/($B$11-$B$12)*($D$12-$D$11),IF(AND(W162&lt;=$B$11,W162&gt;$B$10),$D$10+($B$10-W162)/($B$10-$B$11)*($D$11-$D$10),IF(AND(W162&lt;=$B$10,W162&gt;$B$9),$D$9+($B$9-W162)/($B$9-$B$10)*($D$10-$D$9),IF(AND(W162&lt;=$B$9,W162&gt;$B$8),$D$8+($B$8-W162)/($B$8-$B$9)*($D$9-$D$8),IF(AND(W162&lt;=$B$8,W162&gt;$B$7),$D$7+($B$7-W162)/($B$7-$B$8)*($D$8-$D$7),IF(AND(W162&lt;=$B$7,W162&gt;$B$6),$D$6+($B$6-W162)/($B$6-$B$7)*($D$7-$D$6),IF(W162&lt;=$B$6,$D$6)))))))))))))))))</f>
        <v/>
      </c>
      <c r="Y162" s="117"/>
      <c r="Z162" s="117"/>
      <c r="AA162" s="118" t="str">
        <f>IFERROR(Y164/Y163,"")</f>
        <v/>
      </c>
    </row>
    <row r="163" spans="8:27" x14ac:dyDescent="0.2">
      <c r="H163" s="115" t="str">
        <f>IF(I161="","","Frasco + Amostra")</f>
        <v/>
      </c>
      <c r="I163" s="116" t="str">
        <f>IF('Entrada das massas'!I143="","",IF(AND('Entrada das massas'!I143&lt;=$B$20,'Entrada das massas'!I143&gt;$B$19),'Entrada das massas'!I143-((($C$20-$C$19)*($B$20-'Entrada das massas'!I143)+($B$19*$C$20)-($B$20*$C$20))/($B$19-$B$20)),IF(AND('Entrada das massas'!I143&lt;=$B$19,'Entrada das massas'!I143&gt;$B$18),'Entrada das massas'!I143-((($C$19-$C$18)*($B$19-'Entrada das massas'!I143)+($B$18*$C$19)-($B$19*$C$19))/($B$18-$B$19)),IF(AND('Entrada das massas'!I143&lt;=$B$18,'Entrada das massas'!I143&gt;$B$17),'Entrada das massas'!I143-((($C$18-$C$17)*($B$18-'Entrada das massas'!I143)+($B$17*$C$18)-($B$18*$C$18))/($B$17-$B$18)),IF(AND('Entrada das massas'!I143&lt;=$B$17,'Entrada das massas'!I143&gt;$B$16),'Entrada das massas'!I143-((($C$17-$C$16)*($B$17-'Entrada das massas'!I143)+($B$16*$C$17)-($B$17*$C$17))/($B$16-$B$17)),IF(AND('Entrada das massas'!I143&lt;=$B$16,'Entrada das massas'!I143&gt;$B$15),'Entrada das massas'!I143-((($C$16-$C$15)*($B$16-'Entrada das massas'!I143)+($B$15*$C$16)-($B$16*$C$16))/($B$15-$B$16)),IF(AND('Entrada das massas'!I143&lt;=$B$15,'Entrada das massas'!I143&gt;$B$14),'Entrada das massas'!I143-((($C$15-$C$14)*($B$15-'Entrada das massas'!I143)+($B$14*$C$15)-($B$15*$C$15))/($B$14-$B$15)),IF(AND('Entrada das massas'!I143&lt;=$B$14,'Entrada das massas'!I143&gt;$B$13),'Entrada das massas'!I143-((($C$14-$C$13)*($B$14-'Entrada das massas'!I143)+($B$13*$C$14)-($B$14*$C$14))/($B$13-$B$14)),IF(AND('Entrada das massas'!I143&lt;=$B$13,'Entrada das massas'!I143&gt;$B$12),'Entrada das massas'!I143-((($C$13-$C$12)*($B$13-'Entrada das massas'!I143)+($B$12*$C$13)-($B$13*$C$13))/($B$12-$B$13)),IF(AND('Entrada das massas'!I143&lt;=$B$12,'Entrada das massas'!I143&gt;$B$11),'Entrada das massas'!I143-((($C$12-$C$11)*($B$12-'Entrada das massas'!I143)+($B$11*$C$12)-($B$12*$C$12))/($B$11-$B$12)),IF(AND('Entrada das massas'!I143&lt;=$B$11,'Entrada das massas'!I143&gt;$B$10),'Entrada das massas'!I143-((($C$11-$C$10)*($B$11-'Entrada das massas'!I143)+($B$10*$C$11)-($B$11*$C$11))/($B$10-$B$11)),IF(AND('Entrada das massas'!I143&lt;=$B$10,'Entrada das massas'!I143&gt;$B$9),'Entrada das massas'!I143-((($C$10-$C$9)*($B$10-'Entrada das massas'!I143)+($B$9*$C$10)-($B$10*$C$10))/($B$9-$B$10)),IF(AND('Entrada das massas'!I143&lt;=$B$9,'Entrada das massas'!I143&gt;$B$8),'Entrada das massas'!I143-((($C$9-$C$8)*($B$9-'Entrada das massas'!I143)+($B$8*$C$9)-($B$9*$C$9))/($B$8-$B$9)),IF(AND('Entrada das massas'!I143&lt;=$B$8,'Entrada das massas'!I143&gt;$B$7),'Entrada das massas'!I143-((($C$8-$C$7)*($B$8-'Entrada das massas'!I143)+($B$7*$C$8)-($B$8*$C$8))/($B$7-$B$8)),IF(AND('Entrada das massas'!I143&lt;=$B$7,'Entrada das massas'!I143&gt;$B$6),'Entrada das massas'!I143-((($C$7-$C$6)*($B$7-'Entrada das massas'!I143)+($B$6*$C$7)-($B$7*$C$7))/($B$6-$B$7)),IF(AND('Entrada das massas'!I143&lt;=$B$6,'Entrada das massas'!I143&gt;$B$5),'Entrada das massas'!I143-((($C$6-$C$5)*($B$6-'Entrada das massas'!I143)+($B$5*$C$6)-($B$6*$C$6))/($B$5-$B$6)),IF('Entrada das massas'!I143&lt;=$B$5,'Entrada das massas'!I143-$C$5)))))))))))))))))</f>
        <v/>
      </c>
      <c r="J163" s="117" t="str">
        <f t="shared" ref="J163:J164" si="84">IF(I163="","",(IF(AND(I163&lt;=$B$20,I163&gt;$B$19),$D$19+($B$19-I163)/($B$19-$B$20)*($D$20-$D$19),IF(AND(I163&lt;=$B$19,I163&gt;$B$18),$D$18+($B$18-I163)/($B$18-$B$19)*($D$19-$D$18),IF(AND(I163&lt;=$B$18,I163&gt;$B$17),$D$17+($B$17-I163)/($B$17-$B$18)*($D$18-$D$17),IF(AND(I163&lt;=$B$17,I163&gt;$B$16),$D$16+($B$16-I163)/($B$16-$B$17)*($D$17-$D$16),IF(AND(I163&lt;=$B$16,I163&gt;$B$15),$D$15+($B$15-I163)/($B$15-$B$16)*($D$16-$D$15),IF(AND(I163&lt;=$B$15,I163&gt;$B$14),$D$14+($B$14-I163)/($B$14-$B$15)*($D$15-$D$14),IF(AND(I163&lt;=$B$14,I163&gt;$B$13),$D$13+($B$13-I163)/($B$13-$B$14)*($D$14-$D$13),IF(AND(I163&lt;=$B$13,I163&gt;$B$12),$D$12+($B$12-I163)/($B$12-$B$13)*($D$13-$D$12),IF(AND(I163&lt;=$B$12,I163&gt;$B$11),$D$11+($B$11-I163)/($B$11-$B$12)*($D$12-$D$11),IF(AND(I163&lt;=$B$11,I163&gt;$B$10),$D$10+($B$10-I163)/($B$10-$B$11)*($D$11-$D$10),IF(AND(I163&lt;=$B$10,I163&gt;$B$9),$D$9+($B$9-I163)/($B$9-$B$10)*($D$10-$D$9),IF(AND(I163&lt;=$B$9,I163&gt;$B$8),$D$8+($B$8-I163)/($B$8-$B$9)*($D$9-$D$8),IF(AND(I163&lt;=$B$8,I163&gt;$B$7),$D$7+($B$7-I163)/($B$7-$B$8)*($D$8-$D$7),IF(AND(I163&lt;=$B$7,I163&gt;$B$6),$D$6+($B$6-I163)/($B$6-$B$7)*($D$7-$D$6),IF(I163&lt;=$B$6,$D$6)))))))))))))))))</f>
        <v/>
      </c>
      <c r="K163" s="120" t="str">
        <f>IF(I162="","",I163-I162)</f>
        <v/>
      </c>
      <c r="L163" s="117" t="str">
        <f>IF(J162="","",SQRT(SUMSQ(J162:J163)))</f>
        <v/>
      </c>
      <c r="M163" s="93" t="str">
        <f>IF(I161="","","Amostra")</f>
        <v/>
      </c>
      <c r="N163" s="118"/>
      <c r="O163" s="115" t="str">
        <f>IF(P161="","","Frasco + Amostra")</f>
        <v/>
      </c>
      <c r="P163" s="95" t="str">
        <f>IF('Entrada das massas'!N143="","",IF(AND('Entrada das massas'!N143&lt;=$B$20,'Entrada das massas'!N143&gt;$B$19),'Entrada das massas'!N143-((($C$20-$C$19)*($B$20-'Entrada das massas'!N143)+($B$19*$C$20)-($B$20*$C$20))/($B$19-$B$20)),IF(AND('Entrada das massas'!N143&lt;=$B$19,'Entrada das massas'!N143&gt;$B$18),'Entrada das massas'!N143-((($C$19-$C$18)*($B$19-'Entrada das massas'!N143)+($B$18*$C$19)-($B$19*$C$19))/($B$18-$B$19)),IF(AND('Entrada das massas'!N143&lt;=$B$18,'Entrada das massas'!N143&gt;$B$17),'Entrada das massas'!N143-((($C$18-$C$17)*($B$18-'Entrada das massas'!N143)+($B$17*$C$18)-($B$18*$C$18))/($B$17-$B$18)),IF(AND('Entrada das massas'!N143&lt;=$B$17,'Entrada das massas'!N143&gt;$B$16),'Entrada das massas'!N143-((($C$17-$C$16)*($B$17-'Entrada das massas'!N143)+($B$16*$C$17)-($B$17*$C$17))/($B$16-$B$17)),IF(AND('Entrada das massas'!N143&lt;=$B$16,'Entrada das massas'!N143&gt;$B$15),'Entrada das massas'!N143-((($C$16-$C$15)*($B$16-'Entrada das massas'!N143)+($B$15*$C$16)-($B$16*$C$16))/($B$15-$B$16)),IF(AND('Entrada das massas'!N143&lt;=$B$15,'Entrada das massas'!N143&gt;$B$14),'Entrada das massas'!N143-((($C$15-$C$14)*($B$15-'Entrada das massas'!N143)+($B$14*$C$15)-($B$15*$C$15))/($B$14-$B$15)),IF(AND('Entrada das massas'!N143&lt;=$B$14,'Entrada das massas'!N143&gt;$B$13),'Entrada das massas'!N143-((($C$14-$C$13)*($B$14-'Entrada das massas'!N143)+($B$13*$C$14)-($B$14*$C$14))/($B$13-$B$14)),IF(AND('Entrada das massas'!N143&lt;=$B$13,'Entrada das massas'!N143&gt;$B$12),'Entrada das massas'!N143-((($C$13-$C$12)*($B$13-'Entrada das massas'!N143)+($B$12*$C$13)-($B$13*$C$13))/($B$12-$B$13)),IF(AND('Entrada das massas'!N143&lt;=$B$12,'Entrada das massas'!N143&gt;$B$11),'Entrada das massas'!N143-((($C$12-$C$11)*($B$12-'Entrada das massas'!N143)+($B$11*$C$12)-($B$12*$C$12))/($B$11-$B$12)),IF(AND('Entrada das massas'!N143&lt;=$B$11,'Entrada das massas'!N143&gt;$B$10),'Entrada das massas'!N143-((($C$11-$C$10)*($B$11-'Entrada das massas'!N143)+($B$10*$C$11)-($B$11*$C$11))/($B$10-$B$11)),IF(AND('Entrada das massas'!N143&lt;=$B$10,'Entrada das massas'!N143&gt;$B$9),'Entrada das massas'!N143-((($C$10-$C$9)*($B$10-'Entrada das massas'!N143)+($B$9*$C$10)-($B$10*$C$10))/($B$9-$B$10)),IF(AND('Entrada das massas'!N143&lt;=$B$9,'Entrada das massas'!N143&gt;$B$8),'Entrada das massas'!N143-((($C$9-$C$8)*($B$9-'Entrada das massas'!N143)+($B$8*$C$9)-($B$9*$C$9))/($B$8-$B$9)),IF(AND('Entrada das massas'!N143&lt;=$B$8,'Entrada das massas'!N143&gt;$B$7),'Entrada das massas'!N143-((($C$8-$C$7)*($B$8-'Entrada das massas'!N143)+($B$7*$C$8)-($B$8*$C$8))/($B$7-$B$8)),IF(AND('Entrada das massas'!N143&lt;=$B$7,'Entrada das massas'!N143&gt;$B$6),'Entrada das massas'!N143-((($C$7-$C$6)*($B$7-'Entrada das massas'!N143)+($B$6*$C$7)-($B$7*$C$7))/($B$6-$B$7)),IF(AND('Entrada das massas'!N143&lt;=$B$6,'Entrada das massas'!N143&gt;$B$5),'Entrada das massas'!N143-((($C$6-$C$5)*($B$6-'Entrada das massas'!N143)+($B$5*$C$6)-($B$6*$C$6))/($B$5-$B$6)),IF('Entrada das massas'!N143&lt;=$B$5,'Entrada das massas'!N143-$C$5)))))))))))))))))</f>
        <v/>
      </c>
      <c r="Q163" s="117" t="str">
        <f t="shared" ref="Q163:Q164" si="85">IF(P163="","",(IF(AND(P163&lt;=$B$20,P163&gt;$B$19),$D$19+($B$19-P163)/($B$19-$B$20)*($D$20-$D$19),IF(AND(P163&lt;=$B$19,P163&gt;$B$18),$D$18+($B$18-P163)/($B$18-$B$19)*($D$19-$D$18),IF(AND(P163&lt;=$B$18,P163&gt;$B$17),$D$17+($B$17-P163)/($B$17-$B$18)*($D$18-$D$17),IF(AND(P163&lt;=$B$17,P163&gt;$B$16),$D$16+($B$16-P163)/($B$16-$B$17)*($D$17-$D$16),IF(AND(P163&lt;=$B$16,P163&gt;$B$15),$D$15+($B$15-P163)/($B$15-$B$16)*($D$16-$D$15),IF(AND(P163&lt;=$B$15,P163&gt;$B$14),$D$14+($B$14-P163)/($B$14-$B$15)*($D$15-$D$14),IF(AND(P163&lt;=$B$14,P163&gt;$B$13),$D$13+($B$13-P163)/($B$13-$B$14)*($D$14-$D$13),IF(AND(P163&lt;=$B$13,P163&gt;$B$12),$D$12+($B$12-P163)/($B$12-$B$13)*($D$13-$D$12),IF(AND(P163&lt;=$B$12,P163&gt;$B$11),$D$11+($B$11-P163)/($B$11-$B$12)*($D$12-$D$11),IF(AND(P163&lt;=$B$11,P163&gt;$B$10),$D$10+($B$10-P163)/($B$10-$B$11)*($D$11-$D$10),IF(AND(P163&lt;=$B$10,P163&gt;$B$9),$D$9+($B$9-P163)/($B$9-$B$10)*($D$10-$D$9),IF(AND(P163&lt;=$B$9,P163&gt;$B$8),$D$8+($B$8-P163)/($B$8-$B$9)*($D$9-$D$8),IF(AND(P163&lt;=$B$8,P163&gt;$B$7),$D$7+($B$7-P163)/($B$7-$B$8)*($D$8-$D$7),IF(AND(P163&lt;=$B$7,P163&gt;$B$6),$D$6+($B$6-P163)/($B$6-$B$7)*($D$7-$D$6),IF(P163&lt;=$B$6,$D$6)))))))))))))))))</f>
        <v/>
      </c>
      <c r="R163" s="120" t="str">
        <f>IF(P162="","",P163-P162)</f>
        <v/>
      </c>
      <c r="S163" s="117" t="str">
        <f>IF(Q162="","",SQRT(SUMSQ(Q162:Q163)))</f>
        <v/>
      </c>
      <c r="T163" s="93" t="str">
        <f>IF(P161="","","Amostra")</f>
        <v/>
      </c>
      <c r="U163" s="118"/>
      <c r="V163" s="115" t="str">
        <f>IF(W161="","","Frasco + Amostra")</f>
        <v/>
      </c>
      <c r="W163" s="95" t="str">
        <f>IF('Entrada das massas'!S143="","",IF(AND('Entrada das massas'!S143&lt;=$B$20,'Entrada das massas'!S143&gt;$B$19),'Entrada das massas'!S143-((($C$20-$C$19)*($B$20-'Entrada das massas'!S143)+($B$19*$C$20)-($B$20*$C$20))/($B$19-$B$20)),IF(AND('Entrada das massas'!S143&lt;=$B$19,'Entrada das massas'!S143&gt;$B$18),'Entrada das massas'!S143-((($C$19-$C$18)*($B$19-'Entrada das massas'!S143)+($B$18*$C$19)-($B$19*$C$19))/($B$18-$B$19)),IF(AND('Entrada das massas'!S143&lt;=$B$18,'Entrada das massas'!S143&gt;$B$17),'Entrada das massas'!S143-((($C$18-$C$17)*($B$18-'Entrada das massas'!S143)+($B$17*$C$18)-($B$18*$C$18))/($B$17-$B$18)),IF(AND('Entrada das massas'!S143&lt;=$B$17,'Entrada das massas'!S143&gt;$B$16),'Entrada das massas'!S143-((($C$17-$C$16)*($B$17-'Entrada das massas'!S143)+($B$16*$C$17)-($B$17*$C$17))/($B$16-$B$17)),IF(AND('Entrada das massas'!S143&lt;=$B$16,'Entrada das massas'!S143&gt;$B$15),'Entrada das massas'!S143-((($C$16-$C$15)*($B$16-'Entrada das massas'!S143)+($B$15*$C$16)-($B$16*$C$16))/($B$15-$B$16)),IF(AND('Entrada das massas'!S143&lt;=$B$15,'Entrada das massas'!S143&gt;$B$14),'Entrada das massas'!S143-((($C$15-$C$14)*($B$15-'Entrada das massas'!S143)+($B$14*$C$15)-($B$15*$C$15))/($B$14-$B$15)),IF(AND('Entrada das massas'!S143&lt;=$B$14,'Entrada das massas'!S143&gt;$B$13),'Entrada das massas'!S143-((($C$14-$C$13)*($B$14-'Entrada das massas'!S143)+($B$13*$C$14)-($B$14*$C$14))/($B$13-$B$14)),IF(AND('Entrada das massas'!S143&lt;=$B$13,'Entrada das massas'!S143&gt;$B$12),'Entrada das massas'!S143-((($C$13-$C$12)*($B$13-'Entrada das massas'!S143)+($B$12*$C$13)-($B$13*$C$13))/($B$12-$B$13)),IF(AND('Entrada das massas'!S143&lt;=$B$12,'Entrada das massas'!S143&gt;$B$11),'Entrada das massas'!S143-((($C$12-$C$11)*($B$12-'Entrada das massas'!S143)+($B$11*$C$12)-($B$12*$C$12))/($B$11-$B$12)),IF(AND('Entrada das massas'!S143&lt;=$B$11,'Entrada das massas'!S143&gt;$B$10),'Entrada das massas'!S143-((($C$11-$C$10)*($B$11-'Entrada das massas'!S143)+($B$10*$C$11)-($B$11*$C$11))/($B$10-$B$11)),IF(AND('Entrada das massas'!S143&lt;=$B$10,'Entrada das massas'!S143&gt;$B$9),'Entrada das massas'!S143-((($C$10-$C$9)*($B$10-'Entrada das massas'!S143)+($B$9*$C$10)-($B$10*$C$10))/($B$9-$B$10)),IF(AND('Entrada das massas'!S143&lt;=$B$9,'Entrada das massas'!S143&gt;$B$8),'Entrada das massas'!S143-((($C$9-$C$8)*($B$9-'Entrada das massas'!S143)+($B$8*$C$9)-($B$9*$C$9))/($B$8-$B$9)),IF(AND('Entrada das massas'!S143&lt;=$B$8,'Entrada das massas'!S143&gt;$B$7),'Entrada das massas'!S143-((($C$8-$C$7)*($B$8-'Entrada das massas'!S143)+($B$7*$C$8)-($B$8*$C$8))/($B$7-$B$8)),IF(AND('Entrada das massas'!S143&lt;=$B$7,'Entrada das massas'!S143&gt;$B$6),'Entrada das massas'!S143-((($C$7-$C$6)*($B$7-'Entrada das massas'!S143)+($B$6*$C$7)-($B$7*$C$7))/($B$6-$B$7)),IF(AND('Entrada das massas'!S143&lt;=$B$6,'Entrada das massas'!S143&gt;$B$5),'Entrada das massas'!S143-((($C$6-$C$5)*($B$6-'Entrada das massas'!S143)+($B$5*$C$6)-($B$6*$C$6))/($B$5-$B$6)),IF('Entrada das massas'!S143&lt;=$B$5,'Entrada das massas'!S143-$C$5)))))))))))))))))</f>
        <v/>
      </c>
      <c r="X163" s="117" t="str">
        <f t="shared" ref="X163:X164" si="86">IF(W163="","",(IF(AND(W163&lt;=$B$20,W163&gt;$B$19),$D$19+($B$19-W163)/($B$19-$B$20)*($D$20-$D$19),IF(AND(W163&lt;=$B$19,W163&gt;$B$18),$D$18+($B$18-W163)/($B$18-$B$19)*($D$19-$D$18),IF(AND(W163&lt;=$B$18,W163&gt;$B$17),$D$17+($B$17-W163)/($B$17-$B$18)*($D$18-$D$17),IF(AND(W163&lt;=$B$17,W163&gt;$B$16),$D$16+($B$16-W163)/($B$16-$B$17)*($D$17-$D$16),IF(AND(W163&lt;=$B$16,W163&gt;$B$15),$D$15+($B$15-W163)/($B$15-$B$16)*($D$16-$D$15),IF(AND(W163&lt;=$B$15,W163&gt;$B$14),$D$14+($B$14-W163)/($B$14-$B$15)*($D$15-$D$14),IF(AND(W163&lt;=$B$14,W163&gt;$B$13),$D$13+($B$13-W163)/($B$13-$B$14)*($D$14-$D$13),IF(AND(W163&lt;=$B$13,W163&gt;$B$12),$D$12+($B$12-W163)/($B$12-$B$13)*($D$13-$D$12),IF(AND(W163&lt;=$B$12,W163&gt;$B$11),$D$11+($B$11-W163)/($B$11-$B$12)*($D$12-$D$11),IF(AND(W163&lt;=$B$11,W163&gt;$B$10),$D$10+($B$10-W163)/($B$10-$B$11)*($D$11-$D$10),IF(AND(W163&lt;=$B$10,W163&gt;$B$9),$D$9+($B$9-W163)/($B$9-$B$10)*($D$10-$D$9),IF(AND(W163&lt;=$B$9,W163&gt;$B$8),$D$8+($B$8-W163)/($B$8-$B$9)*($D$9-$D$8),IF(AND(W163&lt;=$B$8,W163&gt;$B$7),$D$7+($B$7-W163)/($B$7-$B$8)*($D$8-$D$7),IF(AND(W163&lt;=$B$7,W163&gt;$B$6),$D$6+($B$6-W163)/($B$6-$B$7)*($D$7-$D$6),IF(W163&lt;=$B$6,$D$6)))))))))))))))))</f>
        <v/>
      </c>
      <c r="Y163" s="120" t="str">
        <f>IF(W162="","",W163-W162)</f>
        <v/>
      </c>
      <c r="Z163" s="117" t="str">
        <f>IF(X162="","",SQRT(SUMSQ(X162:X163)))</f>
        <v/>
      </c>
      <c r="AA163" s="93" t="str">
        <f>IF(W161="","","Amostra")</f>
        <v/>
      </c>
    </row>
    <row r="164" spans="8:27" x14ac:dyDescent="0.2">
      <c r="H164" s="123" t="str">
        <f>IF(I161="","","Massa final")</f>
        <v/>
      </c>
      <c r="I164" s="116" t="str">
        <f>IF('Entrada das massas'!I144="","",IF(AND('Entrada das massas'!I144&lt;=$B$20,'Entrada das massas'!I144&gt;$B$19),'Entrada das massas'!I144-((($C$20-$C$19)*($B$20-'Entrada das massas'!I144)+($B$19*$C$20)-($B$20*$C$20))/($B$19-$B$20)),IF(AND('Entrada das massas'!I144&lt;=$B$19,'Entrada das massas'!I144&gt;$B$18),'Entrada das massas'!I144-((($C$19-$C$18)*($B$19-'Entrada das massas'!I144)+($B$18*$C$19)-($B$19*$C$19))/($B$18-$B$19)),IF(AND('Entrada das massas'!I144&lt;=$B$18,'Entrada das massas'!I144&gt;$B$17),'Entrada das massas'!I144-((($C$18-$C$17)*($B$18-'Entrada das massas'!I144)+($B$17*$C$18)-($B$18*$C$18))/($B$17-$B$18)),IF(AND('Entrada das massas'!I144&lt;=$B$17,'Entrada das massas'!I144&gt;$B$16),'Entrada das massas'!I144-((($C$17-$C$16)*($B$17-'Entrada das massas'!I144)+($B$16*$C$17)-($B$17*$C$17))/($B$16-$B$17)),IF(AND('Entrada das massas'!I144&lt;=$B$16,'Entrada das massas'!I144&gt;$B$15),'Entrada das massas'!I144-((($C$16-$C$15)*($B$16-'Entrada das massas'!I144)+($B$15*$C$16)-($B$16*$C$16))/($B$15-$B$16)),IF(AND('Entrada das massas'!I144&lt;=$B$15,'Entrada das massas'!I144&gt;$B$14),'Entrada das massas'!I144-((($C$15-$C$14)*($B$15-'Entrada das massas'!I144)+($B$14*$C$15)-($B$15*$C$15))/($B$14-$B$15)),IF(AND('Entrada das massas'!I144&lt;=$B$14,'Entrada das massas'!I144&gt;$B$13),'Entrada das massas'!I144-((($C$14-$C$13)*($B$14-'Entrada das massas'!I144)+($B$13*$C$14)-($B$14*$C$14))/($B$13-$B$14)),IF(AND('Entrada das massas'!I144&lt;=$B$13,'Entrada das massas'!I144&gt;$B$12),'Entrada das massas'!I144-((($C$13-$C$12)*($B$13-'Entrada das massas'!I144)+($B$12*$C$13)-($B$13*$C$13))/($B$12-$B$13)),IF(AND('Entrada das massas'!I144&lt;=$B$12,'Entrada das massas'!I144&gt;$B$11),'Entrada das massas'!I144-((($C$12-$C$11)*($B$12-'Entrada das massas'!I144)+($B$11*$C$12)-($B$12*$C$12))/($B$11-$B$12)),IF(AND('Entrada das massas'!I144&lt;=$B$11,'Entrada das massas'!I144&gt;$B$10),'Entrada das massas'!I144-((($C$11-$C$10)*($B$11-'Entrada das massas'!I144)+($B$10*$C$11)-($B$11*$C$11))/($B$10-$B$11)),IF(AND('Entrada das massas'!I144&lt;=$B$10,'Entrada das massas'!I144&gt;$B$9),'Entrada das massas'!I144-((($C$10-$C$9)*($B$10-'Entrada das massas'!I144)+($B$9*$C$10)-($B$10*$C$10))/($B$9-$B$10)),IF(AND('Entrada das massas'!I144&lt;=$B$9,'Entrada das massas'!I144&gt;$B$8),'Entrada das massas'!I144-((($C$9-$C$8)*($B$9-'Entrada das massas'!I144)+($B$8*$C$9)-($B$9*$C$9))/($B$8-$B$9)),IF(AND('Entrada das massas'!I144&lt;=$B$8,'Entrada das massas'!I144&gt;$B$7),'Entrada das massas'!I144-((($C$8-$C$7)*($B$8-'Entrada das massas'!I144)+($B$7*$C$8)-($B$8*$C$8))/($B$7-$B$8)),IF(AND('Entrada das massas'!I144&lt;=$B$7,'Entrada das massas'!I144&gt;$B$6),'Entrada das massas'!I144-((($C$7-$C$6)*($B$7-'Entrada das massas'!I144)+($B$6*$C$7)-($B$7*$C$7))/($B$6-$B$7)),IF(AND('Entrada das massas'!I144&lt;=$B$6,'Entrada das massas'!I144&gt;$B$5),'Entrada das massas'!I144-((($C$6-$C$5)*($B$6-'Entrada das massas'!I144)+($B$5*$C$6)-($B$6*$C$6))/($B$5-$B$6)),IF('Entrada das massas'!I144&lt;=$B$5,'Entrada das massas'!I144-$C$5)))))))))))))))))</f>
        <v/>
      </c>
      <c r="J164" s="117" t="str">
        <f t="shared" si="84"/>
        <v/>
      </c>
      <c r="K164" s="120" t="str">
        <f>IF(I162="","",I164-I162)</f>
        <v/>
      </c>
      <c r="L164" s="117" t="str">
        <f>IF(J162="","",SQRT(SUMSQ(J162,J164)))</f>
        <v/>
      </c>
      <c r="M164" s="93" t="str">
        <f>IF(I161="","","Solução")</f>
        <v/>
      </c>
      <c r="N164" s="93"/>
      <c r="O164" s="123" t="str">
        <f>IF(P161="","","Massa final")</f>
        <v/>
      </c>
      <c r="P164" s="95" t="str">
        <f>IF('Entrada das massas'!N144="","",IF(AND('Entrada das massas'!N144&lt;=$B$20,'Entrada das massas'!N144&gt;$B$19),'Entrada das massas'!N144-((($C$20-$C$19)*($B$20-'Entrada das massas'!N144)+($B$19*$C$20)-($B$20*$C$20))/($B$19-$B$20)),IF(AND('Entrada das massas'!N144&lt;=$B$19,'Entrada das massas'!N144&gt;$B$18),'Entrada das massas'!N144-((($C$19-$C$18)*($B$19-'Entrada das massas'!N144)+($B$18*$C$19)-($B$19*$C$19))/($B$18-$B$19)),IF(AND('Entrada das massas'!N144&lt;=$B$18,'Entrada das massas'!N144&gt;$B$17),'Entrada das massas'!N144-((($C$18-$C$17)*($B$18-'Entrada das massas'!N144)+($B$17*$C$18)-($B$18*$C$18))/($B$17-$B$18)),IF(AND('Entrada das massas'!N144&lt;=$B$17,'Entrada das massas'!N144&gt;$B$16),'Entrada das massas'!N144-((($C$17-$C$16)*($B$17-'Entrada das massas'!N144)+($B$16*$C$17)-($B$17*$C$17))/($B$16-$B$17)),IF(AND('Entrada das massas'!N144&lt;=$B$16,'Entrada das massas'!N144&gt;$B$15),'Entrada das massas'!N144-((($C$16-$C$15)*($B$16-'Entrada das massas'!N144)+($B$15*$C$16)-($B$16*$C$16))/($B$15-$B$16)),IF(AND('Entrada das massas'!N144&lt;=$B$15,'Entrada das massas'!N144&gt;$B$14),'Entrada das massas'!N144-((($C$15-$C$14)*($B$15-'Entrada das massas'!N144)+($B$14*$C$15)-($B$15*$C$15))/($B$14-$B$15)),IF(AND('Entrada das massas'!N144&lt;=$B$14,'Entrada das massas'!N144&gt;$B$13),'Entrada das massas'!N144-((($C$14-$C$13)*($B$14-'Entrada das massas'!N144)+($B$13*$C$14)-($B$14*$C$14))/($B$13-$B$14)),IF(AND('Entrada das massas'!N144&lt;=$B$13,'Entrada das massas'!N144&gt;$B$12),'Entrada das massas'!N144-((($C$13-$C$12)*($B$13-'Entrada das massas'!N144)+($B$12*$C$13)-($B$13*$C$13))/($B$12-$B$13)),IF(AND('Entrada das massas'!N144&lt;=$B$12,'Entrada das massas'!N144&gt;$B$11),'Entrada das massas'!N144-((($C$12-$C$11)*($B$12-'Entrada das massas'!N144)+($B$11*$C$12)-($B$12*$C$12))/($B$11-$B$12)),IF(AND('Entrada das massas'!N144&lt;=$B$11,'Entrada das massas'!N144&gt;$B$10),'Entrada das massas'!N144-((($C$11-$C$10)*($B$11-'Entrada das massas'!N144)+($B$10*$C$11)-($B$11*$C$11))/($B$10-$B$11)),IF(AND('Entrada das massas'!N144&lt;=$B$10,'Entrada das massas'!N144&gt;$B$9),'Entrada das massas'!N144-((($C$10-$C$9)*($B$10-'Entrada das massas'!N144)+($B$9*$C$10)-($B$10*$C$10))/($B$9-$B$10)),IF(AND('Entrada das massas'!N144&lt;=$B$9,'Entrada das massas'!N144&gt;$B$8),'Entrada das massas'!N144-((($C$9-$C$8)*($B$9-'Entrada das massas'!N144)+($B$8*$C$9)-($B$9*$C$9))/($B$8-$B$9)),IF(AND('Entrada das massas'!N144&lt;=$B$8,'Entrada das massas'!N144&gt;$B$7),'Entrada das massas'!N144-((($C$8-$C$7)*($B$8-'Entrada das massas'!N144)+($B$7*$C$8)-($B$8*$C$8))/($B$7-$B$8)),IF(AND('Entrada das massas'!N144&lt;=$B$7,'Entrada das massas'!N144&gt;$B$6),'Entrada das massas'!N144-((($C$7-$C$6)*($B$7-'Entrada das massas'!N144)+($B$6*$C$7)-($B$7*$C$7))/($B$6-$B$7)),IF(AND('Entrada das massas'!N144&lt;=$B$6,'Entrada das massas'!N144&gt;$B$5),'Entrada das massas'!N144-((($C$6-$C$5)*($B$6-'Entrada das massas'!N144)+($B$5*$C$6)-($B$6*$C$6))/($B$5-$B$6)),IF('Entrada das massas'!N144&lt;=$B$5,'Entrada das massas'!N144-$C$5)))))))))))))))))</f>
        <v/>
      </c>
      <c r="Q164" s="117" t="str">
        <f t="shared" si="85"/>
        <v/>
      </c>
      <c r="R164" s="120" t="str">
        <f>IF(P162="","",P164-P162)</f>
        <v/>
      </c>
      <c r="S164" s="117" t="str">
        <f>IF(Q162="","",SQRT(SUMSQ(Q162,Q164)))</f>
        <v/>
      </c>
      <c r="T164" s="93" t="str">
        <f>IF(P161="","","Solução")</f>
        <v/>
      </c>
      <c r="U164" s="93"/>
      <c r="V164" s="123" t="str">
        <f>IF(W161="","","Massa final")</f>
        <v/>
      </c>
      <c r="W164" s="95" t="str">
        <f>IF('Entrada das massas'!S144="","",IF(AND('Entrada das massas'!S144&lt;=$B$20,'Entrada das massas'!S144&gt;$B$19),'Entrada das massas'!S144-((($C$20-$C$19)*($B$20-'Entrada das massas'!S144)+($B$19*$C$20)-($B$20*$C$20))/($B$19-$B$20)),IF(AND('Entrada das massas'!S144&lt;=$B$19,'Entrada das massas'!S144&gt;$B$18),'Entrada das massas'!S144-((($C$19-$C$18)*($B$19-'Entrada das massas'!S144)+($B$18*$C$19)-($B$19*$C$19))/($B$18-$B$19)),IF(AND('Entrada das massas'!S144&lt;=$B$18,'Entrada das massas'!S144&gt;$B$17),'Entrada das massas'!S144-((($C$18-$C$17)*($B$18-'Entrada das massas'!S144)+($B$17*$C$18)-($B$18*$C$18))/($B$17-$B$18)),IF(AND('Entrada das massas'!S144&lt;=$B$17,'Entrada das massas'!S144&gt;$B$16),'Entrada das massas'!S144-((($C$17-$C$16)*($B$17-'Entrada das massas'!S144)+($B$16*$C$17)-($B$17*$C$17))/($B$16-$B$17)),IF(AND('Entrada das massas'!S144&lt;=$B$16,'Entrada das massas'!S144&gt;$B$15),'Entrada das massas'!S144-((($C$16-$C$15)*($B$16-'Entrada das massas'!S144)+($B$15*$C$16)-($B$16*$C$16))/($B$15-$B$16)),IF(AND('Entrada das massas'!S144&lt;=$B$15,'Entrada das massas'!S144&gt;$B$14),'Entrada das massas'!S144-((($C$15-$C$14)*($B$15-'Entrada das massas'!S144)+($B$14*$C$15)-($B$15*$C$15))/($B$14-$B$15)),IF(AND('Entrada das massas'!S144&lt;=$B$14,'Entrada das massas'!S144&gt;$B$13),'Entrada das massas'!S144-((($C$14-$C$13)*($B$14-'Entrada das massas'!S144)+($B$13*$C$14)-($B$14*$C$14))/($B$13-$B$14)),IF(AND('Entrada das massas'!S144&lt;=$B$13,'Entrada das massas'!S144&gt;$B$12),'Entrada das massas'!S144-((($C$13-$C$12)*($B$13-'Entrada das massas'!S144)+($B$12*$C$13)-($B$13*$C$13))/($B$12-$B$13)),IF(AND('Entrada das massas'!S144&lt;=$B$12,'Entrada das massas'!S144&gt;$B$11),'Entrada das massas'!S144-((($C$12-$C$11)*($B$12-'Entrada das massas'!S144)+($B$11*$C$12)-($B$12*$C$12))/($B$11-$B$12)),IF(AND('Entrada das massas'!S144&lt;=$B$11,'Entrada das massas'!S144&gt;$B$10),'Entrada das massas'!S144-((($C$11-$C$10)*($B$11-'Entrada das massas'!S144)+($B$10*$C$11)-($B$11*$C$11))/($B$10-$B$11)),IF(AND('Entrada das massas'!S144&lt;=$B$10,'Entrada das massas'!S144&gt;$B$9),'Entrada das massas'!S144-((($C$10-$C$9)*($B$10-'Entrada das massas'!S144)+($B$9*$C$10)-($B$10*$C$10))/($B$9-$B$10)),IF(AND('Entrada das massas'!S144&lt;=$B$9,'Entrada das massas'!S144&gt;$B$8),'Entrada das massas'!S144-((($C$9-$C$8)*($B$9-'Entrada das massas'!S144)+($B$8*$C$9)-($B$9*$C$9))/($B$8-$B$9)),IF(AND('Entrada das massas'!S144&lt;=$B$8,'Entrada das massas'!S144&gt;$B$7),'Entrada das massas'!S144-((($C$8-$C$7)*($B$8-'Entrada das massas'!S144)+($B$7*$C$8)-($B$8*$C$8))/($B$7-$B$8)),IF(AND('Entrada das massas'!S144&lt;=$B$7,'Entrada das massas'!S144&gt;$B$6),'Entrada das massas'!S144-((($C$7-$C$6)*($B$7-'Entrada das massas'!S144)+($B$6*$C$7)-($B$7*$C$7))/($B$6-$B$7)),IF(AND('Entrada das massas'!S144&lt;=$B$6,'Entrada das massas'!S144&gt;$B$5),'Entrada das massas'!S144-((($C$6-$C$5)*($B$6-'Entrada das massas'!S144)+($B$5*$C$6)-($B$6*$C$6))/($B$5-$B$6)),IF('Entrada das massas'!S144&lt;=$B$5,'Entrada das massas'!S144-$C$5)))))))))))))))))</f>
        <v/>
      </c>
      <c r="X164" s="117" t="str">
        <f t="shared" si="86"/>
        <v/>
      </c>
      <c r="Y164" s="120" t="str">
        <f>IF(W162="","",W164-W162)</f>
        <v/>
      </c>
      <c r="Z164" s="117" t="str">
        <f>IF(X162="","",SQRT(SUMSQ(X162,X164)))</f>
        <v/>
      </c>
      <c r="AA164" s="93" t="str">
        <f>IF(W161="","","Solução")</f>
        <v/>
      </c>
    </row>
    <row r="165" spans="8:27" x14ac:dyDescent="0.2">
      <c r="H165" s="98"/>
      <c r="I165" s="93"/>
      <c r="J165" s="139"/>
      <c r="K165" s="139"/>
      <c r="L165" s="139"/>
      <c r="M165" s="98"/>
      <c r="N165" s="98"/>
      <c r="O165" s="98"/>
      <c r="P165" s="93"/>
      <c r="Q165" s="120"/>
      <c r="R165" s="120"/>
      <c r="S165" s="120"/>
      <c r="T165" s="98"/>
      <c r="U165" s="98"/>
      <c r="V165" s="98"/>
      <c r="W165" s="93"/>
      <c r="X165" s="120"/>
      <c r="Y165" s="120"/>
      <c r="Z165" s="120"/>
      <c r="AA165" s="98"/>
    </row>
    <row r="166" spans="8:27" x14ac:dyDescent="0.2">
      <c r="H166" s="126" t="str">
        <f>IF(I161="","","Amostra")</f>
        <v/>
      </c>
      <c r="I166" s="127" t="str">
        <f>IF('Entrada das massas'!I146="","",'Entrada das massas'!I146)</f>
        <v/>
      </c>
      <c r="J166" s="120" t="str">
        <f>IF(I166="","","uc(g)")</f>
        <v/>
      </c>
      <c r="K166" s="120" t="str">
        <f>IF(J166="","","Massa (g)")</f>
        <v/>
      </c>
      <c r="L166" s="120" t="str">
        <f>IF(K166="","","ucomb (g)")</f>
        <v/>
      </c>
      <c r="M166" s="98" t="str">
        <f>IF(I166="","","Fdiluição")</f>
        <v/>
      </c>
      <c r="N166" s="98"/>
      <c r="O166" s="126" t="str">
        <f>IF(M167="","","Amostra")</f>
        <v/>
      </c>
      <c r="P166" s="127" t="str">
        <f>IF('Entrada das massas'!N146="","",'Entrada das massas'!N146)</f>
        <v/>
      </c>
      <c r="Q166" s="120" t="str">
        <f>IF(P166="","","uc(g)")</f>
        <v/>
      </c>
      <c r="R166" s="120" t="str">
        <f>IF(Q166="","","Massa (g)")</f>
        <v/>
      </c>
      <c r="S166" s="120" t="str">
        <f>IF(R166="","","ucomb (g)")</f>
        <v/>
      </c>
      <c r="T166" s="98" t="str">
        <f>IF(P166="","","Fdiluição")</f>
        <v/>
      </c>
      <c r="U166" s="98"/>
      <c r="V166" s="126" t="str">
        <f>IF(T167="","","Amostra")</f>
        <v/>
      </c>
      <c r="W166" s="127" t="str">
        <f>IF('Entrada das massas'!S146="","",'Entrada das massas'!S146)</f>
        <v/>
      </c>
      <c r="X166" s="120" t="str">
        <f>IF(W166="","","uc(g)")</f>
        <v/>
      </c>
      <c r="Y166" s="120" t="str">
        <f>IF(X166="","","Massa (g)")</f>
        <v/>
      </c>
      <c r="Z166" s="120" t="str">
        <f>IF(Y166="","","ucomb (g)")</f>
        <v/>
      </c>
      <c r="AA166" s="98" t="str">
        <f>IF(W166="","","Fdiluição")</f>
        <v/>
      </c>
    </row>
    <row r="167" spans="8:27" x14ac:dyDescent="0.2">
      <c r="H167" s="115" t="str">
        <f>IF(I166="","","Frasco")</f>
        <v/>
      </c>
      <c r="I167" s="116" t="str">
        <f>IF('Entrada das massas'!I147="","",IF(AND('Entrada das massas'!I147&lt;=$B$20,'Entrada das massas'!I147&gt;$B$19),'Entrada das massas'!I147-((($C$20-$C$19)*($B$20-'Entrada das massas'!I147)+($B$19*$C$20)-($B$20*$C$20))/($B$19-$B$20)),IF(AND('Entrada das massas'!I147&lt;=$B$19,'Entrada das massas'!I147&gt;$B$18),'Entrada das massas'!I147-((($C$19-$C$18)*($B$19-'Entrada das massas'!I147)+($B$18*$C$19)-($B$19*$C$19))/($B$18-$B$19)),IF(AND('Entrada das massas'!I147&lt;=$B$18,'Entrada das massas'!I147&gt;$B$17),'Entrada das massas'!I147-((($C$18-$C$17)*($B$18-'Entrada das massas'!I147)+($B$17*$C$18)-($B$18*$C$18))/($B$17-$B$18)),IF(AND('Entrada das massas'!I147&lt;=$B$17,'Entrada das massas'!I147&gt;$B$16),'Entrada das massas'!I147-((($C$17-$C$16)*($B$17-'Entrada das massas'!I147)+($B$16*$C$17)-($B$17*$C$17))/($B$16-$B$17)),IF(AND('Entrada das massas'!I147&lt;=$B$16,'Entrada das massas'!I147&gt;$B$15),'Entrada das massas'!I147-((($C$16-$C$15)*($B$16-'Entrada das massas'!I147)+($B$15*$C$16)-($B$16*$C$16))/($B$15-$B$16)),IF(AND('Entrada das massas'!I147&lt;=$B$15,'Entrada das massas'!I147&gt;$B$14),'Entrada das massas'!I147-((($C$15-$C$14)*($B$15-'Entrada das massas'!I147)+($B$14*$C$15)-($B$15*$C$15))/($B$14-$B$15)),IF(AND('Entrada das massas'!I147&lt;=$B$14,'Entrada das massas'!I147&gt;$B$13),'Entrada das massas'!I147-((($C$14-$C$13)*($B$14-'Entrada das massas'!I147)+($B$13*$C$14)-($B$14*$C$14))/($B$13-$B$14)),IF(AND('Entrada das massas'!I147&lt;=$B$13,'Entrada das massas'!I147&gt;$B$12),'Entrada das massas'!I147-((($C$13-$C$12)*($B$13-'Entrada das massas'!I147)+($B$12*$C$13)-($B$13*$C$13))/($B$12-$B$13)),IF(AND('Entrada das massas'!I147&lt;=$B$12,'Entrada das massas'!I147&gt;$B$11),'Entrada das massas'!I147-((($C$12-$C$11)*($B$12-'Entrada das massas'!I147)+($B$11*$C$12)-($B$12*$C$12))/($B$11-$B$12)),IF(AND('Entrada das massas'!I147&lt;=$B$11,'Entrada das massas'!I147&gt;$B$10),'Entrada das massas'!I147-((($C$11-$C$10)*($B$11-'Entrada das massas'!I147)+($B$10*$C$11)-($B$11*$C$11))/($B$10-$B$11)),IF(AND('Entrada das massas'!I147&lt;=$B$10,'Entrada das massas'!I147&gt;$B$9),'Entrada das massas'!I147-((($C$10-$C$9)*($B$10-'Entrada das massas'!I147)+($B$9*$C$10)-($B$10*$C$10))/($B$9-$B$10)),IF(AND('Entrada das massas'!I147&lt;=$B$9,'Entrada das massas'!I147&gt;$B$8),'Entrada das massas'!I147-((($C$9-$C$8)*($B$9-'Entrada das massas'!I147)+($B$8*$C$9)-($B$9*$C$9))/($B$8-$B$9)),IF(AND('Entrada das massas'!I147&lt;=$B$8,'Entrada das massas'!I147&gt;$B$7),'Entrada das massas'!I147-((($C$8-$C$7)*($B$8-'Entrada das massas'!I147)+($B$7*$C$8)-($B$8*$C$8))/($B$7-$B$8)),IF(AND('Entrada das massas'!I147&lt;=$B$7,'Entrada das massas'!I147&gt;$B$6),'Entrada das massas'!I147-((($C$7-$C$6)*($B$7-'Entrada das massas'!I147)+($B$6*$C$7)-($B$7*$C$7))/($B$6-$B$7)),IF(AND('Entrada das massas'!I147&lt;=$B$6,'Entrada das massas'!I147&gt;$B$5),'Entrada das massas'!I147-((($C$6-$C$5)*($B$6-'Entrada das massas'!I147)+($B$5*$C$6)-($B$6*$C$6))/($B$5-$B$6)),IF('Entrada das massas'!I147&lt;=$B$5,'Entrada das massas'!I147-$C$5)))))))))))))))))</f>
        <v/>
      </c>
      <c r="J167" s="117" t="str">
        <f>IF(I167="","",(IF(AND(I167&lt;=$B$20,I167&gt;$B$19),$D$19+($B$19-I167)/($B$19-$B$20)*($D$20-$D$19),IF(AND(I167&lt;=$B$19,I167&gt;$B$18),$D$18+($B$18-I167)/($B$18-$B$19)*($D$19-$D$18),IF(AND(I167&lt;=$B$18,I167&gt;$B$17),$D$17+($B$17-I167)/($B$17-$B$18)*($D$18-$D$17),IF(AND(I167&lt;=$B$17,I167&gt;$B$16),$D$16+($B$16-I167)/($B$16-$B$17)*($D$17-$D$16),IF(AND(I167&lt;=$B$16,I167&gt;$B$15),$D$15+($B$15-I167)/($B$15-$B$16)*($D$16-$D$15),IF(AND(I167&lt;=$B$15,I167&gt;$B$14),$D$14+($B$14-I167)/($B$14-$B$15)*($D$15-$D$14),IF(AND(I167&lt;=$B$14,I167&gt;$B$13),$D$13+($B$13-I167)/($B$13-$B$14)*($D$14-$D$13),IF(AND(I167&lt;=$B$13,I167&gt;$B$12),$D$12+($B$12-I167)/($B$12-$B$13)*($D$13-$D$12),IF(AND(I167&lt;=$B$12,I167&gt;$B$11),$D$11+($B$11-I167)/($B$11-$B$12)*($D$12-$D$11),IF(AND(I167&lt;=$B$11,I167&gt;$B$10),$D$10+($B$10-I167)/($B$10-$B$11)*($D$11-$D$10),IF(AND(I167&lt;=$B$10,I167&gt;$B$9),$D$9+($B$9-I167)/($B$9-$B$10)*($D$10-$D$9),IF(AND(I167&lt;=$B$9,I167&gt;$B$8),$D$8+($B$8-I167)/($B$8-$B$9)*($D$9-$D$8),IF(AND(I167&lt;=$B$8,I167&gt;$B$7),$D$7+($B$7-I167)/($B$7-$B$8)*($D$8-$D$7),IF(AND(I167&lt;=$B$7,I167&gt;$B$6),$D$6+($B$6-I167)/($B$6-$B$7)*($D$7-$D$6),IF(I167&lt;=$B$6,$D$6)))))))))))))))))</f>
        <v/>
      </c>
      <c r="K167" s="117"/>
      <c r="L167" s="117"/>
      <c r="M167" s="118" t="str">
        <f>IFERROR(K169/K168,"")</f>
        <v/>
      </c>
      <c r="N167" s="93"/>
      <c r="O167" s="115" t="str">
        <f>IF(P166="","","Frasco")</f>
        <v/>
      </c>
      <c r="P167" s="95" t="str">
        <f>IF('Entrada das massas'!N147="","",IF(AND('Entrada das massas'!N147&lt;=$B$20,'Entrada das massas'!N147&gt;$B$19),'Entrada das massas'!N147-((($C$20-$C$19)*($B$20-'Entrada das massas'!N147)+($B$19*$C$20)-($B$20*$C$20))/($B$19-$B$20)),IF(AND('Entrada das massas'!N147&lt;=$B$19,'Entrada das massas'!N147&gt;$B$18),'Entrada das massas'!N147-((($C$19-$C$18)*($B$19-'Entrada das massas'!N147)+($B$18*$C$19)-($B$19*$C$19))/($B$18-$B$19)),IF(AND('Entrada das massas'!N147&lt;=$B$18,'Entrada das massas'!N147&gt;$B$17),'Entrada das massas'!N147-((($C$18-$C$17)*($B$18-'Entrada das massas'!N147)+($B$17*$C$18)-($B$18*$C$18))/($B$17-$B$18)),IF(AND('Entrada das massas'!N147&lt;=$B$17,'Entrada das massas'!N147&gt;$B$16),'Entrada das massas'!N147-((($C$17-$C$16)*($B$17-'Entrada das massas'!N147)+($B$16*$C$17)-($B$17*$C$17))/($B$16-$B$17)),IF(AND('Entrada das massas'!N147&lt;=$B$16,'Entrada das massas'!N147&gt;$B$15),'Entrada das massas'!N147-((($C$16-$C$15)*($B$16-'Entrada das massas'!N147)+($B$15*$C$16)-($B$16*$C$16))/($B$15-$B$16)),IF(AND('Entrada das massas'!N147&lt;=$B$15,'Entrada das massas'!N147&gt;$B$14),'Entrada das massas'!N147-((($C$15-$C$14)*($B$15-'Entrada das massas'!N147)+($B$14*$C$15)-($B$15*$C$15))/($B$14-$B$15)),IF(AND('Entrada das massas'!N147&lt;=$B$14,'Entrada das massas'!N147&gt;$B$13),'Entrada das massas'!N147-((($C$14-$C$13)*($B$14-'Entrada das massas'!N147)+($B$13*$C$14)-($B$14*$C$14))/($B$13-$B$14)),IF(AND('Entrada das massas'!N147&lt;=$B$13,'Entrada das massas'!N147&gt;$B$12),'Entrada das massas'!N147-((($C$13-$C$12)*($B$13-'Entrada das massas'!N147)+($B$12*$C$13)-($B$13*$C$13))/($B$12-$B$13)),IF(AND('Entrada das massas'!N147&lt;=$B$12,'Entrada das massas'!N147&gt;$B$11),'Entrada das massas'!N147-((($C$12-$C$11)*($B$12-'Entrada das massas'!N147)+($B$11*$C$12)-($B$12*$C$12))/($B$11-$B$12)),IF(AND('Entrada das massas'!N147&lt;=$B$11,'Entrada das massas'!N147&gt;$B$10),'Entrada das massas'!N147-((($C$11-$C$10)*($B$11-'Entrada das massas'!N147)+($B$10*$C$11)-($B$11*$C$11))/($B$10-$B$11)),IF(AND('Entrada das massas'!N147&lt;=$B$10,'Entrada das massas'!N147&gt;$B$9),'Entrada das massas'!N147-((($C$10-$C$9)*($B$10-'Entrada das massas'!N147)+($B$9*$C$10)-($B$10*$C$10))/($B$9-$B$10)),IF(AND('Entrada das massas'!N147&lt;=$B$9,'Entrada das massas'!N147&gt;$B$8),'Entrada das massas'!N147-((($C$9-$C$8)*($B$9-'Entrada das massas'!N147)+($B$8*$C$9)-($B$9*$C$9))/($B$8-$B$9)),IF(AND('Entrada das massas'!N147&lt;=$B$8,'Entrada das massas'!N147&gt;$B$7),'Entrada das massas'!N147-((($C$8-$C$7)*($B$8-'Entrada das massas'!N147)+($B$7*$C$8)-($B$8*$C$8))/($B$7-$B$8)),IF(AND('Entrada das massas'!N147&lt;=$B$7,'Entrada das massas'!N147&gt;$B$6),'Entrada das massas'!N147-((($C$7-$C$6)*($B$7-'Entrada das massas'!N147)+($B$6*$C$7)-($B$7*$C$7))/($B$6-$B$7)),IF(AND('Entrada das massas'!N147&lt;=$B$6,'Entrada das massas'!N147&gt;$B$5),'Entrada das massas'!N147-((($C$6-$C$5)*($B$6-'Entrada das massas'!N147)+($B$5*$C$6)-($B$6*$C$6))/($B$5-$B$6)),IF('Entrada das massas'!N147&lt;=$B$5,'Entrada das massas'!N147-$C$5)))))))))))))))))</f>
        <v/>
      </c>
      <c r="Q167" s="117" t="str">
        <f>IF(P167="","",(IF(AND(P167&lt;=$B$20,P167&gt;$B$19),$D$19+($B$19-P167)/($B$19-$B$20)*($D$20-$D$19),IF(AND(P167&lt;=$B$19,P167&gt;$B$18),$D$18+($B$18-P167)/($B$18-$B$19)*($D$19-$D$18),IF(AND(P167&lt;=$B$18,P167&gt;$B$17),$D$17+($B$17-P167)/($B$17-$B$18)*($D$18-$D$17),IF(AND(P167&lt;=$B$17,P167&gt;$B$16),$D$16+($B$16-P167)/($B$16-$B$17)*($D$17-$D$16),IF(AND(P167&lt;=$B$16,P167&gt;$B$15),$D$15+($B$15-P167)/($B$15-$B$16)*($D$16-$D$15),IF(AND(P167&lt;=$B$15,P167&gt;$B$14),$D$14+($B$14-P167)/($B$14-$B$15)*($D$15-$D$14),IF(AND(P167&lt;=$B$14,P167&gt;$B$13),$D$13+($B$13-P167)/($B$13-$B$14)*($D$14-$D$13),IF(AND(P167&lt;=$B$13,P167&gt;$B$12),$D$12+($B$12-P167)/($B$12-$B$13)*($D$13-$D$12),IF(AND(P167&lt;=$B$12,P167&gt;$B$11),$D$11+($B$11-P167)/($B$11-$B$12)*($D$12-$D$11),IF(AND(P167&lt;=$B$11,P167&gt;$B$10),$D$10+($B$10-P167)/($B$10-$B$11)*($D$11-$D$10),IF(AND(P167&lt;=$B$10,P167&gt;$B$9),$D$9+($B$9-P167)/($B$9-$B$10)*($D$10-$D$9),IF(AND(P167&lt;=$B$9,P167&gt;$B$8),$D$8+($B$8-P167)/($B$8-$B$9)*($D$9-$D$8),IF(AND(P167&lt;=$B$8,P167&gt;$B$7),$D$7+($B$7-P167)/($B$7-$B$8)*($D$8-$D$7),IF(AND(P167&lt;=$B$7,P167&gt;$B$6),$D$6+($B$6-P167)/($B$6-$B$7)*($D$7-$D$6),IF(P167&lt;=$B$6,$D$6)))))))))))))))))</f>
        <v/>
      </c>
      <c r="R167" s="117"/>
      <c r="S167" s="117"/>
      <c r="T167" s="118" t="str">
        <f>IFERROR(R169/R168,"")</f>
        <v/>
      </c>
      <c r="U167" s="93"/>
      <c r="V167" s="115" t="str">
        <f>IF(W166="","","Frasco")</f>
        <v/>
      </c>
      <c r="W167" s="95" t="str">
        <f>IF('Entrada das massas'!S147="","",IF(AND('Entrada das massas'!S147&lt;=$B$20,'Entrada das massas'!S147&gt;$B$19),'Entrada das massas'!S147-((($C$20-$C$19)*($B$20-'Entrada das massas'!S147)+($B$19*$C$20)-($B$20*$C$20))/($B$19-$B$20)),IF(AND('Entrada das massas'!S147&lt;=$B$19,'Entrada das massas'!S147&gt;$B$18),'Entrada das massas'!S147-((($C$19-$C$18)*($B$19-'Entrada das massas'!S147)+($B$18*$C$19)-($B$19*$C$19))/($B$18-$B$19)),IF(AND('Entrada das massas'!S147&lt;=$B$18,'Entrada das massas'!S147&gt;$B$17),'Entrada das massas'!S147-((($C$18-$C$17)*($B$18-'Entrada das massas'!S147)+($B$17*$C$18)-($B$18*$C$18))/($B$17-$B$18)),IF(AND('Entrada das massas'!S147&lt;=$B$17,'Entrada das massas'!S147&gt;$B$16),'Entrada das massas'!S147-((($C$17-$C$16)*($B$17-'Entrada das massas'!S147)+($B$16*$C$17)-($B$17*$C$17))/($B$16-$B$17)),IF(AND('Entrada das massas'!S147&lt;=$B$16,'Entrada das massas'!S147&gt;$B$15),'Entrada das massas'!S147-((($C$16-$C$15)*($B$16-'Entrada das massas'!S147)+($B$15*$C$16)-($B$16*$C$16))/($B$15-$B$16)),IF(AND('Entrada das massas'!S147&lt;=$B$15,'Entrada das massas'!S147&gt;$B$14),'Entrada das massas'!S147-((($C$15-$C$14)*($B$15-'Entrada das massas'!S147)+($B$14*$C$15)-($B$15*$C$15))/($B$14-$B$15)),IF(AND('Entrada das massas'!S147&lt;=$B$14,'Entrada das massas'!S147&gt;$B$13),'Entrada das massas'!S147-((($C$14-$C$13)*($B$14-'Entrada das massas'!S147)+($B$13*$C$14)-($B$14*$C$14))/($B$13-$B$14)),IF(AND('Entrada das massas'!S147&lt;=$B$13,'Entrada das massas'!S147&gt;$B$12),'Entrada das massas'!S147-((($C$13-$C$12)*($B$13-'Entrada das massas'!S147)+($B$12*$C$13)-($B$13*$C$13))/($B$12-$B$13)),IF(AND('Entrada das massas'!S147&lt;=$B$12,'Entrada das massas'!S147&gt;$B$11),'Entrada das massas'!S147-((($C$12-$C$11)*($B$12-'Entrada das massas'!S147)+($B$11*$C$12)-($B$12*$C$12))/($B$11-$B$12)),IF(AND('Entrada das massas'!S147&lt;=$B$11,'Entrada das massas'!S147&gt;$B$10),'Entrada das massas'!S147-((($C$11-$C$10)*($B$11-'Entrada das massas'!S147)+($B$10*$C$11)-($B$11*$C$11))/($B$10-$B$11)),IF(AND('Entrada das massas'!S147&lt;=$B$10,'Entrada das massas'!S147&gt;$B$9),'Entrada das massas'!S147-((($C$10-$C$9)*($B$10-'Entrada das massas'!S147)+($B$9*$C$10)-($B$10*$C$10))/($B$9-$B$10)),IF(AND('Entrada das massas'!S147&lt;=$B$9,'Entrada das massas'!S147&gt;$B$8),'Entrada das massas'!S147-((($C$9-$C$8)*($B$9-'Entrada das massas'!S147)+($B$8*$C$9)-($B$9*$C$9))/($B$8-$B$9)),IF(AND('Entrada das massas'!S147&lt;=$B$8,'Entrada das massas'!S147&gt;$B$7),'Entrada das massas'!S147-((($C$8-$C$7)*($B$8-'Entrada das massas'!S147)+($B$7*$C$8)-($B$8*$C$8))/($B$7-$B$8)),IF(AND('Entrada das massas'!S147&lt;=$B$7,'Entrada das massas'!S147&gt;$B$6),'Entrada das massas'!S147-((($C$7-$C$6)*($B$7-'Entrada das massas'!S147)+($B$6*$C$7)-($B$7*$C$7))/($B$6-$B$7)),IF(AND('Entrada das massas'!S147&lt;=$B$6,'Entrada das massas'!S147&gt;$B$5),'Entrada das massas'!S147-((($C$6-$C$5)*($B$6-'Entrada das massas'!S147)+($B$5*$C$6)-($B$6*$C$6))/($B$5-$B$6)),IF('Entrada das massas'!S147&lt;=$B$5,'Entrada das massas'!S147-$C$5)))))))))))))))))</f>
        <v/>
      </c>
      <c r="X167" s="117" t="str">
        <f>IF(W167="","",(IF(AND(W167&lt;=$B$20,W167&gt;$B$19),$D$19+($B$19-W167)/($B$19-$B$20)*($D$20-$D$19),IF(AND(W167&lt;=$B$19,W167&gt;$B$18),$D$18+($B$18-W167)/($B$18-$B$19)*($D$19-$D$18),IF(AND(W167&lt;=$B$18,W167&gt;$B$17),$D$17+($B$17-W167)/($B$17-$B$18)*($D$18-$D$17),IF(AND(W167&lt;=$B$17,W167&gt;$B$16),$D$16+($B$16-W167)/($B$16-$B$17)*($D$17-$D$16),IF(AND(W167&lt;=$B$16,W167&gt;$B$15),$D$15+($B$15-W167)/($B$15-$B$16)*($D$16-$D$15),IF(AND(W167&lt;=$B$15,W167&gt;$B$14),$D$14+($B$14-W167)/($B$14-$B$15)*($D$15-$D$14),IF(AND(W167&lt;=$B$14,W167&gt;$B$13),$D$13+($B$13-W167)/($B$13-$B$14)*($D$14-$D$13),IF(AND(W167&lt;=$B$13,W167&gt;$B$12),$D$12+($B$12-W167)/($B$12-$B$13)*($D$13-$D$12),IF(AND(W167&lt;=$B$12,W167&gt;$B$11),$D$11+($B$11-W167)/($B$11-$B$12)*($D$12-$D$11),IF(AND(W167&lt;=$B$11,W167&gt;$B$10),$D$10+($B$10-W167)/($B$10-$B$11)*($D$11-$D$10),IF(AND(W167&lt;=$B$10,W167&gt;$B$9),$D$9+($B$9-W167)/($B$9-$B$10)*($D$10-$D$9),IF(AND(W167&lt;=$B$9,W167&gt;$B$8),$D$8+($B$8-W167)/($B$8-$B$9)*($D$9-$D$8),IF(AND(W167&lt;=$B$8,W167&gt;$B$7),$D$7+($B$7-W167)/($B$7-$B$8)*($D$8-$D$7),IF(AND(W167&lt;=$B$7,W167&gt;$B$6),$D$6+($B$6-W167)/($B$6-$B$7)*($D$7-$D$6),IF(W167&lt;=$B$6,$D$6)))))))))))))))))</f>
        <v/>
      </c>
      <c r="Y167" s="117"/>
      <c r="Z167" s="117"/>
      <c r="AA167" s="118" t="str">
        <f>IFERROR(Y169/Y168,"")</f>
        <v/>
      </c>
    </row>
    <row r="168" spans="8:27" x14ac:dyDescent="0.2">
      <c r="H168" s="115" t="str">
        <f>IF(I166="","","Frasco + Amostra")</f>
        <v/>
      </c>
      <c r="I168" s="116" t="str">
        <f>IF('Entrada das massas'!I148="","",IF(AND('Entrada das massas'!I148&lt;=$B$20,'Entrada das massas'!I148&gt;$B$19),'Entrada das massas'!I148-((($C$20-$C$19)*($B$20-'Entrada das massas'!I148)+($B$19*$C$20)-($B$20*$C$20))/($B$19-$B$20)),IF(AND('Entrada das massas'!I148&lt;=$B$19,'Entrada das massas'!I148&gt;$B$18),'Entrada das massas'!I148-((($C$19-$C$18)*($B$19-'Entrada das massas'!I148)+($B$18*$C$19)-($B$19*$C$19))/($B$18-$B$19)),IF(AND('Entrada das massas'!I148&lt;=$B$18,'Entrada das massas'!I148&gt;$B$17),'Entrada das massas'!I148-((($C$18-$C$17)*($B$18-'Entrada das massas'!I148)+($B$17*$C$18)-($B$18*$C$18))/($B$17-$B$18)),IF(AND('Entrada das massas'!I148&lt;=$B$17,'Entrada das massas'!I148&gt;$B$16),'Entrada das massas'!I148-((($C$17-$C$16)*($B$17-'Entrada das massas'!I148)+($B$16*$C$17)-($B$17*$C$17))/($B$16-$B$17)),IF(AND('Entrada das massas'!I148&lt;=$B$16,'Entrada das massas'!I148&gt;$B$15),'Entrada das massas'!I148-((($C$16-$C$15)*($B$16-'Entrada das massas'!I148)+($B$15*$C$16)-($B$16*$C$16))/($B$15-$B$16)),IF(AND('Entrada das massas'!I148&lt;=$B$15,'Entrada das massas'!I148&gt;$B$14),'Entrada das massas'!I148-((($C$15-$C$14)*($B$15-'Entrada das massas'!I148)+($B$14*$C$15)-($B$15*$C$15))/($B$14-$B$15)),IF(AND('Entrada das massas'!I148&lt;=$B$14,'Entrada das massas'!I148&gt;$B$13),'Entrada das massas'!I148-((($C$14-$C$13)*($B$14-'Entrada das massas'!I148)+($B$13*$C$14)-($B$14*$C$14))/($B$13-$B$14)),IF(AND('Entrada das massas'!I148&lt;=$B$13,'Entrada das massas'!I148&gt;$B$12),'Entrada das massas'!I148-((($C$13-$C$12)*($B$13-'Entrada das massas'!I148)+($B$12*$C$13)-($B$13*$C$13))/($B$12-$B$13)),IF(AND('Entrada das massas'!I148&lt;=$B$12,'Entrada das massas'!I148&gt;$B$11),'Entrada das massas'!I148-((($C$12-$C$11)*($B$12-'Entrada das massas'!I148)+($B$11*$C$12)-($B$12*$C$12))/($B$11-$B$12)),IF(AND('Entrada das massas'!I148&lt;=$B$11,'Entrada das massas'!I148&gt;$B$10),'Entrada das massas'!I148-((($C$11-$C$10)*($B$11-'Entrada das massas'!I148)+($B$10*$C$11)-($B$11*$C$11))/($B$10-$B$11)),IF(AND('Entrada das massas'!I148&lt;=$B$10,'Entrada das massas'!I148&gt;$B$9),'Entrada das massas'!I148-((($C$10-$C$9)*($B$10-'Entrada das massas'!I148)+($B$9*$C$10)-($B$10*$C$10))/($B$9-$B$10)),IF(AND('Entrada das massas'!I148&lt;=$B$9,'Entrada das massas'!I148&gt;$B$8),'Entrada das massas'!I148-((($C$9-$C$8)*($B$9-'Entrada das massas'!I148)+($B$8*$C$9)-($B$9*$C$9))/($B$8-$B$9)),IF(AND('Entrada das massas'!I148&lt;=$B$8,'Entrada das massas'!I148&gt;$B$7),'Entrada das massas'!I148-((($C$8-$C$7)*($B$8-'Entrada das massas'!I148)+($B$7*$C$8)-($B$8*$C$8))/($B$7-$B$8)),IF(AND('Entrada das massas'!I148&lt;=$B$7,'Entrada das massas'!I148&gt;$B$6),'Entrada das massas'!I148-((($C$7-$C$6)*($B$7-'Entrada das massas'!I148)+($B$6*$C$7)-($B$7*$C$7))/($B$6-$B$7)),IF(AND('Entrada das massas'!I148&lt;=$B$6,'Entrada das massas'!I148&gt;$B$5),'Entrada das massas'!I148-((($C$6-$C$5)*($B$6-'Entrada das massas'!I148)+($B$5*$C$6)-($B$6*$C$6))/($B$5-$B$6)),IF('Entrada das massas'!I148&lt;=$B$5,'Entrada das massas'!I148-$C$5)))))))))))))))))</f>
        <v/>
      </c>
      <c r="J168" s="117" t="str">
        <f t="shared" ref="J168:J169" si="87">IF(I168="","",(IF(AND(I168&lt;=$B$20,I168&gt;$B$19),$D$19+($B$19-I168)/($B$19-$B$20)*($D$20-$D$19),IF(AND(I168&lt;=$B$19,I168&gt;$B$18),$D$18+($B$18-I168)/($B$18-$B$19)*($D$19-$D$18),IF(AND(I168&lt;=$B$18,I168&gt;$B$17),$D$17+($B$17-I168)/($B$17-$B$18)*($D$18-$D$17),IF(AND(I168&lt;=$B$17,I168&gt;$B$16),$D$16+($B$16-I168)/($B$16-$B$17)*($D$17-$D$16),IF(AND(I168&lt;=$B$16,I168&gt;$B$15),$D$15+($B$15-I168)/($B$15-$B$16)*($D$16-$D$15),IF(AND(I168&lt;=$B$15,I168&gt;$B$14),$D$14+($B$14-I168)/($B$14-$B$15)*($D$15-$D$14),IF(AND(I168&lt;=$B$14,I168&gt;$B$13),$D$13+($B$13-I168)/($B$13-$B$14)*($D$14-$D$13),IF(AND(I168&lt;=$B$13,I168&gt;$B$12),$D$12+($B$12-I168)/($B$12-$B$13)*($D$13-$D$12),IF(AND(I168&lt;=$B$12,I168&gt;$B$11),$D$11+($B$11-I168)/($B$11-$B$12)*($D$12-$D$11),IF(AND(I168&lt;=$B$11,I168&gt;$B$10),$D$10+($B$10-I168)/($B$10-$B$11)*($D$11-$D$10),IF(AND(I168&lt;=$B$10,I168&gt;$B$9),$D$9+($B$9-I168)/($B$9-$B$10)*($D$10-$D$9),IF(AND(I168&lt;=$B$9,I168&gt;$B$8),$D$8+($B$8-I168)/($B$8-$B$9)*($D$9-$D$8),IF(AND(I168&lt;=$B$8,I168&gt;$B$7),$D$7+($B$7-I168)/($B$7-$B$8)*($D$8-$D$7),IF(AND(I168&lt;=$B$7,I168&gt;$B$6),$D$6+($B$6-I168)/($B$6-$B$7)*($D$7-$D$6),IF(I168&lt;=$B$6,$D$6)))))))))))))))))</f>
        <v/>
      </c>
      <c r="K168" s="120" t="str">
        <f>IF(I167="","",I168-I167)</f>
        <v/>
      </c>
      <c r="L168" s="117" t="str">
        <f>IF(J167="","",SQRT(SUMSQ(J167:J168)))</f>
        <v/>
      </c>
      <c r="M168" s="93" t="str">
        <f>IF(I166="","","Amostra")</f>
        <v/>
      </c>
      <c r="N168" s="118"/>
      <c r="O168" s="115" t="str">
        <f>IF(P166="","","Frasco + Amostra")</f>
        <v/>
      </c>
      <c r="P168" s="95" t="str">
        <f>IF('Entrada das massas'!N148="","",IF(AND('Entrada das massas'!N148&lt;=$B$20,'Entrada das massas'!N148&gt;$B$19),'Entrada das massas'!N148-((($C$20-$C$19)*($B$20-'Entrada das massas'!N148)+($B$19*$C$20)-($B$20*$C$20))/($B$19-$B$20)),IF(AND('Entrada das massas'!N148&lt;=$B$19,'Entrada das massas'!N148&gt;$B$18),'Entrada das massas'!N148-((($C$19-$C$18)*($B$19-'Entrada das massas'!N148)+($B$18*$C$19)-($B$19*$C$19))/($B$18-$B$19)),IF(AND('Entrada das massas'!N148&lt;=$B$18,'Entrada das massas'!N148&gt;$B$17),'Entrada das massas'!N148-((($C$18-$C$17)*($B$18-'Entrada das massas'!N148)+($B$17*$C$18)-($B$18*$C$18))/($B$17-$B$18)),IF(AND('Entrada das massas'!N148&lt;=$B$17,'Entrada das massas'!N148&gt;$B$16),'Entrada das massas'!N148-((($C$17-$C$16)*($B$17-'Entrada das massas'!N148)+($B$16*$C$17)-($B$17*$C$17))/($B$16-$B$17)),IF(AND('Entrada das massas'!N148&lt;=$B$16,'Entrada das massas'!N148&gt;$B$15),'Entrada das massas'!N148-((($C$16-$C$15)*($B$16-'Entrada das massas'!N148)+($B$15*$C$16)-($B$16*$C$16))/($B$15-$B$16)),IF(AND('Entrada das massas'!N148&lt;=$B$15,'Entrada das massas'!N148&gt;$B$14),'Entrada das massas'!N148-((($C$15-$C$14)*($B$15-'Entrada das massas'!N148)+($B$14*$C$15)-($B$15*$C$15))/($B$14-$B$15)),IF(AND('Entrada das massas'!N148&lt;=$B$14,'Entrada das massas'!N148&gt;$B$13),'Entrada das massas'!N148-((($C$14-$C$13)*($B$14-'Entrada das massas'!N148)+($B$13*$C$14)-($B$14*$C$14))/($B$13-$B$14)),IF(AND('Entrada das massas'!N148&lt;=$B$13,'Entrada das massas'!N148&gt;$B$12),'Entrada das massas'!N148-((($C$13-$C$12)*($B$13-'Entrada das massas'!N148)+($B$12*$C$13)-($B$13*$C$13))/($B$12-$B$13)),IF(AND('Entrada das massas'!N148&lt;=$B$12,'Entrada das massas'!N148&gt;$B$11),'Entrada das massas'!N148-((($C$12-$C$11)*($B$12-'Entrada das massas'!N148)+($B$11*$C$12)-($B$12*$C$12))/($B$11-$B$12)),IF(AND('Entrada das massas'!N148&lt;=$B$11,'Entrada das massas'!N148&gt;$B$10),'Entrada das massas'!N148-((($C$11-$C$10)*($B$11-'Entrada das massas'!N148)+($B$10*$C$11)-($B$11*$C$11))/($B$10-$B$11)),IF(AND('Entrada das massas'!N148&lt;=$B$10,'Entrada das massas'!N148&gt;$B$9),'Entrada das massas'!N148-((($C$10-$C$9)*($B$10-'Entrada das massas'!N148)+($B$9*$C$10)-($B$10*$C$10))/($B$9-$B$10)),IF(AND('Entrada das massas'!N148&lt;=$B$9,'Entrada das massas'!N148&gt;$B$8),'Entrada das massas'!N148-((($C$9-$C$8)*($B$9-'Entrada das massas'!N148)+($B$8*$C$9)-($B$9*$C$9))/($B$8-$B$9)),IF(AND('Entrada das massas'!N148&lt;=$B$8,'Entrada das massas'!N148&gt;$B$7),'Entrada das massas'!N148-((($C$8-$C$7)*($B$8-'Entrada das massas'!N148)+($B$7*$C$8)-($B$8*$C$8))/($B$7-$B$8)),IF(AND('Entrada das massas'!N148&lt;=$B$7,'Entrada das massas'!N148&gt;$B$6),'Entrada das massas'!N148-((($C$7-$C$6)*($B$7-'Entrada das massas'!N148)+($B$6*$C$7)-($B$7*$C$7))/($B$6-$B$7)),IF(AND('Entrada das massas'!N148&lt;=$B$6,'Entrada das massas'!N148&gt;$B$5),'Entrada das massas'!N148-((($C$6-$C$5)*($B$6-'Entrada das massas'!N148)+($B$5*$C$6)-($B$6*$C$6))/($B$5-$B$6)),IF('Entrada das massas'!N148&lt;=$B$5,'Entrada das massas'!N148-$C$5)))))))))))))))))</f>
        <v/>
      </c>
      <c r="Q168" s="117" t="str">
        <f t="shared" ref="Q168:Q169" si="88">IF(P168="","",(IF(AND(P168&lt;=$B$20,P168&gt;$B$19),$D$19+($B$19-P168)/($B$19-$B$20)*($D$20-$D$19),IF(AND(P168&lt;=$B$19,P168&gt;$B$18),$D$18+($B$18-P168)/($B$18-$B$19)*($D$19-$D$18),IF(AND(P168&lt;=$B$18,P168&gt;$B$17),$D$17+($B$17-P168)/($B$17-$B$18)*($D$18-$D$17),IF(AND(P168&lt;=$B$17,P168&gt;$B$16),$D$16+($B$16-P168)/($B$16-$B$17)*($D$17-$D$16),IF(AND(P168&lt;=$B$16,P168&gt;$B$15),$D$15+($B$15-P168)/($B$15-$B$16)*($D$16-$D$15),IF(AND(P168&lt;=$B$15,P168&gt;$B$14),$D$14+($B$14-P168)/($B$14-$B$15)*($D$15-$D$14),IF(AND(P168&lt;=$B$14,P168&gt;$B$13),$D$13+($B$13-P168)/($B$13-$B$14)*($D$14-$D$13),IF(AND(P168&lt;=$B$13,P168&gt;$B$12),$D$12+($B$12-P168)/($B$12-$B$13)*($D$13-$D$12),IF(AND(P168&lt;=$B$12,P168&gt;$B$11),$D$11+($B$11-P168)/($B$11-$B$12)*($D$12-$D$11),IF(AND(P168&lt;=$B$11,P168&gt;$B$10),$D$10+($B$10-P168)/($B$10-$B$11)*($D$11-$D$10),IF(AND(P168&lt;=$B$10,P168&gt;$B$9),$D$9+($B$9-P168)/($B$9-$B$10)*($D$10-$D$9),IF(AND(P168&lt;=$B$9,P168&gt;$B$8),$D$8+($B$8-P168)/($B$8-$B$9)*($D$9-$D$8),IF(AND(P168&lt;=$B$8,P168&gt;$B$7),$D$7+($B$7-P168)/($B$7-$B$8)*($D$8-$D$7),IF(AND(P168&lt;=$B$7,P168&gt;$B$6),$D$6+($B$6-P168)/($B$6-$B$7)*($D$7-$D$6),IF(P168&lt;=$B$6,$D$6)))))))))))))))))</f>
        <v/>
      </c>
      <c r="R168" s="120" t="str">
        <f>IF(P167="","",P168-P167)</f>
        <v/>
      </c>
      <c r="S168" s="117" t="str">
        <f>IF(Q167="","",SQRT(SUMSQ(Q167:Q168)))</f>
        <v/>
      </c>
      <c r="T168" s="93" t="str">
        <f>IF(P166="","","Amostra")</f>
        <v/>
      </c>
      <c r="U168" s="118"/>
      <c r="V168" s="115" t="str">
        <f>IF(W166="","","Frasco + Amostra")</f>
        <v/>
      </c>
      <c r="W168" s="95" t="str">
        <f>IF('Entrada das massas'!S148="","",IF(AND('Entrada das massas'!S148&lt;=$B$20,'Entrada das massas'!S148&gt;$B$19),'Entrada das massas'!S148-((($C$20-$C$19)*($B$20-'Entrada das massas'!S148)+($B$19*$C$20)-($B$20*$C$20))/($B$19-$B$20)),IF(AND('Entrada das massas'!S148&lt;=$B$19,'Entrada das massas'!S148&gt;$B$18),'Entrada das massas'!S148-((($C$19-$C$18)*($B$19-'Entrada das massas'!S148)+($B$18*$C$19)-($B$19*$C$19))/($B$18-$B$19)),IF(AND('Entrada das massas'!S148&lt;=$B$18,'Entrada das massas'!S148&gt;$B$17),'Entrada das massas'!S148-((($C$18-$C$17)*($B$18-'Entrada das massas'!S148)+($B$17*$C$18)-($B$18*$C$18))/($B$17-$B$18)),IF(AND('Entrada das massas'!S148&lt;=$B$17,'Entrada das massas'!S148&gt;$B$16),'Entrada das massas'!S148-((($C$17-$C$16)*($B$17-'Entrada das massas'!S148)+($B$16*$C$17)-($B$17*$C$17))/($B$16-$B$17)),IF(AND('Entrada das massas'!S148&lt;=$B$16,'Entrada das massas'!S148&gt;$B$15),'Entrada das massas'!S148-((($C$16-$C$15)*($B$16-'Entrada das massas'!S148)+($B$15*$C$16)-($B$16*$C$16))/($B$15-$B$16)),IF(AND('Entrada das massas'!S148&lt;=$B$15,'Entrada das massas'!S148&gt;$B$14),'Entrada das massas'!S148-((($C$15-$C$14)*($B$15-'Entrada das massas'!S148)+($B$14*$C$15)-($B$15*$C$15))/($B$14-$B$15)),IF(AND('Entrada das massas'!S148&lt;=$B$14,'Entrada das massas'!S148&gt;$B$13),'Entrada das massas'!S148-((($C$14-$C$13)*($B$14-'Entrada das massas'!S148)+($B$13*$C$14)-($B$14*$C$14))/($B$13-$B$14)),IF(AND('Entrada das massas'!S148&lt;=$B$13,'Entrada das massas'!S148&gt;$B$12),'Entrada das massas'!S148-((($C$13-$C$12)*($B$13-'Entrada das massas'!S148)+($B$12*$C$13)-($B$13*$C$13))/($B$12-$B$13)),IF(AND('Entrada das massas'!S148&lt;=$B$12,'Entrada das massas'!S148&gt;$B$11),'Entrada das massas'!S148-((($C$12-$C$11)*($B$12-'Entrada das massas'!S148)+($B$11*$C$12)-($B$12*$C$12))/($B$11-$B$12)),IF(AND('Entrada das massas'!S148&lt;=$B$11,'Entrada das massas'!S148&gt;$B$10),'Entrada das massas'!S148-((($C$11-$C$10)*($B$11-'Entrada das massas'!S148)+($B$10*$C$11)-($B$11*$C$11))/($B$10-$B$11)),IF(AND('Entrada das massas'!S148&lt;=$B$10,'Entrada das massas'!S148&gt;$B$9),'Entrada das massas'!S148-((($C$10-$C$9)*($B$10-'Entrada das massas'!S148)+($B$9*$C$10)-($B$10*$C$10))/($B$9-$B$10)),IF(AND('Entrada das massas'!S148&lt;=$B$9,'Entrada das massas'!S148&gt;$B$8),'Entrada das massas'!S148-((($C$9-$C$8)*($B$9-'Entrada das massas'!S148)+($B$8*$C$9)-($B$9*$C$9))/($B$8-$B$9)),IF(AND('Entrada das massas'!S148&lt;=$B$8,'Entrada das massas'!S148&gt;$B$7),'Entrada das massas'!S148-((($C$8-$C$7)*($B$8-'Entrada das massas'!S148)+($B$7*$C$8)-($B$8*$C$8))/($B$7-$B$8)),IF(AND('Entrada das massas'!S148&lt;=$B$7,'Entrada das massas'!S148&gt;$B$6),'Entrada das massas'!S148-((($C$7-$C$6)*($B$7-'Entrada das massas'!S148)+($B$6*$C$7)-($B$7*$C$7))/($B$6-$B$7)),IF(AND('Entrada das massas'!S148&lt;=$B$6,'Entrada das massas'!S148&gt;$B$5),'Entrada das massas'!S148-((($C$6-$C$5)*($B$6-'Entrada das massas'!S148)+($B$5*$C$6)-($B$6*$C$6))/($B$5-$B$6)),IF('Entrada das massas'!S148&lt;=$B$5,'Entrada das massas'!S148-$C$5)))))))))))))))))</f>
        <v/>
      </c>
      <c r="X168" s="117" t="str">
        <f t="shared" ref="X168:X169" si="89">IF(W168="","",(IF(AND(W168&lt;=$B$20,W168&gt;$B$19),$D$19+($B$19-W168)/($B$19-$B$20)*($D$20-$D$19),IF(AND(W168&lt;=$B$19,W168&gt;$B$18),$D$18+($B$18-W168)/($B$18-$B$19)*($D$19-$D$18),IF(AND(W168&lt;=$B$18,W168&gt;$B$17),$D$17+($B$17-W168)/($B$17-$B$18)*($D$18-$D$17),IF(AND(W168&lt;=$B$17,W168&gt;$B$16),$D$16+($B$16-W168)/($B$16-$B$17)*($D$17-$D$16),IF(AND(W168&lt;=$B$16,W168&gt;$B$15),$D$15+($B$15-W168)/($B$15-$B$16)*($D$16-$D$15),IF(AND(W168&lt;=$B$15,W168&gt;$B$14),$D$14+($B$14-W168)/($B$14-$B$15)*($D$15-$D$14),IF(AND(W168&lt;=$B$14,W168&gt;$B$13),$D$13+($B$13-W168)/($B$13-$B$14)*($D$14-$D$13),IF(AND(W168&lt;=$B$13,W168&gt;$B$12),$D$12+($B$12-W168)/($B$12-$B$13)*($D$13-$D$12),IF(AND(W168&lt;=$B$12,W168&gt;$B$11),$D$11+($B$11-W168)/($B$11-$B$12)*($D$12-$D$11),IF(AND(W168&lt;=$B$11,W168&gt;$B$10),$D$10+($B$10-W168)/($B$10-$B$11)*($D$11-$D$10),IF(AND(W168&lt;=$B$10,W168&gt;$B$9),$D$9+($B$9-W168)/($B$9-$B$10)*($D$10-$D$9),IF(AND(W168&lt;=$B$9,W168&gt;$B$8),$D$8+($B$8-W168)/($B$8-$B$9)*($D$9-$D$8),IF(AND(W168&lt;=$B$8,W168&gt;$B$7),$D$7+($B$7-W168)/($B$7-$B$8)*($D$8-$D$7),IF(AND(W168&lt;=$B$7,W168&gt;$B$6),$D$6+($B$6-W168)/($B$6-$B$7)*($D$7-$D$6),IF(W168&lt;=$B$6,$D$6)))))))))))))))))</f>
        <v/>
      </c>
      <c r="Y168" s="120" t="str">
        <f>IF(W167="","",W168-W167)</f>
        <v/>
      </c>
      <c r="Z168" s="117" t="str">
        <f>IF(X167="","",SQRT(SUMSQ(X167:X168)))</f>
        <v/>
      </c>
      <c r="AA168" s="93" t="str">
        <f>IF(W166="","","Amostra")</f>
        <v/>
      </c>
    </row>
    <row r="169" spans="8:27" x14ac:dyDescent="0.2">
      <c r="H169" s="123" t="str">
        <f>IF(I166="","","Massa final")</f>
        <v/>
      </c>
      <c r="I169" s="116" t="str">
        <f>IF('Entrada das massas'!I149="","",IF(AND('Entrada das massas'!I149&lt;=$B$20,'Entrada das massas'!I149&gt;$B$19),'Entrada das massas'!I149-((($C$20-$C$19)*($B$20-'Entrada das massas'!I149)+($B$19*$C$20)-($B$20*$C$20))/($B$19-$B$20)),IF(AND('Entrada das massas'!I149&lt;=$B$19,'Entrada das massas'!I149&gt;$B$18),'Entrada das massas'!I149-((($C$19-$C$18)*($B$19-'Entrada das massas'!I149)+($B$18*$C$19)-($B$19*$C$19))/($B$18-$B$19)),IF(AND('Entrada das massas'!I149&lt;=$B$18,'Entrada das massas'!I149&gt;$B$17),'Entrada das massas'!I149-((($C$18-$C$17)*($B$18-'Entrada das massas'!I149)+($B$17*$C$18)-($B$18*$C$18))/($B$17-$B$18)),IF(AND('Entrada das massas'!I149&lt;=$B$17,'Entrada das massas'!I149&gt;$B$16),'Entrada das massas'!I149-((($C$17-$C$16)*($B$17-'Entrada das massas'!I149)+($B$16*$C$17)-($B$17*$C$17))/($B$16-$B$17)),IF(AND('Entrada das massas'!I149&lt;=$B$16,'Entrada das massas'!I149&gt;$B$15),'Entrada das massas'!I149-((($C$16-$C$15)*($B$16-'Entrada das massas'!I149)+($B$15*$C$16)-($B$16*$C$16))/($B$15-$B$16)),IF(AND('Entrada das massas'!I149&lt;=$B$15,'Entrada das massas'!I149&gt;$B$14),'Entrada das massas'!I149-((($C$15-$C$14)*($B$15-'Entrada das massas'!I149)+($B$14*$C$15)-($B$15*$C$15))/($B$14-$B$15)),IF(AND('Entrada das massas'!I149&lt;=$B$14,'Entrada das massas'!I149&gt;$B$13),'Entrada das massas'!I149-((($C$14-$C$13)*($B$14-'Entrada das massas'!I149)+($B$13*$C$14)-($B$14*$C$14))/($B$13-$B$14)),IF(AND('Entrada das massas'!I149&lt;=$B$13,'Entrada das massas'!I149&gt;$B$12),'Entrada das massas'!I149-((($C$13-$C$12)*($B$13-'Entrada das massas'!I149)+($B$12*$C$13)-($B$13*$C$13))/($B$12-$B$13)),IF(AND('Entrada das massas'!I149&lt;=$B$12,'Entrada das massas'!I149&gt;$B$11),'Entrada das massas'!I149-((($C$12-$C$11)*($B$12-'Entrada das massas'!I149)+($B$11*$C$12)-($B$12*$C$12))/($B$11-$B$12)),IF(AND('Entrada das massas'!I149&lt;=$B$11,'Entrada das massas'!I149&gt;$B$10),'Entrada das massas'!I149-((($C$11-$C$10)*($B$11-'Entrada das massas'!I149)+($B$10*$C$11)-($B$11*$C$11))/($B$10-$B$11)),IF(AND('Entrada das massas'!I149&lt;=$B$10,'Entrada das massas'!I149&gt;$B$9),'Entrada das massas'!I149-((($C$10-$C$9)*($B$10-'Entrada das massas'!I149)+($B$9*$C$10)-($B$10*$C$10))/($B$9-$B$10)),IF(AND('Entrada das massas'!I149&lt;=$B$9,'Entrada das massas'!I149&gt;$B$8),'Entrada das massas'!I149-((($C$9-$C$8)*($B$9-'Entrada das massas'!I149)+($B$8*$C$9)-($B$9*$C$9))/($B$8-$B$9)),IF(AND('Entrada das massas'!I149&lt;=$B$8,'Entrada das massas'!I149&gt;$B$7),'Entrada das massas'!I149-((($C$8-$C$7)*($B$8-'Entrada das massas'!I149)+($B$7*$C$8)-($B$8*$C$8))/($B$7-$B$8)),IF(AND('Entrada das massas'!I149&lt;=$B$7,'Entrada das massas'!I149&gt;$B$6),'Entrada das massas'!I149-((($C$7-$C$6)*($B$7-'Entrada das massas'!I149)+($B$6*$C$7)-($B$7*$C$7))/($B$6-$B$7)),IF(AND('Entrada das massas'!I149&lt;=$B$6,'Entrada das massas'!I149&gt;$B$5),'Entrada das massas'!I149-((($C$6-$C$5)*($B$6-'Entrada das massas'!I149)+($B$5*$C$6)-($B$6*$C$6))/($B$5-$B$6)),IF('Entrada das massas'!I149&lt;=$B$5,'Entrada das massas'!I149-$C$5)))))))))))))))))</f>
        <v/>
      </c>
      <c r="J169" s="117" t="str">
        <f t="shared" si="87"/>
        <v/>
      </c>
      <c r="K169" s="120" t="str">
        <f>IF(I167="","",I169-I167)</f>
        <v/>
      </c>
      <c r="L169" s="117" t="str">
        <f>IF(J167="","",SQRT(SUMSQ(J167,J169)))</f>
        <v/>
      </c>
      <c r="M169" s="93" t="str">
        <f>IF(I166="","","Solução")</f>
        <v/>
      </c>
      <c r="N169" s="93"/>
      <c r="O169" s="123" t="str">
        <f>IF(P166="","","Massa final")</f>
        <v/>
      </c>
      <c r="P169" s="95" t="str">
        <f>IF('Entrada das massas'!N149="","",IF(AND('Entrada das massas'!N149&lt;=$B$20,'Entrada das massas'!N149&gt;$B$19),'Entrada das massas'!N149-((($C$20-$C$19)*($B$20-'Entrada das massas'!N149)+($B$19*$C$20)-($B$20*$C$20))/($B$19-$B$20)),IF(AND('Entrada das massas'!N149&lt;=$B$19,'Entrada das massas'!N149&gt;$B$18),'Entrada das massas'!N149-((($C$19-$C$18)*($B$19-'Entrada das massas'!N149)+($B$18*$C$19)-($B$19*$C$19))/($B$18-$B$19)),IF(AND('Entrada das massas'!N149&lt;=$B$18,'Entrada das massas'!N149&gt;$B$17),'Entrada das massas'!N149-((($C$18-$C$17)*($B$18-'Entrada das massas'!N149)+($B$17*$C$18)-($B$18*$C$18))/($B$17-$B$18)),IF(AND('Entrada das massas'!N149&lt;=$B$17,'Entrada das massas'!N149&gt;$B$16),'Entrada das massas'!N149-((($C$17-$C$16)*($B$17-'Entrada das massas'!N149)+($B$16*$C$17)-($B$17*$C$17))/($B$16-$B$17)),IF(AND('Entrada das massas'!N149&lt;=$B$16,'Entrada das massas'!N149&gt;$B$15),'Entrada das massas'!N149-((($C$16-$C$15)*($B$16-'Entrada das massas'!N149)+($B$15*$C$16)-($B$16*$C$16))/($B$15-$B$16)),IF(AND('Entrada das massas'!N149&lt;=$B$15,'Entrada das massas'!N149&gt;$B$14),'Entrada das massas'!N149-((($C$15-$C$14)*($B$15-'Entrada das massas'!N149)+($B$14*$C$15)-($B$15*$C$15))/($B$14-$B$15)),IF(AND('Entrada das massas'!N149&lt;=$B$14,'Entrada das massas'!N149&gt;$B$13),'Entrada das massas'!N149-((($C$14-$C$13)*($B$14-'Entrada das massas'!N149)+($B$13*$C$14)-($B$14*$C$14))/($B$13-$B$14)),IF(AND('Entrada das massas'!N149&lt;=$B$13,'Entrada das massas'!N149&gt;$B$12),'Entrada das massas'!N149-((($C$13-$C$12)*($B$13-'Entrada das massas'!N149)+($B$12*$C$13)-($B$13*$C$13))/($B$12-$B$13)),IF(AND('Entrada das massas'!N149&lt;=$B$12,'Entrada das massas'!N149&gt;$B$11),'Entrada das massas'!N149-((($C$12-$C$11)*($B$12-'Entrada das massas'!N149)+($B$11*$C$12)-($B$12*$C$12))/($B$11-$B$12)),IF(AND('Entrada das massas'!N149&lt;=$B$11,'Entrada das massas'!N149&gt;$B$10),'Entrada das massas'!N149-((($C$11-$C$10)*($B$11-'Entrada das massas'!N149)+($B$10*$C$11)-($B$11*$C$11))/($B$10-$B$11)),IF(AND('Entrada das massas'!N149&lt;=$B$10,'Entrada das massas'!N149&gt;$B$9),'Entrada das massas'!N149-((($C$10-$C$9)*($B$10-'Entrada das massas'!N149)+($B$9*$C$10)-($B$10*$C$10))/($B$9-$B$10)),IF(AND('Entrada das massas'!N149&lt;=$B$9,'Entrada das massas'!N149&gt;$B$8),'Entrada das massas'!N149-((($C$9-$C$8)*($B$9-'Entrada das massas'!N149)+($B$8*$C$9)-($B$9*$C$9))/($B$8-$B$9)),IF(AND('Entrada das massas'!N149&lt;=$B$8,'Entrada das massas'!N149&gt;$B$7),'Entrada das massas'!N149-((($C$8-$C$7)*($B$8-'Entrada das massas'!N149)+($B$7*$C$8)-($B$8*$C$8))/($B$7-$B$8)),IF(AND('Entrada das massas'!N149&lt;=$B$7,'Entrada das massas'!N149&gt;$B$6),'Entrada das massas'!N149-((($C$7-$C$6)*($B$7-'Entrada das massas'!N149)+($B$6*$C$7)-($B$7*$C$7))/($B$6-$B$7)),IF(AND('Entrada das massas'!N149&lt;=$B$6,'Entrada das massas'!N149&gt;$B$5),'Entrada das massas'!N149-((($C$6-$C$5)*($B$6-'Entrada das massas'!N149)+($B$5*$C$6)-($B$6*$C$6))/($B$5-$B$6)),IF('Entrada das massas'!N149&lt;=$B$5,'Entrada das massas'!N149-$C$5)))))))))))))))))</f>
        <v/>
      </c>
      <c r="Q169" s="117" t="str">
        <f t="shared" si="88"/>
        <v/>
      </c>
      <c r="R169" s="120" t="str">
        <f>IF(P167="","",P169-P167)</f>
        <v/>
      </c>
      <c r="S169" s="117" t="str">
        <f>IF(Q167="","",SQRT(SUMSQ(Q167,Q169)))</f>
        <v/>
      </c>
      <c r="T169" s="93" t="str">
        <f>IF(P166="","","Solução")</f>
        <v/>
      </c>
      <c r="U169" s="93"/>
      <c r="V169" s="123" t="str">
        <f>IF(W166="","","Massa final")</f>
        <v/>
      </c>
      <c r="W169" s="95" t="str">
        <f>IF('Entrada das massas'!S149="","",IF(AND('Entrada das massas'!S149&lt;=$B$20,'Entrada das massas'!S149&gt;$B$19),'Entrada das massas'!S149-((($C$20-$C$19)*($B$20-'Entrada das massas'!S149)+($B$19*$C$20)-($B$20*$C$20))/($B$19-$B$20)),IF(AND('Entrada das massas'!S149&lt;=$B$19,'Entrada das massas'!S149&gt;$B$18),'Entrada das massas'!S149-((($C$19-$C$18)*($B$19-'Entrada das massas'!S149)+($B$18*$C$19)-($B$19*$C$19))/($B$18-$B$19)),IF(AND('Entrada das massas'!S149&lt;=$B$18,'Entrada das massas'!S149&gt;$B$17),'Entrada das massas'!S149-((($C$18-$C$17)*($B$18-'Entrada das massas'!S149)+($B$17*$C$18)-($B$18*$C$18))/($B$17-$B$18)),IF(AND('Entrada das massas'!S149&lt;=$B$17,'Entrada das massas'!S149&gt;$B$16),'Entrada das massas'!S149-((($C$17-$C$16)*($B$17-'Entrada das massas'!S149)+($B$16*$C$17)-($B$17*$C$17))/($B$16-$B$17)),IF(AND('Entrada das massas'!S149&lt;=$B$16,'Entrada das massas'!S149&gt;$B$15),'Entrada das massas'!S149-((($C$16-$C$15)*($B$16-'Entrada das massas'!S149)+($B$15*$C$16)-($B$16*$C$16))/($B$15-$B$16)),IF(AND('Entrada das massas'!S149&lt;=$B$15,'Entrada das massas'!S149&gt;$B$14),'Entrada das massas'!S149-((($C$15-$C$14)*($B$15-'Entrada das massas'!S149)+($B$14*$C$15)-($B$15*$C$15))/($B$14-$B$15)),IF(AND('Entrada das massas'!S149&lt;=$B$14,'Entrada das massas'!S149&gt;$B$13),'Entrada das massas'!S149-((($C$14-$C$13)*($B$14-'Entrada das massas'!S149)+($B$13*$C$14)-($B$14*$C$14))/($B$13-$B$14)),IF(AND('Entrada das massas'!S149&lt;=$B$13,'Entrada das massas'!S149&gt;$B$12),'Entrada das massas'!S149-((($C$13-$C$12)*($B$13-'Entrada das massas'!S149)+($B$12*$C$13)-($B$13*$C$13))/($B$12-$B$13)),IF(AND('Entrada das massas'!S149&lt;=$B$12,'Entrada das massas'!S149&gt;$B$11),'Entrada das massas'!S149-((($C$12-$C$11)*($B$12-'Entrada das massas'!S149)+($B$11*$C$12)-($B$12*$C$12))/($B$11-$B$12)),IF(AND('Entrada das massas'!S149&lt;=$B$11,'Entrada das massas'!S149&gt;$B$10),'Entrada das massas'!S149-((($C$11-$C$10)*($B$11-'Entrada das massas'!S149)+($B$10*$C$11)-($B$11*$C$11))/($B$10-$B$11)),IF(AND('Entrada das massas'!S149&lt;=$B$10,'Entrada das massas'!S149&gt;$B$9),'Entrada das massas'!S149-((($C$10-$C$9)*($B$10-'Entrada das massas'!S149)+($B$9*$C$10)-($B$10*$C$10))/($B$9-$B$10)),IF(AND('Entrada das massas'!S149&lt;=$B$9,'Entrada das massas'!S149&gt;$B$8),'Entrada das massas'!S149-((($C$9-$C$8)*($B$9-'Entrada das massas'!S149)+($B$8*$C$9)-($B$9*$C$9))/($B$8-$B$9)),IF(AND('Entrada das massas'!S149&lt;=$B$8,'Entrada das massas'!S149&gt;$B$7),'Entrada das massas'!S149-((($C$8-$C$7)*($B$8-'Entrada das massas'!S149)+($B$7*$C$8)-($B$8*$C$8))/($B$7-$B$8)),IF(AND('Entrada das massas'!S149&lt;=$B$7,'Entrada das massas'!S149&gt;$B$6),'Entrada das massas'!S149-((($C$7-$C$6)*($B$7-'Entrada das massas'!S149)+($B$6*$C$7)-($B$7*$C$7))/($B$6-$B$7)),IF(AND('Entrada das massas'!S149&lt;=$B$6,'Entrada das massas'!S149&gt;$B$5),'Entrada das massas'!S149-((($C$6-$C$5)*($B$6-'Entrada das massas'!S149)+($B$5*$C$6)-($B$6*$C$6))/($B$5-$B$6)),IF('Entrada das massas'!S149&lt;=$B$5,'Entrada das massas'!S149-$C$5)))))))))))))))))</f>
        <v/>
      </c>
      <c r="X169" s="117" t="str">
        <f t="shared" si="89"/>
        <v/>
      </c>
      <c r="Y169" s="120" t="str">
        <f>IF(W167="","",W169-W167)</f>
        <v/>
      </c>
      <c r="Z169" s="117" t="str">
        <f>IF(X167="","",SQRT(SUMSQ(X167,X169)))</f>
        <v/>
      </c>
      <c r="AA169" s="93" t="str">
        <f>IF(W166="","","Solução")</f>
        <v/>
      </c>
    </row>
    <row r="170" spans="8:27" x14ac:dyDescent="0.2">
      <c r="H170" s="98"/>
      <c r="I170" s="93"/>
      <c r="J170" s="139"/>
      <c r="K170" s="139"/>
      <c r="L170" s="139"/>
      <c r="M170" s="98"/>
      <c r="N170" s="98"/>
      <c r="O170" s="98"/>
      <c r="P170" s="93"/>
      <c r="Q170" s="120"/>
      <c r="R170" s="120"/>
      <c r="S170" s="120"/>
      <c r="T170" s="98"/>
      <c r="U170" s="98"/>
      <c r="V170" s="98"/>
      <c r="W170" s="93"/>
      <c r="X170" s="120"/>
      <c r="Y170" s="120"/>
      <c r="Z170" s="120"/>
      <c r="AA170" s="98"/>
    </row>
    <row r="171" spans="8:27" x14ac:dyDescent="0.2">
      <c r="H171" s="126" t="str">
        <f>IF(I166="","","Amostra")</f>
        <v/>
      </c>
      <c r="I171" s="127" t="str">
        <f>IF('Entrada das massas'!I151="","",'Entrada das massas'!I151)</f>
        <v/>
      </c>
      <c r="J171" s="120" t="str">
        <f>IF(I171="","","uc(g)")</f>
        <v/>
      </c>
      <c r="K171" s="120" t="str">
        <f>IF(J171="","","Massa (g)")</f>
        <v/>
      </c>
      <c r="L171" s="120" t="str">
        <f>IF(K171="","","ucomb (g)")</f>
        <v/>
      </c>
      <c r="M171" s="98" t="str">
        <f>IF(I171="","","Fdiluição")</f>
        <v/>
      </c>
      <c r="N171" s="98"/>
      <c r="O171" s="126" t="str">
        <f>IF(M172="","","Amostra")</f>
        <v/>
      </c>
      <c r="P171" s="127" t="str">
        <f>IF('Entrada das massas'!N151="","",'Entrada das massas'!N151)</f>
        <v/>
      </c>
      <c r="Q171" s="120" t="str">
        <f>IF(P171="","","uc(g)")</f>
        <v/>
      </c>
      <c r="R171" s="120" t="str">
        <f>IF(Q171="","","Massa (g)")</f>
        <v/>
      </c>
      <c r="S171" s="120" t="str">
        <f>IF(R171="","","ucomb (g)")</f>
        <v/>
      </c>
      <c r="T171" s="98" t="str">
        <f>IF(P171="","","Fdiluição")</f>
        <v/>
      </c>
      <c r="U171" s="98"/>
      <c r="V171" s="126" t="str">
        <f>IF(T172="","","Amostra")</f>
        <v/>
      </c>
      <c r="W171" s="127" t="str">
        <f>IF('Entrada das massas'!S151="","",'Entrada das massas'!S151)</f>
        <v/>
      </c>
      <c r="X171" s="120" t="str">
        <f>IF(W171="","","uc(g)")</f>
        <v/>
      </c>
      <c r="Y171" s="120" t="str">
        <f>IF(X171="","","Massa (g)")</f>
        <v/>
      </c>
      <c r="Z171" s="120" t="str">
        <f>IF(Y171="","","ucomb (g)")</f>
        <v/>
      </c>
      <c r="AA171" s="98" t="str">
        <f>IF(W171="","","Fdiluição")</f>
        <v/>
      </c>
    </row>
    <row r="172" spans="8:27" x14ac:dyDescent="0.2">
      <c r="H172" s="115" t="str">
        <f>IF(I171="","","Frasco")</f>
        <v/>
      </c>
      <c r="I172" s="116" t="str">
        <f>IF('Entrada das massas'!I152="","",IF(AND('Entrada das massas'!I152&lt;=$B$20,'Entrada das massas'!I152&gt;$B$19),'Entrada das massas'!I152-((($C$20-$C$19)*($B$20-'Entrada das massas'!I152)+($B$19*$C$20)-($B$20*$C$20))/($B$19-$B$20)),IF(AND('Entrada das massas'!I152&lt;=$B$19,'Entrada das massas'!I152&gt;$B$18),'Entrada das massas'!I152-((($C$19-$C$18)*($B$19-'Entrada das massas'!I152)+($B$18*$C$19)-($B$19*$C$19))/($B$18-$B$19)),IF(AND('Entrada das massas'!I152&lt;=$B$18,'Entrada das massas'!I152&gt;$B$17),'Entrada das massas'!I152-((($C$18-$C$17)*($B$18-'Entrada das massas'!I152)+($B$17*$C$18)-($B$18*$C$18))/($B$17-$B$18)),IF(AND('Entrada das massas'!I152&lt;=$B$17,'Entrada das massas'!I152&gt;$B$16),'Entrada das massas'!I152-((($C$17-$C$16)*($B$17-'Entrada das massas'!I152)+($B$16*$C$17)-($B$17*$C$17))/($B$16-$B$17)),IF(AND('Entrada das massas'!I152&lt;=$B$16,'Entrada das massas'!I152&gt;$B$15),'Entrada das massas'!I152-((($C$16-$C$15)*($B$16-'Entrada das massas'!I152)+($B$15*$C$16)-($B$16*$C$16))/($B$15-$B$16)),IF(AND('Entrada das massas'!I152&lt;=$B$15,'Entrada das massas'!I152&gt;$B$14),'Entrada das massas'!I152-((($C$15-$C$14)*($B$15-'Entrada das massas'!I152)+($B$14*$C$15)-($B$15*$C$15))/($B$14-$B$15)),IF(AND('Entrada das massas'!I152&lt;=$B$14,'Entrada das massas'!I152&gt;$B$13),'Entrada das massas'!I152-((($C$14-$C$13)*($B$14-'Entrada das massas'!I152)+($B$13*$C$14)-($B$14*$C$14))/($B$13-$B$14)),IF(AND('Entrada das massas'!I152&lt;=$B$13,'Entrada das massas'!I152&gt;$B$12),'Entrada das massas'!I152-((($C$13-$C$12)*($B$13-'Entrada das massas'!I152)+($B$12*$C$13)-($B$13*$C$13))/($B$12-$B$13)),IF(AND('Entrada das massas'!I152&lt;=$B$12,'Entrada das massas'!I152&gt;$B$11),'Entrada das massas'!I152-((($C$12-$C$11)*($B$12-'Entrada das massas'!I152)+($B$11*$C$12)-($B$12*$C$12))/($B$11-$B$12)),IF(AND('Entrada das massas'!I152&lt;=$B$11,'Entrada das massas'!I152&gt;$B$10),'Entrada das massas'!I152-((($C$11-$C$10)*($B$11-'Entrada das massas'!I152)+($B$10*$C$11)-($B$11*$C$11))/($B$10-$B$11)),IF(AND('Entrada das massas'!I152&lt;=$B$10,'Entrada das massas'!I152&gt;$B$9),'Entrada das massas'!I152-((($C$10-$C$9)*($B$10-'Entrada das massas'!I152)+($B$9*$C$10)-($B$10*$C$10))/($B$9-$B$10)),IF(AND('Entrada das massas'!I152&lt;=$B$9,'Entrada das massas'!I152&gt;$B$8),'Entrada das massas'!I152-((($C$9-$C$8)*($B$9-'Entrada das massas'!I152)+($B$8*$C$9)-($B$9*$C$9))/($B$8-$B$9)),IF(AND('Entrada das massas'!I152&lt;=$B$8,'Entrada das massas'!I152&gt;$B$7),'Entrada das massas'!I152-((($C$8-$C$7)*($B$8-'Entrada das massas'!I152)+($B$7*$C$8)-($B$8*$C$8))/($B$7-$B$8)),IF(AND('Entrada das massas'!I152&lt;=$B$7,'Entrada das massas'!I152&gt;$B$6),'Entrada das massas'!I152-((($C$7-$C$6)*($B$7-'Entrada das massas'!I152)+($B$6*$C$7)-($B$7*$C$7))/($B$6-$B$7)),IF(AND('Entrada das massas'!I152&lt;=$B$6,'Entrada das massas'!I152&gt;$B$5),'Entrada das massas'!I152-((($C$6-$C$5)*($B$6-'Entrada das massas'!I152)+($B$5*$C$6)-($B$6*$C$6))/($B$5-$B$6)),IF('Entrada das massas'!I152&lt;=$B$5,'Entrada das massas'!I152-$C$5)))))))))))))))))</f>
        <v/>
      </c>
      <c r="J172" s="117" t="str">
        <f>IF(I172="","",(IF(AND(I172&lt;=$B$20,I172&gt;$B$19),$D$19+($B$19-I172)/($B$19-$B$20)*($D$20-$D$19),IF(AND(I172&lt;=$B$19,I172&gt;$B$18),$D$18+($B$18-I172)/($B$18-$B$19)*($D$19-$D$18),IF(AND(I172&lt;=$B$18,I172&gt;$B$17),$D$17+($B$17-I172)/($B$17-$B$18)*($D$18-$D$17),IF(AND(I172&lt;=$B$17,I172&gt;$B$16),$D$16+($B$16-I172)/($B$16-$B$17)*($D$17-$D$16),IF(AND(I172&lt;=$B$16,I172&gt;$B$15),$D$15+($B$15-I172)/($B$15-$B$16)*($D$16-$D$15),IF(AND(I172&lt;=$B$15,I172&gt;$B$14),$D$14+($B$14-I172)/($B$14-$B$15)*($D$15-$D$14),IF(AND(I172&lt;=$B$14,I172&gt;$B$13),$D$13+($B$13-I172)/($B$13-$B$14)*($D$14-$D$13),IF(AND(I172&lt;=$B$13,I172&gt;$B$12),$D$12+($B$12-I172)/($B$12-$B$13)*($D$13-$D$12),IF(AND(I172&lt;=$B$12,I172&gt;$B$11),$D$11+($B$11-I172)/($B$11-$B$12)*($D$12-$D$11),IF(AND(I172&lt;=$B$11,I172&gt;$B$10),$D$10+($B$10-I172)/($B$10-$B$11)*($D$11-$D$10),IF(AND(I172&lt;=$B$10,I172&gt;$B$9),$D$9+($B$9-I172)/($B$9-$B$10)*($D$10-$D$9),IF(AND(I172&lt;=$B$9,I172&gt;$B$8),$D$8+($B$8-I172)/($B$8-$B$9)*($D$9-$D$8),IF(AND(I172&lt;=$B$8,I172&gt;$B$7),$D$7+($B$7-I172)/($B$7-$B$8)*($D$8-$D$7),IF(AND(I172&lt;=$B$7,I172&gt;$B$6),$D$6+($B$6-I172)/($B$6-$B$7)*($D$7-$D$6),IF(I172&lt;=$B$6,$D$6)))))))))))))))))</f>
        <v/>
      </c>
      <c r="K172" s="117"/>
      <c r="L172" s="117"/>
      <c r="M172" s="118" t="str">
        <f>IFERROR(K174/K173,"")</f>
        <v/>
      </c>
      <c r="N172" s="93"/>
      <c r="O172" s="115" t="str">
        <f>IF(P171="","","Frasco")</f>
        <v/>
      </c>
      <c r="P172" s="95" t="str">
        <f>IF('Entrada das massas'!N152="","",IF(AND('Entrada das massas'!N152&lt;=$B$20,'Entrada das massas'!N152&gt;$B$19),'Entrada das massas'!N152-((($C$20-$C$19)*($B$20-'Entrada das massas'!N152)+($B$19*$C$20)-($B$20*$C$20))/($B$19-$B$20)),IF(AND('Entrada das massas'!N152&lt;=$B$19,'Entrada das massas'!N152&gt;$B$18),'Entrada das massas'!N152-((($C$19-$C$18)*($B$19-'Entrada das massas'!N152)+($B$18*$C$19)-($B$19*$C$19))/($B$18-$B$19)),IF(AND('Entrada das massas'!N152&lt;=$B$18,'Entrada das massas'!N152&gt;$B$17),'Entrada das massas'!N152-((($C$18-$C$17)*($B$18-'Entrada das massas'!N152)+($B$17*$C$18)-($B$18*$C$18))/($B$17-$B$18)),IF(AND('Entrada das massas'!N152&lt;=$B$17,'Entrada das massas'!N152&gt;$B$16),'Entrada das massas'!N152-((($C$17-$C$16)*($B$17-'Entrada das massas'!N152)+($B$16*$C$17)-($B$17*$C$17))/($B$16-$B$17)),IF(AND('Entrada das massas'!N152&lt;=$B$16,'Entrada das massas'!N152&gt;$B$15),'Entrada das massas'!N152-((($C$16-$C$15)*($B$16-'Entrada das massas'!N152)+($B$15*$C$16)-($B$16*$C$16))/($B$15-$B$16)),IF(AND('Entrada das massas'!N152&lt;=$B$15,'Entrada das massas'!N152&gt;$B$14),'Entrada das massas'!N152-((($C$15-$C$14)*($B$15-'Entrada das massas'!N152)+($B$14*$C$15)-($B$15*$C$15))/($B$14-$B$15)),IF(AND('Entrada das massas'!N152&lt;=$B$14,'Entrada das massas'!N152&gt;$B$13),'Entrada das massas'!N152-((($C$14-$C$13)*($B$14-'Entrada das massas'!N152)+($B$13*$C$14)-($B$14*$C$14))/($B$13-$B$14)),IF(AND('Entrada das massas'!N152&lt;=$B$13,'Entrada das massas'!N152&gt;$B$12),'Entrada das massas'!N152-((($C$13-$C$12)*($B$13-'Entrada das massas'!N152)+($B$12*$C$13)-($B$13*$C$13))/($B$12-$B$13)),IF(AND('Entrada das massas'!N152&lt;=$B$12,'Entrada das massas'!N152&gt;$B$11),'Entrada das massas'!N152-((($C$12-$C$11)*($B$12-'Entrada das massas'!N152)+($B$11*$C$12)-($B$12*$C$12))/($B$11-$B$12)),IF(AND('Entrada das massas'!N152&lt;=$B$11,'Entrada das massas'!N152&gt;$B$10),'Entrada das massas'!N152-((($C$11-$C$10)*($B$11-'Entrada das massas'!N152)+($B$10*$C$11)-($B$11*$C$11))/($B$10-$B$11)),IF(AND('Entrada das massas'!N152&lt;=$B$10,'Entrada das massas'!N152&gt;$B$9),'Entrada das massas'!N152-((($C$10-$C$9)*($B$10-'Entrada das massas'!N152)+($B$9*$C$10)-($B$10*$C$10))/($B$9-$B$10)),IF(AND('Entrada das massas'!N152&lt;=$B$9,'Entrada das massas'!N152&gt;$B$8),'Entrada das massas'!N152-((($C$9-$C$8)*($B$9-'Entrada das massas'!N152)+($B$8*$C$9)-($B$9*$C$9))/($B$8-$B$9)),IF(AND('Entrada das massas'!N152&lt;=$B$8,'Entrada das massas'!N152&gt;$B$7),'Entrada das massas'!N152-((($C$8-$C$7)*($B$8-'Entrada das massas'!N152)+($B$7*$C$8)-($B$8*$C$8))/($B$7-$B$8)),IF(AND('Entrada das massas'!N152&lt;=$B$7,'Entrada das massas'!N152&gt;$B$6),'Entrada das massas'!N152-((($C$7-$C$6)*($B$7-'Entrada das massas'!N152)+($B$6*$C$7)-($B$7*$C$7))/($B$6-$B$7)),IF(AND('Entrada das massas'!N152&lt;=$B$6,'Entrada das massas'!N152&gt;$B$5),'Entrada das massas'!N152-((($C$6-$C$5)*($B$6-'Entrada das massas'!N152)+($B$5*$C$6)-($B$6*$C$6))/($B$5-$B$6)),IF('Entrada das massas'!N152&lt;=$B$5,'Entrada das massas'!N152-$C$5)))))))))))))))))</f>
        <v/>
      </c>
      <c r="Q172" s="117" t="str">
        <f>IF(P172="","",(IF(AND(P172&lt;=$B$20,P172&gt;$B$19),$D$19+($B$19-P172)/($B$19-$B$20)*($D$20-$D$19),IF(AND(P172&lt;=$B$19,P172&gt;$B$18),$D$18+($B$18-P172)/($B$18-$B$19)*($D$19-$D$18),IF(AND(P172&lt;=$B$18,P172&gt;$B$17),$D$17+($B$17-P172)/($B$17-$B$18)*($D$18-$D$17),IF(AND(P172&lt;=$B$17,P172&gt;$B$16),$D$16+($B$16-P172)/($B$16-$B$17)*($D$17-$D$16),IF(AND(P172&lt;=$B$16,P172&gt;$B$15),$D$15+($B$15-P172)/($B$15-$B$16)*($D$16-$D$15),IF(AND(P172&lt;=$B$15,P172&gt;$B$14),$D$14+($B$14-P172)/($B$14-$B$15)*($D$15-$D$14),IF(AND(P172&lt;=$B$14,P172&gt;$B$13),$D$13+($B$13-P172)/($B$13-$B$14)*($D$14-$D$13),IF(AND(P172&lt;=$B$13,P172&gt;$B$12),$D$12+($B$12-P172)/($B$12-$B$13)*($D$13-$D$12),IF(AND(P172&lt;=$B$12,P172&gt;$B$11),$D$11+($B$11-P172)/($B$11-$B$12)*($D$12-$D$11),IF(AND(P172&lt;=$B$11,P172&gt;$B$10),$D$10+($B$10-P172)/($B$10-$B$11)*($D$11-$D$10),IF(AND(P172&lt;=$B$10,P172&gt;$B$9),$D$9+($B$9-P172)/($B$9-$B$10)*($D$10-$D$9),IF(AND(P172&lt;=$B$9,P172&gt;$B$8),$D$8+($B$8-P172)/($B$8-$B$9)*($D$9-$D$8),IF(AND(P172&lt;=$B$8,P172&gt;$B$7),$D$7+($B$7-P172)/($B$7-$B$8)*($D$8-$D$7),IF(AND(P172&lt;=$B$7,P172&gt;$B$6),$D$6+($B$6-P172)/($B$6-$B$7)*($D$7-$D$6),IF(P172&lt;=$B$6,$D$6)))))))))))))))))</f>
        <v/>
      </c>
      <c r="R172" s="117"/>
      <c r="S172" s="117"/>
      <c r="T172" s="118" t="str">
        <f>IFERROR(R174/R173,"")</f>
        <v/>
      </c>
      <c r="U172" s="93"/>
      <c r="V172" s="115" t="str">
        <f>IF(W171="","","Frasco")</f>
        <v/>
      </c>
      <c r="W172" s="95" t="str">
        <f>IF('Entrada das massas'!S152="","",IF(AND('Entrada das massas'!S152&lt;=$B$20,'Entrada das massas'!S152&gt;$B$19),'Entrada das massas'!S152-((($C$20-$C$19)*($B$20-'Entrada das massas'!S152)+($B$19*$C$20)-($B$20*$C$20))/($B$19-$B$20)),IF(AND('Entrada das massas'!S152&lt;=$B$19,'Entrada das massas'!S152&gt;$B$18),'Entrada das massas'!S152-((($C$19-$C$18)*($B$19-'Entrada das massas'!S152)+($B$18*$C$19)-($B$19*$C$19))/($B$18-$B$19)),IF(AND('Entrada das massas'!S152&lt;=$B$18,'Entrada das massas'!S152&gt;$B$17),'Entrada das massas'!S152-((($C$18-$C$17)*($B$18-'Entrada das massas'!S152)+($B$17*$C$18)-($B$18*$C$18))/($B$17-$B$18)),IF(AND('Entrada das massas'!S152&lt;=$B$17,'Entrada das massas'!S152&gt;$B$16),'Entrada das massas'!S152-((($C$17-$C$16)*($B$17-'Entrada das massas'!S152)+($B$16*$C$17)-($B$17*$C$17))/($B$16-$B$17)),IF(AND('Entrada das massas'!S152&lt;=$B$16,'Entrada das massas'!S152&gt;$B$15),'Entrada das massas'!S152-((($C$16-$C$15)*($B$16-'Entrada das massas'!S152)+($B$15*$C$16)-($B$16*$C$16))/($B$15-$B$16)),IF(AND('Entrada das massas'!S152&lt;=$B$15,'Entrada das massas'!S152&gt;$B$14),'Entrada das massas'!S152-((($C$15-$C$14)*($B$15-'Entrada das massas'!S152)+($B$14*$C$15)-($B$15*$C$15))/($B$14-$B$15)),IF(AND('Entrada das massas'!S152&lt;=$B$14,'Entrada das massas'!S152&gt;$B$13),'Entrada das massas'!S152-((($C$14-$C$13)*($B$14-'Entrada das massas'!S152)+($B$13*$C$14)-($B$14*$C$14))/($B$13-$B$14)),IF(AND('Entrada das massas'!S152&lt;=$B$13,'Entrada das massas'!S152&gt;$B$12),'Entrada das massas'!S152-((($C$13-$C$12)*($B$13-'Entrada das massas'!S152)+($B$12*$C$13)-($B$13*$C$13))/($B$12-$B$13)),IF(AND('Entrada das massas'!S152&lt;=$B$12,'Entrada das massas'!S152&gt;$B$11),'Entrada das massas'!S152-((($C$12-$C$11)*($B$12-'Entrada das massas'!S152)+($B$11*$C$12)-($B$12*$C$12))/($B$11-$B$12)),IF(AND('Entrada das massas'!S152&lt;=$B$11,'Entrada das massas'!S152&gt;$B$10),'Entrada das massas'!S152-((($C$11-$C$10)*($B$11-'Entrada das massas'!S152)+($B$10*$C$11)-($B$11*$C$11))/($B$10-$B$11)),IF(AND('Entrada das massas'!S152&lt;=$B$10,'Entrada das massas'!S152&gt;$B$9),'Entrada das massas'!S152-((($C$10-$C$9)*($B$10-'Entrada das massas'!S152)+($B$9*$C$10)-($B$10*$C$10))/($B$9-$B$10)),IF(AND('Entrada das massas'!S152&lt;=$B$9,'Entrada das massas'!S152&gt;$B$8),'Entrada das massas'!S152-((($C$9-$C$8)*($B$9-'Entrada das massas'!S152)+($B$8*$C$9)-($B$9*$C$9))/($B$8-$B$9)),IF(AND('Entrada das massas'!S152&lt;=$B$8,'Entrada das massas'!S152&gt;$B$7),'Entrada das massas'!S152-((($C$8-$C$7)*($B$8-'Entrada das massas'!S152)+($B$7*$C$8)-($B$8*$C$8))/($B$7-$B$8)),IF(AND('Entrada das massas'!S152&lt;=$B$7,'Entrada das massas'!S152&gt;$B$6),'Entrada das massas'!S152-((($C$7-$C$6)*($B$7-'Entrada das massas'!S152)+($B$6*$C$7)-($B$7*$C$7))/($B$6-$B$7)),IF(AND('Entrada das massas'!S152&lt;=$B$6,'Entrada das massas'!S152&gt;$B$5),'Entrada das massas'!S152-((($C$6-$C$5)*($B$6-'Entrada das massas'!S152)+($B$5*$C$6)-($B$6*$C$6))/($B$5-$B$6)),IF('Entrada das massas'!S152&lt;=$B$5,'Entrada das massas'!S152-$C$5)))))))))))))))))</f>
        <v/>
      </c>
      <c r="X172" s="117" t="str">
        <f>IF(W172="","",(IF(AND(W172&lt;=$B$20,W172&gt;$B$19),$D$19+($B$19-W172)/($B$19-$B$20)*($D$20-$D$19),IF(AND(W172&lt;=$B$19,W172&gt;$B$18),$D$18+($B$18-W172)/($B$18-$B$19)*($D$19-$D$18),IF(AND(W172&lt;=$B$18,W172&gt;$B$17),$D$17+($B$17-W172)/($B$17-$B$18)*($D$18-$D$17),IF(AND(W172&lt;=$B$17,W172&gt;$B$16),$D$16+($B$16-W172)/($B$16-$B$17)*($D$17-$D$16),IF(AND(W172&lt;=$B$16,W172&gt;$B$15),$D$15+($B$15-W172)/($B$15-$B$16)*($D$16-$D$15),IF(AND(W172&lt;=$B$15,W172&gt;$B$14),$D$14+($B$14-W172)/($B$14-$B$15)*($D$15-$D$14),IF(AND(W172&lt;=$B$14,W172&gt;$B$13),$D$13+($B$13-W172)/($B$13-$B$14)*($D$14-$D$13),IF(AND(W172&lt;=$B$13,W172&gt;$B$12),$D$12+($B$12-W172)/($B$12-$B$13)*($D$13-$D$12),IF(AND(W172&lt;=$B$12,W172&gt;$B$11),$D$11+($B$11-W172)/($B$11-$B$12)*($D$12-$D$11),IF(AND(W172&lt;=$B$11,W172&gt;$B$10),$D$10+($B$10-W172)/($B$10-$B$11)*($D$11-$D$10),IF(AND(W172&lt;=$B$10,W172&gt;$B$9),$D$9+($B$9-W172)/($B$9-$B$10)*($D$10-$D$9),IF(AND(W172&lt;=$B$9,W172&gt;$B$8),$D$8+($B$8-W172)/($B$8-$B$9)*($D$9-$D$8),IF(AND(W172&lt;=$B$8,W172&gt;$B$7),$D$7+($B$7-W172)/($B$7-$B$8)*($D$8-$D$7),IF(AND(W172&lt;=$B$7,W172&gt;$B$6),$D$6+($B$6-W172)/($B$6-$B$7)*($D$7-$D$6),IF(W172&lt;=$B$6,$D$6)))))))))))))))))</f>
        <v/>
      </c>
      <c r="Y172" s="117"/>
      <c r="Z172" s="117"/>
      <c r="AA172" s="118" t="str">
        <f>IFERROR(Y174/Y173,"")</f>
        <v/>
      </c>
    </row>
    <row r="173" spans="8:27" x14ac:dyDescent="0.2">
      <c r="H173" s="115" t="str">
        <f>IF(I171="","","Frasco + Amostra")</f>
        <v/>
      </c>
      <c r="I173" s="116" t="str">
        <f>IF('Entrada das massas'!I153="","",IF(AND('Entrada das massas'!I153&lt;=$B$20,'Entrada das massas'!I153&gt;$B$19),'Entrada das massas'!I153-((($C$20-$C$19)*($B$20-'Entrada das massas'!I153)+($B$19*$C$20)-($B$20*$C$20))/($B$19-$B$20)),IF(AND('Entrada das massas'!I153&lt;=$B$19,'Entrada das massas'!I153&gt;$B$18),'Entrada das massas'!I153-((($C$19-$C$18)*($B$19-'Entrada das massas'!I153)+($B$18*$C$19)-($B$19*$C$19))/($B$18-$B$19)),IF(AND('Entrada das massas'!I153&lt;=$B$18,'Entrada das massas'!I153&gt;$B$17),'Entrada das massas'!I153-((($C$18-$C$17)*($B$18-'Entrada das massas'!I153)+($B$17*$C$18)-($B$18*$C$18))/($B$17-$B$18)),IF(AND('Entrada das massas'!I153&lt;=$B$17,'Entrada das massas'!I153&gt;$B$16),'Entrada das massas'!I153-((($C$17-$C$16)*($B$17-'Entrada das massas'!I153)+($B$16*$C$17)-($B$17*$C$17))/($B$16-$B$17)),IF(AND('Entrada das massas'!I153&lt;=$B$16,'Entrada das massas'!I153&gt;$B$15),'Entrada das massas'!I153-((($C$16-$C$15)*($B$16-'Entrada das massas'!I153)+($B$15*$C$16)-($B$16*$C$16))/($B$15-$B$16)),IF(AND('Entrada das massas'!I153&lt;=$B$15,'Entrada das massas'!I153&gt;$B$14),'Entrada das massas'!I153-((($C$15-$C$14)*($B$15-'Entrada das massas'!I153)+($B$14*$C$15)-($B$15*$C$15))/($B$14-$B$15)),IF(AND('Entrada das massas'!I153&lt;=$B$14,'Entrada das massas'!I153&gt;$B$13),'Entrada das massas'!I153-((($C$14-$C$13)*($B$14-'Entrada das massas'!I153)+($B$13*$C$14)-($B$14*$C$14))/($B$13-$B$14)),IF(AND('Entrada das massas'!I153&lt;=$B$13,'Entrada das massas'!I153&gt;$B$12),'Entrada das massas'!I153-((($C$13-$C$12)*($B$13-'Entrada das massas'!I153)+($B$12*$C$13)-($B$13*$C$13))/($B$12-$B$13)),IF(AND('Entrada das massas'!I153&lt;=$B$12,'Entrada das massas'!I153&gt;$B$11),'Entrada das massas'!I153-((($C$12-$C$11)*($B$12-'Entrada das massas'!I153)+($B$11*$C$12)-($B$12*$C$12))/($B$11-$B$12)),IF(AND('Entrada das massas'!I153&lt;=$B$11,'Entrada das massas'!I153&gt;$B$10),'Entrada das massas'!I153-((($C$11-$C$10)*($B$11-'Entrada das massas'!I153)+($B$10*$C$11)-($B$11*$C$11))/($B$10-$B$11)),IF(AND('Entrada das massas'!I153&lt;=$B$10,'Entrada das massas'!I153&gt;$B$9),'Entrada das massas'!I153-((($C$10-$C$9)*($B$10-'Entrada das massas'!I153)+($B$9*$C$10)-($B$10*$C$10))/($B$9-$B$10)),IF(AND('Entrada das massas'!I153&lt;=$B$9,'Entrada das massas'!I153&gt;$B$8),'Entrada das massas'!I153-((($C$9-$C$8)*($B$9-'Entrada das massas'!I153)+($B$8*$C$9)-($B$9*$C$9))/($B$8-$B$9)),IF(AND('Entrada das massas'!I153&lt;=$B$8,'Entrada das massas'!I153&gt;$B$7),'Entrada das massas'!I153-((($C$8-$C$7)*($B$8-'Entrada das massas'!I153)+($B$7*$C$8)-($B$8*$C$8))/($B$7-$B$8)),IF(AND('Entrada das massas'!I153&lt;=$B$7,'Entrada das massas'!I153&gt;$B$6),'Entrada das massas'!I153-((($C$7-$C$6)*($B$7-'Entrada das massas'!I153)+($B$6*$C$7)-($B$7*$C$7))/($B$6-$B$7)),IF(AND('Entrada das massas'!I153&lt;=$B$6,'Entrada das massas'!I153&gt;$B$5),'Entrada das massas'!I153-((($C$6-$C$5)*($B$6-'Entrada das massas'!I153)+($B$5*$C$6)-($B$6*$C$6))/($B$5-$B$6)),IF('Entrada das massas'!I153&lt;=$B$5,'Entrada das massas'!I153-$C$5)))))))))))))))))</f>
        <v/>
      </c>
      <c r="J173" s="117" t="str">
        <f t="shared" ref="J173:J174" si="90">IF(I173="","",(IF(AND(I173&lt;=$B$20,I173&gt;$B$19),$D$19+($B$19-I173)/($B$19-$B$20)*($D$20-$D$19),IF(AND(I173&lt;=$B$19,I173&gt;$B$18),$D$18+($B$18-I173)/($B$18-$B$19)*($D$19-$D$18),IF(AND(I173&lt;=$B$18,I173&gt;$B$17),$D$17+($B$17-I173)/($B$17-$B$18)*($D$18-$D$17),IF(AND(I173&lt;=$B$17,I173&gt;$B$16),$D$16+($B$16-I173)/($B$16-$B$17)*($D$17-$D$16),IF(AND(I173&lt;=$B$16,I173&gt;$B$15),$D$15+($B$15-I173)/($B$15-$B$16)*($D$16-$D$15),IF(AND(I173&lt;=$B$15,I173&gt;$B$14),$D$14+($B$14-I173)/($B$14-$B$15)*($D$15-$D$14),IF(AND(I173&lt;=$B$14,I173&gt;$B$13),$D$13+($B$13-I173)/($B$13-$B$14)*($D$14-$D$13),IF(AND(I173&lt;=$B$13,I173&gt;$B$12),$D$12+($B$12-I173)/($B$12-$B$13)*($D$13-$D$12),IF(AND(I173&lt;=$B$12,I173&gt;$B$11),$D$11+($B$11-I173)/($B$11-$B$12)*($D$12-$D$11),IF(AND(I173&lt;=$B$11,I173&gt;$B$10),$D$10+($B$10-I173)/($B$10-$B$11)*($D$11-$D$10),IF(AND(I173&lt;=$B$10,I173&gt;$B$9),$D$9+($B$9-I173)/($B$9-$B$10)*($D$10-$D$9),IF(AND(I173&lt;=$B$9,I173&gt;$B$8),$D$8+($B$8-I173)/($B$8-$B$9)*($D$9-$D$8),IF(AND(I173&lt;=$B$8,I173&gt;$B$7),$D$7+($B$7-I173)/($B$7-$B$8)*($D$8-$D$7),IF(AND(I173&lt;=$B$7,I173&gt;$B$6),$D$6+($B$6-I173)/($B$6-$B$7)*($D$7-$D$6),IF(I173&lt;=$B$6,$D$6)))))))))))))))))</f>
        <v/>
      </c>
      <c r="K173" s="120" t="str">
        <f>IF(I172="","",I173-I172)</f>
        <v/>
      </c>
      <c r="L173" s="117" t="str">
        <f>IF(J172="","",SQRT(SUMSQ(J172:J173)))</f>
        <v/>
      </c>
      <c r="M173" s="93" t="str">
        <f>IF(I171="","","Amostra")</f>
        <v/>
      </c>
      <c r="N173" s="118"/>
      <c r="O173" s="115" t="str">
        <f>IF(P171="","","Frasco + Amostra")</f>
        <v/>
      </c>
      <c r="P173" s="95" t="str">
        <f>IF('Entrada das massas'!N153="","",IF(AND('Entrada das massas'!N153&lt;=$B$20,'Entrada das massas'!N153&gt;$B$19),'Entrada das massas'!N153-((($C$20-$C$19)*($B$20-'Entrada das massas'!N153)+($B$19*$C$20)-($B$20*$C$20))/($B$19-$B$20)),IF(AND('Entrada das massas'!N153&lt;=$B$19,'Entrada das massas'!N153&gt;$B$18),'Entrada das massas'!N153-((($C$19-$C$18)*($B$19-'Entrada das massas'!N153)+($B$18*$C$19)-($B$19*$C$19))/($B$18-$B$19)),IF(AND('Entrada das massas'!N153&lt;=$B$18,'Entrada das massas'!N153&gt;$B$17),'Entrada das massas'!N153-((($C$18-$C$17)*($B$18-'Entrada das massas'!N153)+($B$17*$C$18)-($B$18*$C$18))/($B$17-$B$18)),IF(AND('Entrada das massas'!N153&lt;=$B$17,'Entrada das massas'!N153&gt;$B$16),'Entrada das massas'!N153-((($C$17-$C$16)*($B$17-'Entrada das massas'!N153)+($B$16*$C$17)-($B$17*$C$17))/($B$16-$B$17)),IF(AND('Entrada das massas'!N153&lt;=$B$16,'Entrada das massas'!N153&gt;$B$15),'Entrada das massas'!N153-((($C$16-$C$15)*($B$16-'Entrada das massas'!N153)+($B$15*$C$16)-($B$16*$C$16))/($B$15-$B$16)),IF(AND('Entrada das massas'!N153&lt;=$B$15,'Entrada das massas'!N153&gt;$B$14),'Entrada das massas'!N153-((($C$15-$C$14)*($B$15-'Entrada das massas'!N153)+($B$14*$C$15)-($B$15*$C$15))/($B$14-$B$15)),IF(AND('Entrada das massas'!N153&lt;=$B$14,'Entrada das massas'!N153&gt;$B$13),'Entrada das massas'!N153-((($C$14-$C$13)*($B$14-'Entrada das massas'!N153)+($B$13*$C$14)-($B$14*$C$14))/($B$13-$B$14)),IF(AND('Entrada das massas'!N153&lt;=$B$13,'Entrada das massas'!N153&gt;$B$12),'Entrada das massas'!N153-((($C$13-$C$12)*($B$13-'Entrada das massas'!N153)+($B$12*$C$13)-($B$13*$C$13))/($B$12-$B$13)),IF(AND('Entrada das massas'!N153&lt;=$B$12,'Entrada das massas'!N153&gt;$B$11),'Entrada das massas'!N153-((($C$12-$C$11)*($B$12-'Entrada das massas'!N153)+($B$11*$C$12)-($B$12*$C$12))/($B$11-$B$12)),IF(AND('Entrada das massas'!N153&lt;=$B$11,'Entrada das massas'!N153&gt;$B$10),'Entrada das massas'!N153-((($C$11-$C$10)*($B$11-'Entrada das massas'!N153)+($B$10*$C$11)-($B$11*$C$11))/($B$10-$B$11)),IF(AND('Entrada das massas'!N153&lt;=$B$10,'Entrada das massas'!N153&gt;$B$9),'Entrada das massas'!N153-((($C$10-$C$9)*($B$10-'Entrada das massas'!N153)+($B$9*$C$10)-($B$10*$C$10))/($B$9-$B$10)),IF(AND('Entrada das massas'!N153&lt;=$B$9,'Entrada das massas'!N153&gt;$B$8),'Entrada das massas'!N153-((($C$9-$C$8)*($B$9-'Entrada das massas'!N153)+($B$8*$C$9)-($B$9*$C$9))/($B$8-$B$9)),IF(AND('Entrada das massas'!N153&lt;=$B$8,'Entrada das massas'!N153&gt;$B$7),'Entrada das massas'!N153-((($C$8-$C$7)*($B$8-'Entrada das massas'!N153)+($B$7*$C$8)-($B$8*$C$8))/($B$7-$B$8)),IF(AND('Entrada das massas'!N153&lt;=$B$7,'Entrada das massas'!N153&gt;$B$6),'Entrada das massas'!N153-((($C$7-$C$6)*($B$7-'Entrada das massas'!N153)+($B$6*$C$7)-($B$7*$C$7))/($B$6-$B$7)),IF(AND('Entrada das massas'!N153&lt;=$B$6,'Entrada das massas'!N153&gt;$B$5),'Entrada das massas'!N153-((($C$6-$C$5)*($B$6-'Entrada das massas'!N153)+($B$5*$C$6)-($B$6*$C$6))/($B$5-$B$6)),IF('Entrada das massas'!N153&lt;=$B$5,'Entrada das massas'!N153-$C$5)))))))))))))))))</f>
        <v/>
      </c>
      <c r="Q173" s="117" t="str">
        <f t="shared" ref="Q173:Q174" si="91">IF(P173="","",(IF(AND(P173&lt;=$B$20,P173&gt;$B$19),$D$19+($B$19-P173)/($B$19-$B$20)*($D$20-$D$19),IF(AND(P173&lt;=$B$19,P173&gt;$B$18),$D$18+($B$18-P173)/($B$18-$B$19)*($D$19-$D$18),IF(AND(P173&lt;=$B$18,P173&gt;$B$17),$D$17+($B$17-P173)/($B$17-$B$18)*($D$18-$D$17),IF(AND(P173&lt;=$B$17,P173&gt;$B$16),$D$16+($B$16-P173)/($B$16-$B$17)*($D$17-$D$16),IF(AND(P173&lt;=$B$16,P173&gt;$B$15),$D$15+($B$15-P173)/($B$15-$B$16)*($D$16-$D$15),IF(AND(P173&lt;=$B$15,P173&gt;$B$14),$D$14+($B$14-P173)/($B$14-$B$15)*($D$15-$D$14),IF(AND(P173&lt;=$B$14,P173&gt;$B$13),$D$13+($B$13-P173)/($B$13-$B$14)*($D$14-$D$13),IF(AND(P173&lt;=$B$13,P173&gt;$B$12),$D$12+($B$12-P173)/($B$12-$B$13)*($D$13-$D$12),IF(AND(P173&lt;=$B$12,P173&gt;$B$11),$D$11+($B$11-P173)/($B$11-$B$12)*($D$12-$D$11),IF(AND(P173&lt;=$B$11,P173&gt;$B$10),$D$10+($B$10-P173)/($B$10-$B$11)*($D$11-$D$10),IF(AND(P173&lt;=$B$10,P173&gt;$B$9),$D$9+($B$9-P173)/($B$9-$B$10)*($D$10-$D$9),IF(AND(P173&lt;=$B$9,P173&gt;$B$8),$D$8+($B$8-P173)/($B$8-$B$9)*($D$9-$D$8),IF(AND(P173&lt;=$B$8,P173&gt;$B$7),$D$7+($B$7-P173)/($B$7-$B$8)*($D$8-$D$7),IF(AND(P173&lt;=$B$7,P173&gt;$B$6),$D$6+($B$6-P173)/($B$6-$B$7)*($D$7-$D$6),IF(P173&lt;=$B$6,$D$6)))))))))))))))))</f>
        <v/>
      </c>
      <c r="R173" s="120" t="str">
        <f>IF(P172="","",P173-P172)</f>
        <v/>
      </c>
      <c r="S173" s="117" t="str">
        <f>IF(Q172="","",SQRT(SUMSQ(Q172:Q173)))</f>
        <v/>
      </c>
      <c r="T173" s="93" t="str">
        <f>IF(P171="","","Amostra")</f>
        <v/>
      </c>
      <c r="U173" s="118"/>
      <c r="V173" s="115" t="str">
        <f>IF(W171="","","Frasco + Amostra")</f>
        <v/>
      </c>
      <c r="W173" s="95" t="str">
        <f>IF('Entrada das massas'!S153="","",IF(AND('Entrada das massas'!S153&lt;=$B$20,'Entrada das massas'!S153&gt;$B$19),'Entrada das massas'!S153-((($C$20-$C$19)*($B$20-'Entrada das massas'!S153)+($B$19*$C$20)-($B$20*$C$20))/($B$19-$B$20)),IF(AND('Entrada das massas'!S153&lt;=$B$19,'Entrada das massas'!S153&gt;$B$18),'Entrada das massas'!S153-((($C$19-$C$18)*($B$19-'Entrada das massas'!S153)+($B$18*$C$19)-($B$19*$C$19))/($B$18-$B$19)),IF(AND('Entrada das massas'!S153&lt;=$B$18,'Entrada das massas'!S153&gt;$B$17),'Entrada das massas'!S153-((($C$18-$C$17)*($B$18-'Entrada das massas'!S153)+($B$17*$C$18)-($B$18*$C$18))/($B$17-$B$18)),IF(AND('Entrada das massas'!S153&lt;=$B$17,'Entrada das massas'!S153&gt;$B$16),'Entrada das massas'!S153-((($C$17-$C$16)*($B$17-'Entrada das massas'!S153)+($B$16*$C$17)-($B$17*$C$17))/($B$16-$B$17)),IF(AND('Entrada das massas'!S153&lt;=$B$16,'Entrada das massas'!S153&gt;$B$15),'Entrada das massas'!S153-((($C$16-$C$15)*($B$16-'Entrada das massas'!S153)+($B$15*$C$16)-($B$16*$C$16))/($B$15-$B$16)),IF(AND('Entrada das massas'!S153&lt;=$B$15,'Entrada das massas'!S153&gt;$B$14),'Entrada das massas'!S153-((($C$15-$C$14)*($B$15-'Entrada das massas'!S153)+($B$14*$C$15)-($B$15*$C$15))/($B$14-$B$15)),IF(AND('Entrada das massas'!S153&lt;=$B$14,'Entrada das massas'!S153&gt;$B$13),'Entrada das massas'!S153-((($C$14-$C$13)*($B$14-'Entrada das massas'!S153)+($B$13*$C$14)-($B$14*$C$14))/($B$13-$B$14)),IF(AND('Entrada das massas'!S153&lt;=$B$13,'Entrada das massas'!S153&gt;$B$12),'Entrada das massas'!S153-((($C$13-$C$12)*($B$13-'Entrada das massas'!S153)+($B$12*$C$13)-($B$13*$C$13))/($B$12-$B$13)),IF(AND('Entrada das massas'!S153&lt;=$B$12,'Entrada das massas'!S153&gt;$B$11),'Entrada das massas'!S153-((($C$12-$C$11)*($B$12-'Entrada das massas'!S153)+($B$11*$C$12)-($B$12*$C$12))/($B$11-$B$12)),IF(AND('Entrada das massas'!S153&lt;=$B$11,'Entrada das massas'!S153&gt;$B$10),'Entrada das massas'!S153-((($C$11-$C$10)*($B$11-'Entrada das massas'!S153)+($B$10*$C$11)-($B$11*$C$11))/($B$10-$B$11)),IF(AND('Entrada das massas'!S153&lt;=$B$10,'Entrada das massas'!S153&gt;$B$9),'Entrada das massas'!S153-((($C$10-$C$9)*($B$10-'Entrada das massas'!S153)+($B$9*$C$10)-($B$10*$C$10))/($B$9-$B$10)),IF(AND('Entrada das massas'!S153&lt;=$B$9,'Entrada das massas'!S153&gt;$B$8),'Entrada das massas'!S153-((($C$9-$C$8)*($B$9-'Entrada das massas'!S153)+($B$8*$C$9)-($B$9*$C$9))/($B$8-$B$9)),IF(AND('Entrada das massas'!S153&lt;=$B$8,'Entrada das massas'!S153&gt;$B$7),'Entrada das massas'!S153-((($C$8-$C$7)*($B$8-'Entrada das massas'!S153)+($B$7*$C$8)-($B$8*$C$8))/($B$7-$B$8)),IF(AND('Entrada das massas'!S153&lt;=$B$7,'Entrada das massas'!S153&gt;$B$6),'Entrada das massas'!S153-((($C$7-$C$6)*($B$7-'Entrada das massas'!S153)+($B$6*$C$7)-($B$7*$C$7))/($B$6-$B$7)),IF(AND('Entrada das massas'!S153&lt;=$B$6,'Entrada das massas'!S153&gt;$B$5),'Entrada das massas'!S153-((($C$6-$C$5)*($B$6-'Entrada das massas'!S153)+($B$5*$C$6)-($B$6*$C$6))/($B$5-$B$6)),IF('Entrada das massas'!S153&lt;=$B$5,'Entrada das massas'!S153-$C$5)))))))))))))))))</f>
        <v/>
      </c>
      <c r="X173" s="117" t="str">
        <f t="shared" ref="X173:X174" si="92">IF(W173="","",(IF(AND(W173&lt;=$B$20,W173&gt;$B$19),$D$19+($B$19-W173)/($B$19-$B$20)*($D$20-$D$19),IF(AND(W173&lt;=$B$19,W173&gt;$B$18),$D$18+($B$18-W173)/($B$18-$B$19)*($D$19-$D$18),IF(AND(W173&lt;=$B$18,W173&gt;$B$17),$D$17+($B$17-W173)/($B$17-$B$18)*($D$18-$D$17),IF(AND(W173&lt;=$B$17,W173&gt;$B$16),$D$16+($B$16-W173)/($B$16-$B$17)*($D$17-$D$16),IF(AND(W173&lt;=$B$16,W173&gt;$B$15),$D$15+($B$15-W173)/($B$15-$B$16)*($D$16-$D$15),IF(AND(W173&lt;=$B$15,W173&gt;$B$14),$D$14+($B$14-W173)/($B$14-$B$15)*($D$15-$D$14),IF(AND(W173&lt;=$B$14,W173&gt;$B$13),$D$13+($B$13-W173)/($B$13-$B$14)*($D$14-$D$13),IF(AND(W173&lt;=$B$13,W173&gt;$B$12),$D$12+($B$12-W173)/($B$12-$B$13)*($D$13-$D$12),IF(AND(W173&lt;=$B$12,W173&gt;$B$11),$D$11+($B$11-W173)/($B$11-$B$12)*($D$12-$D$11),IF(AND(W173&lt;=$B$11,W173&gt;$B$10),$D$10+($B$10-W173)/($B$10-$B$11)*($D$11-$D$10),IF(AND(W173&lt;=$B$10,W173&gt;$B$9),$D$9+($B$9-W173)/($B$9-$B$10)*($D$10-$D$9),IF(AND(W173&lt;=$B$9,W173&gt;$B$8),$D$8+($B$8-W173)/($B$8-$B$9)*($D$9-$D$8),IF(AND(W173&lt;=$B$8,W173&gt;$B$7),$D$7+($B$7-W173)/($B$7-$B$8)*($D$8-$D$7),IF(AND(W173&lt;=$B$7,W173&gt;$B$6),$D$6+($B$6-W173)/($B$6-$B$7)*($D$7-$D$6),IF(W173&lt;=$B$6,$D$6)))))))))))))))))</f>
        <v/>
      </c>
      <c r="Y173" s="120" t="str">
        <f>IF(W172="","",W173-W172)</f>
        <v/>
      </c>
      <c r="Z173" s="117" t="str">
        <f>IF(X172="","",SQRT(SUMSQ(X172:X173)))</f>
        <v/>
      </c>
      <c r="AA173" s="93" t="str">
        <f>IF(W171="","","Amostra")</f>
        <v/>
      </c>
    </row>
    <row r="174" spans="8:27" x14ac:dyDescent="0.2">
      <c r="H174" s="123" t="str">
        <f>IF(I171="","","Massa final")</f>
        <v/>
      </c>
      <c r="I174" s="116" t="str">
        <f>IF('Entrada das massas'!I154="","",IF(AND('Entrada das massas'!I154&lt;=$B$20,'Entrada das massas'!I154&gt;$B$19),'Entrada das massas'!I154-((($C$20-$C$19)*($B$20-'Entrada das massas'!I154)+($B$19*$C$20)-($B$20*$C$20))/($B$19-$B$20)),IF(AND('Entrada das massas'!I154&lt;=$B$19,'Entrada das massas'!I154&gt;$B$18),'Entrada das massas'!I154-((($C$19-$C$18)*($B$19-'Entrada das massas'!I154)+($B$18*$C$19)-($B$19*$C$19))/($B$18-$B$19)),IF(AND('Entrada das massas'!I154&lt;=$B$18,'Entrada das massas'!I154&gt;$B$17),'Entrada das massas'!I154-((($C$18-$C$17)*($B$18-'Entrada das massas'!I154)+($B$17*$C$18)-($B$18*$C$18))/($B$17-$B$18)),IF(AND('Entrada das massas'!I154&lt;=$B$17,'Entrada das massas'!I154&gt;$B$16),'Entrada das massas'!I154-((($C$17-$C$16)*($B$17-'Entrada das massas'!I154)+($B$16*$C$17)-($B$17*$C$17))/($B$16-$B$17)),IF(AND('Entrada das massas'!I154&lt;=$B$16,'Entrada das massas'!I154&gt;$B$15),'Entrada das massas'!I154-((($C$16-$C$15)*($B$16-'Entrada das massas'!I154)+($B$15*$C$16)-($B$16*$C$16))/($B$15-$B$16)),IF(AND('Entrada das massas'!I154&lt;=$B$15,'Entrada das massas'!I154&gt;$B$14),'Entrada das massas'!I154-((($C$15-$C$14)*($B$15-'Entrada das massas'!I154)+($B$14*$C$15)-($B$15*$C$15))/($B$14-$B$15)),IF(AND('Entrada das massas'!I154&lt;=$B$14,'Entrada das massas'!I154&gt;$B$13),'Entrada das massas'!I154-((($C$14-$C$13)*($B$14-'Entrada das massas'!I154)+($B$13*$C$14)-($B$14*$C$14))/($B$13-$B$14)),IF(AND('Entrada das massas'!I154&lt;=$B$13,'Entrada das massas'!I154&gt;$B$12),'Entrada das massas'!I154-((($C$13-$C$12)*($B$13-'Entrada das massas'!I154)+($B$12*$C$13)-($B$13*$C$13))/($B$12-$B$13)),IF(AND('Entrada das massas'!I154&lt;=$B$12,'Entrada das massas'!I154&gt;$B$11),'Entrada das massas'!I154-((($C$12-$C$11)*($B$12-'Entrada das massas'!I154)+($B$11*$C$12)-($B$12*$C$12))/($B$11-$B$12)),IF(AND('Entrada das massas'!I154&lt;=$B$11,'Entrada das massas'!I154&gt;$B$10),'Entrada das massas'!I154-((($C$11-$C$10)*($B$11-'Entrada das massas'!I154)+($B$10*$C$11)-($B$11*$C$11))/($B$10-$B$11)),IF(AND('Entrada das massas'!I154&lt;=$B$10,'Entrada das massas'!I154&gt;$B$9),'Entrada das massas'!I154-((($C$10-$C$9)*($B$10-'Entrada das massas'!I154)+($B$9*$C$10)-($B$10*$C$10))/($B$9-$B$10)),IF(AND('Entrada das massas'!I154&lt;=$B$9,'Entrada das massas'!I154&gt;$B$8),'Entrada das massas'!I154-((($C$9-$C$8)*($B$9-'Entrada das massas'!I154)+($B$8*$C$9)-($B$9*$C$9))/($B$8-$B$9)),IF(AND('Entrada das massas'!I154&lt;=$B$8,'Entrada das massas'!I154&gt;$B$7),'Entrada das massas'!I154-((($C$8-$C$7)*($B$8-'Entrada das massas'!I154)+($B$7*$C$8)-($B$8*$C$8))/($B$7-$B$8)),IF(AND('Entrada das massas'!I154&lt;=$B$7,'Entrada das massas'!I154&gt;$B$6),'Entrada das massas'!I154-((($C$7-$C$6)*($B$7-'Entrada das massas'!I154)+($B$6*$C$7)-($B$7*$C$7))/($B$6-$B$7)),IF(AND('Entrada das massas'!I154&lt;=$B$6,'Entrada das massas'!I154&gt;$B$5),'Entrada das massas'!I154-((($C$6-$C$5)*($B$6-'Entrada das massas'!I154)+($B$5*$C$6)-($B$6*$C$6))/($B$5-$B$6)),IF('Entrada das massas'!I154&lt;=$B$5,'Entrada das massas'!I154-$C$5)))))))))))))))))</f>
        <v/>
      </c>
      <c r="J174" s="117" t="str">
        <f t="shared" si="90"/>
        <v/>
      </c>
      <c r="K174" s="120" t="str">
        <f>IF(I172="","",I174-I172)</f>
        <v/>
      </c>
      <c r="L174" s="117" t="str">
        <f>IF(J172="","",SQRT(SUMSQ(J172,J174)))</f>
        <v/>
      </c>
      <c r="M174" s="93" t="str">
        <f>IF(I171="","","Solução")</f>
        <v/>
      </c>
      <c r="N174" s="93"/>
      <c r="O174" s="123" t="str">
        <f>IF(P171="","","Massa final")</f>
        <v/>
      </c>
      <c r="P174" s="95" t="str">
        <f>IF('Entrada das massas'!N154="","",IF(AND('Entrada das massas'!N154&lt;=$B$20,'Entrada das massas'!N154&gt;$B$19),'Entrada das massas'!N154-((($C$20-$C$19)*($B$20-'Entrada das massas'!N154)+($B$19*$C$20)-($B$20*$C$20))/($B$19-$B$20)),IF(AND('Entrada das massas'!N154&lt;=$B$19,'Entrada das massas'!N154&gt;$B$18),'Entrada das massas'!N154-((($C$19-$C$18)*($B$19-'Entrada das massas'!N154)+($B$18*$C$19)-($B$19*$C$19))/($B$18-$B$19)),IF(AND('Entrada das massas'!N154&lt;=$B$18,'Entrada das massas'!N154&gt;$B$17),'Entrada das massas'!N154-((($C$18-$C$17)*($B$18-'Entrada das massas'!N154)+($B$17*$C$18)-($B$18*$C$18))/($B$17-$B$18)),IF(AND('Entrada das massas'!N154&lt;=$B$17,'Entrada das massas'!N154&gt;$B$16),'Entrada das massas'!N154-((($C$17-$C$16)*($B$17-'Entrada das massas'!N154)+($B$16*$C$17)-($B$17*$C$17))/($B$16-$B$17)),IF(AND('Entrada das massas'!N154&lt;=$B$16,'Entrada das massas'!N154&gt;$B$15),'Entrada das massas'!N154-((($C$16-$C$15)*($B$16-'Entrada das massas'!N154)+($B$15*$C$16)-($B$16*$C$16))/($B$15-$B$16)),IF(AND('Entrada das massas'!N154&lt;=$B$15,'Entrada das massas'!N154&gt;$B$14),'Entrada das massas'!N154-((($C$15-$C$14)*($B$15-'Entrada das massas'!N154)+($B$14*$C$15)-($B$15*$C$15))/($B$14-$B$15)),IF(AND('Entrada das massas'!N154&lt;=$B$14,'Entrada das massas'!N154&gt;$B$13),'Entrada das massas'!N154-((($C$14-$C$13)*($B$14-'Entrada das massas'!N154)+($B$13*$C$14)-($B$14*$C$14))/($B$13-$B$14)),IF(AND('Entrada das massas'!N154&lt;=$B$13,'Entrada das massas'!N154&gt;$B$12),'Entrada das massas'!N154-((($C$13-$C$12)*($B$13-'Entrada das massas'!N154)+($B$12*$C$13)-($B$13*$C$13))/($B$12-$B$13)),IF(AND('Entrada das massas'!N154&lt;=$B$12,'Entrada das massas'!N154&gt;$B$11),'Entrada das massas'!N154-((($C$12-$C$11)*($B$12-'Entrada das massas'!N154)+($B$11*$C$12)-($B$12*$C$12))/($B$11-$B$12)),IF(AND('Entrada das massas'!N154&lt;=$B$11,'Entrada das massas'!N154&gt;$B$10),'Entrada das massas'!N154-((($C$11-$C$10)*($B$11-'Entrada das massas'!N154)+($B$10*$C$11)-($B$11*$C$11))/($B$10-$B$11)),IF(AND('Entrada das massas'!N154&lt;=$B$10,'Entrada das massas'!N154&gt;$B$9),'Entrada das massas'!N154-((($C$10-$C$9)*($B$10-'Entrada das massas'!N154)+($B$9*$C$10)-($B$10*$C$10))/($B$9-$B$10)),IF(AND('Entrada das massas'!N154&lt;=$B$9,'Entrada das massas'!N154&gt;$B$8),'Entrada das massas'!N154-((($C$9-$C$8)*($B$9-'Entrada das massas'!N154)+($B$8*$C$9)-($B$9*$C$9))/($B$8-$B$9)),IF(AND('Entrada das massas'!N154&lt;=$B$8,'Entrada das massas'!N154&gt;$B$7),'Entrada das massas'!N154-((($C$8-$C$7)*($B$8-'Entrada das massas'!N154)+($B$7*$C$8)-($B$8*$C$8))/($B$7-$B$8)),IF(AND('Entrada das massas'!N154&lt;=$B$7,'Entrada das massas'!N154&gt;$B$6),'Entrada das massas'!N154-((($C$7-$C$6)*($B$7-'Entrada das massas'!N154)+($B$6*$C$7)-($B$7*$C$7))/($B$6-$B$7)),IF(AND('Entrada das massas'!N154&lt;=$B$6,'Entrada das massas'!N154&gt;$B$5),'Entrada das massas'!N154-((($C$6-$C$5)*($B$6-'Entrada das massas'!N154)+($B$5*$C$6)-($B$6*$C$6))/($B$5-$B$6)),IF('Entrada das massas'!N154&lt;=$B$5,'Entrada das massas'!N154-$C$5)))))))))))))))))</f>
        <v/>
      </c>
      <c r="Q174" s="117" t="str">
        <f t="shared" si="91"/>
        <v/>
      </c>
      <c r="R174" s="120" t="str">
        <f>IF(P172="","",P174-P172)</f>
        <v/>
      </c>
      <c r="S174" s="117" t="str">
        <f>IF(Q172="","",SQRT(SUMSQ(Q172,Q174)))</f>
        <v/>
      </c>
      <c r="T174" s="93" t="str">
        <f>IF(P171="","","Solução")</f>
        <v/>
      </c>
      <c r="U174" s="93"/>
      <c r="V174" s="123" t="str">
        <f>IF(W171="","","Massa final")</f>
        <v/>
      </c>
      <c r="W174" s="95" t="str">
        <f>IF('Entrada das massas'!S154="","",IF(AND('Entrada das massas'!S154&lt;=$B$20,'Entrada das massas'!S154&gt;$B$19),'Entrada das massas'!S154-((($C$20-$C$19)*($B$20-'Entrada das massas'!S154)+($B$19*$C$20)-($B$20*$C$20))/($B$19-$B$20)),IF(AND('Entrada das massas'!S154&lt;=$B$19,'Entrada das massas'!S154&gt;$B$18),'Entrada das massas'!S154-((($C$19-$C$18)*($B$19-'Entrada das massas'!S154)+($B$18*$C$19)-($B$19*$C$19))/($B$18-$B$19)),IF(AND('Entrada das massas'!S154&lt;=$B$18,'Entrada das massas'!S154&gt;$B$17),'Entrada das massas'!S154-((($C$18-$C$17)*($B$18-'Entrada das massas'!S154)+($B$17*$C$18)-($B$18*$C$18))/($B$17-$B$18)),IF(AND('Entrada das massas'!S154&lt;=$B$17,'Entrada das massas'!S154&gt;$B$16),'Entrada das massas'!S154-((($C$17-$C$16)*($B$17-'Entrada das massas'!S154)+($B$16*$C$17)-($B$17*$C$17))/($B$16-$B$17)),IF(AND('Entrada das massas'!S154&lt;=$B$16,'Entrada das massas'!S154&gt;$B$15),'Entrada das massas'!S154-((($C$16-$C$15)*($B$16-'Entrada das massas'!S154)+($B$15*$C$16)-($B$16*$C$16))/($B$15-$B$16)),IF(AND('Entrada das massas'!S154&lt;=$B$15,'Entrada das massas'!S154&gt;$B$14),'Entrada das massas'!S154-((($C$15-$C$14)*($B$15-'Entrada das massas'!S154)+($B$14*$C$15)-($B$15*$C$15))/($B$14-$B$15)),IF(AND('Entrada das massas'!S154&lt;=$B$14,'Entrada das massas'!S154&gt;$B$13),'Entrada das massas'!S154-((($C$14-$C$13)*($B$14-'Entrada das massas'!S154)+($B$13*$C$14)-($B$14*$C$14))/($B$13-$B$14)),IF(AND('Entrada das massas'!S154&lt;=$B$13,'Entrada das massas'!S154&gt;$B$12),'Entrada das massas'!S154-((($C$13-$C$12)*($B$13-'Entrada das massas'!S154)+($B$12*$C$13)-($B$13*$C$13))/($B$12-$B$13)),IF(AND('Entrada das massas'!S154&lt;=$B$12,'Entrada das massas'!S154&gt;$B$11),'Entrada das massas'!S154-((($C$12-$C$11)*($B$12-'Entrada das massas'!S154)+($B$11*$C$12)-($B$12*$C$12))/($B$11-$B$12)),IF(AND('Entrada das massas'!S154&lt;=$B$11,'Entrada das massas'!S154&gt;$B$10),'Entrada das massas'!S154-((($C$11-$C$10)*($B$11-'Entrada das massas'!S154)+($B$10*$C$11)-($B$11*$C$11))/($B$10-$B$11)),IF(AND('Entrada das massas'!S154&lt;=$B$10,'Entrada das massas'!S154&gt;$B$9),'Entrada das massas'!S154-((($C$10-$C$9)*($B$10-'Entrada das massas'!S154)+($B$9*$C$10)-($B$10*$C$10))/($B$9-$B$10)),IF(AND('Entrada das massas'!S154&lt;=$B$9,'Entrada das massas'!S154&gt;$B$8),'Entrada das massas'!S154-((($C$9-$C$8)*($B$9-'Entrada das massas'!S154)+($B$8*$C$9)-($B$9*$C$9))/($B$8-$B$9)),IF(AND('Entrada das massas'!S154&lt;=$B$8,'Entrada das massas'!S154&gt;$B$7),'Entrada das massas'!S154-((($C$8-$C$7)*($B$8-'Entrada das massas'!S154)+($B$7*$C$8)-($B$8*$C$8))/($B$7-$B$8)),IF(AND('Entrada das massas'!S154&lt;=$B$7,'Entrada das massas'!S154&gt;$B$6),'Entrada das massas'!S154-((($C$7-$C$6)*($B$7-'Entrada das massas'!S154)+($B$6*$C$7)-($B$7*$C$7))/($B$6-$B$7)),IF(AND('Entrada das massas'!S154&lt;=$B$6,'Entrada das massas'!S154&gt;$B$5),'Entrada das massas'!S154-((($C$6-$C$5)*($B$6-'Entrada das massas'!S154)+($B$5*$C$6)-($B$6*$C$6))/($B$5-$B$6)),IF('Entrada das massas'!S154&lt;=$B$5,'Entrada das massas'!S154-$C$5)))))))))))))))))</f>
        <v/>
      </c>
      <c r="X174" s="117" t="str">
        <f t="shared" si="92"/>
        <v/>
      </c>
      <c r="Y174" s="120" t="str">
        <f>IF(W172="","",W174-W172)</f>
        <v/>
      </c>
      <c r="Z174" s="117" t="str">
        <f>IF(X172="","",SQRT(SUMSQ(X172,X174)))</f>
        <v/>
      </c>
      <c r="AA174" s="93" t="str">
        <f>IF(W171="","","Solução")</f>
        <v/>
      </c>
    </row>
    <row r="175" spans="8:27" x14ac:dyDescent="0.2">
      <c r="H175" s="98"/>
      <c r="I175" s="93"/>
      <c r="J175" s="144"/>
      <c r="K175" s="139"/>
      <c r="L175" s="139"/>
      <c r="M175" s="98"/>
      <c r="N175" s="98"/>
      <c r="O175" s="98"/>
      <c r="P175" s="93"/>
      <c r="Q175" s="120"/>
      <c r="R175" s="120"/>
      <c r="S175" s="120"/>
      <c r="T175" s="98"/>
      <c r="U175" s="98"/>
      <c r="V175" s="98"/>
      <c r="W175" s="93"/>
      <c r="X175" s="120"/>
      <c r="Y175" s="120"/>
      <c r="Z175" s="120"/>
      <c r="AA175" s="98"/>
    </row>
    <row r="177" spans="8:8" x14ac:dyDescent="0.2">
      <c r="H177" s="107"/>
    </row>
    <row r="178" spans="8:8" x14ac:dyDescent="0.2">
      <c r="H178" s="165"/>
    </row>
    <row r="179" spans="8:8" x14ac:dyDescent="0.2">
      <c r="H179" s="165"/>
    </row>
    <row r="180" spans="8:8" x14ac:dyDescent="0.2">
      <c r="H180" s="166"/>
    </row>
    <row r="182" spans="8:8" x14ac:dyDescent="0.2">
      <c r="H182" s="107"/>
    </row>
    <row r="183" spans="8:8" x14ac:dyDescent="0.2">
      <c r="H183" s="165"/>
    </row>
    <row r="184" spans="8:8" x14ac:dyDescent="0.2">
      <c r="H184" s="165"/>
    </row>
    <row r="185" spans="8:8" x14ac:dyDescent="0.2">
      <c r="H185" s="166"/>
    </row>
  </sheetData>
  <sheetProtection password="C7DA" sheet="1" objects="1" scenarios="1"/>
  <mergeCells count="15">
    <mergeCell ref="G2:H2"/>
    <mergeCell ref="A61:F61"/>
    <mergeCell ref="A66:F66"/>
    <mergeCell ref="A23:F23"/>
    <mergeCell ref="A41:F41"/>
    <mergeCell ref="A24:F24"/>
    <mergeCell ref="A46:F46"/>
    <mergeCell ref="A51:F51"/>
    <mergeCell ref="A56:F56"/>
    <mergeCell ref="A36:F36"/>
    <mergeCell ref="O24:T24"/>
    <mergeCell ref="V24:AA24"/>
    <mergeCell ref="H24:M24"/>
    <mergeCell ref="A26:F26"/>
    <mergeCell ref="A31:F31"/>
  </mergeCells>
  <phoneticPr fontId="0" type="noConversion"/>
  <conditionalFormatting sqref="H26:AA192">
    <cfRule type="notContainsBlanks" dxfId="694" priority="12" stopIfTrue="1">
      <formula>LEN(TRIM(H26))&gt;0</formula>
    </cfRule>
  </conditionalFormatting>
  <pageMargins left="0.78740157499999996" right="0.78740157499999996" top="0.984251969" bottom="0.984251969" header="0.49212598499999999" footer="0.49212598499999999"/>
  <pageSetup paperSize="9" orientation="portrait" horizontalDpi="1200" verticalDpi="1200" r:id="rId1"/>
  <headerFooter alignWithMargins="0"/>
  <ignoredErrors>
    <ignoredError sqref="B6:B1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P166"/>
  <sheetViews>
    <sheetView topLeftCell="A7" workbookViewId="0">
      <selection activeCell="G16" sqref="G16"/>
    </sheetView>
  </sheetViews>
  <sheetFormatPr defaultRowHeight="12.75" x14ac:dyDescent="0.2"/>
  <cols>
    <col min="1" max="1" width="14.28515625" style="92" customWidth="1"/>
    <col min="2" max="2" width="14" style="92" customWidth="1"/>
    <col min="3" max="4" width="12.28515625" style="92" bestFit="1" customWidth="1"/>
    <col min="5" max="8" width="12.28515625" style="92" customWidth="1"/>
    <col min="9" max="16384" width="9.140625" style="92"/>
  </cols>
  <sheetData>
    <row r="1" spans="1:13" ht="35.25" thickBot="1" x14ac:dyDescent="0.5">
      <c r="A1" s="84" t="s">
        <v>29</v>
      </c>
      <c r="B1" s="6"/>
      <c r="C1" s="564"/>
      <c r="D1" s="565"/>
    </row>
    <row r="2" spans="1:13" ht="35.25" thickBot="1" x14ac:dyDescent="0.25">
      <c r="A2" s="7" t="s">
        <v>109</v>
      </c>
      <c r="B2" s="6"/>
      <c r="C2" s="583"/>
      <c r="D2" s="565"/>
    </row>
    <row r="3" spans="1:13" x14ac:dyDescent="0.2">
      <c r="A3" s="167"/>
      <c r="B3" s="581" t="s">
        <v>64</v>
      </c>
      <c r="C3" s="582"/>
      <c r="D3" s="582"/>
      <c r="E3" s="581"/>
      <c r="F3" s="581"/>
      <c r="G3" s="581"/>
      <c r="H3" s="581"/>
    </row>
    <row r="4" spans="1:13" x14ac:dyDescent="0.2">
      <c r="A4" s="168" t="s">
        <v>26</v>
      </c>
      <c r="B4" s="167" t="s">
        <v>23</v>
      </c>
      <c r="C4" s="167" t="s">
        <v>32</v>
      </c>
      <c r="D4" s="167" t="s">
        <v>33</v>
      </c>
      <c r="E4" s="167" t="s">
        <v>34</v>
      </c>
      <c r="F4" s="167" t="s">
        <v>35</v>
      </c>
      <c r="G4" s="167" t="s">
        <v>36</v>
      </c>
      <c r="H4" s="167" t="s">
        <v>37</v>
      </c>
    </row>
    <row r="5" spans="1:13" x14ac:dyDescent="0.2">
      <c r="A5" s="168">
        <v>1</v>
      </c>
      <c r="B5" s="178">
        <v>1147.8699999999999</v>
      </c>
      <c r="C5" s="178">
        <v>74536.31</v>
      </c>
      <c r="D5" s="178">
        <v>115519.93</v>
      </c>
      <c r="E5" s="178">
        <v>138944.35</v>
      </c>
      <c r="F5" s="178">
        <v>169874.87</v>
      </c>
      <c r="G5" s="502">
        <v>220169.2</v>
      </c>
      <c r="H5" s="503">
        <v>282747.92</v>
      </c>
    </row>
    <row r="6" spans="1:13" x14ac:dyDescent="0.2">
      <c r="A6" s="168">
        <v>2</v>
      </c>
      <c r="B6" s="178">
        <v>1085.06</v>
      </c>
      <c r="C6" s="178">
        <v>75806.55</v>
      </c>
      <c r="D6" s="178">
        <v>115952.18</v>
      </c>
      <c r="E6" s="178">
        <v>137590.39000000001</v>
      </c>
      <c r="F6" s="178">
        <v>173125.94</v>
      </c>
      <c r="G6" s="502">
        <v>223741.03</v>
      </c>
      <c r="H6" s="503">
        <v>277161.99</v>
      </c>
    </row>
    <row r="7" spans="1:13" x14ac:dyDescent="0.2">
      <c r="A7" s="168">
        <v>3</v>
      </c>
      <c r="B7" s="178">
        <v>1084.8599999999999</v>
      </c>
      <c r="C7" s="178">
        <v>76480.97</v>
      </c>
      <c r="D7" s="178">
        <v>117231.23</v>
      </c>
      <c r="E7" s="178">
        <v>136917.54999999999</v>
      </c>
      <c r="F7" s="178">
        <v>173186.48</v>
      </c>
      <c r="G7" s="502">
        <v>223535.47</v>
      </c>
      <c r="H7" s="503">
        <v>278682.02</v>
      </c>
    </row>
    <row r="8" spans="1:13" x14ac:dyDescent="0.2">
      <c r="A8" s="168">
        <v>4</v>
      </c>
      <c r="B8" s="178">
        <v>1100.67</v>
      </c>
      <c r="C8" s="178">
        <v>77182.259999999995</v>
      </c>
      <c r="D8" s="178">
        <v>118498.71</v>
      </c>
      <c r="E8" s="178">
        <v>137232.24</v>
      </c>
      <c r="F8" s="178">
        <v>175045.79</v>
      </c>
      <c r="G8" s="502">
        <v>224635.28</v>
      </c>
      <c r="H8" s="503">
        <v>279727.81</v>
      </c>
    </row>
    <row r="9" spans="1:13" x14ac:dyDescent="0.2">
      <c r="A9" s="168">
        <v>5</v>
      </c>
      <c r="B9" s="178">
        <v>1106.27</v>
      </c>
      <c r="C9" s="178">
        <v>77857.98</v>
      </c>
      <c r="D9" s="178">
        <v>118365.59</v>
      </c>
      <c r="E9" s="178">
        <v>138945.37</v>
      </c>
      <c r="F9" s="178">
        <v>176333.11</v>
      </c>
      <c r="G9" s="502">
        <v>221289.92</v>
      </c>
      <c r="H9" s="503">
        <v>282419.55</v>
      </c>
      <c r="M9" s="169"/>
    </row>
    <row r="10" spans="1:13" x14ac:dyDescent="0.2">
      <c r="A10" s="168">
        <v>6</v>
      </c>
      <c r="B10" s="178">
        <v>1075.6600000000001</v>
      </c>
      <c r="C10" s="178">
        <v>77613.3</v>
      </c>
      <c r="D10" s="178">
        <v>118830.6</v>
      </c>
      <c r="E10" s="178">
        <v>139908.57</v>
      </c>
      <c r="F10" s="178">
        <v>176232.38</v>
      </c>
      <c r="G10" s="502">
        <v>221391.14</v>
      </c>
      <c r="H10" s="503">
        <v>281449.96000000002</v>
      </c>
    </row>
    <row r="11" spans="1:13" x14ac:dyDescent="0.2">
      <c r="A11" s="168">
        <v>7</v>
      </c>
      <c r="B11" s="178">
        <v>1078.46</v>
      </c>
      <c r="C11" s="178">
        <v>77164.509999999995</v>
      </c>
      <c r="D11" s="178">
        <v>116754.56</v>
      </c>
      <c r="E11" s="178">
        <v>139282.06</v>
      </c>
      <c r="F11" s="178">
        <v>176470.95</v>
      </c>
      <c r="G11" s="502">
        <v>221848.08</v>
      </c>
      <c r="H11" s="503">
        <v>282388.19</v>
      </c>
    </row>
    <row r="13" spans="1:13" x14ac:dyDescent="0.2">
      <c r="A13" s="170"/>
      <c r="B13" s="581" t="s">
        <v>65</v>
      </c>
      <c r="C13" s="581"/>
      <c r="D13" s="581"/>
      <c r="E13" s="581"/>
      <c r="F13" s="581"/>
      <c r="G13" s="581"/>
      <c r="H13" s="581"/>
    </row>
    <row r="14" spans="1:13" x14ac:dyDescent="0.2">
      <c r="A14" s="168" t="s">
        <v>26</v>
      </c>
      <c r="B14" s="167" t="s">
        <v>23</v>
      </c>
      <c r="C14" s="167" t="s">
        <v>32</v>
      </c>
      <c r="D14" s="167" t="s">
        <v>33</v>
      </c>
      <c r="E14" s="167" t="s">
        <v>34</v>
      </c>
      <c r="F14" s="167" t="s">
        <v>35</v>
      </c>
      <c r="G14" s="167" t="s">
        <v>36</v>
      </c>
      <c r="H14" s="167" t="s">
        <v>37</v>
      </c>
    </row>
    <row r="15" spans="1:13" x14ac:dyDescent="0.2">
      <c r="A15" s="168">
        <v>1</v>
      </c>
      <c r="B15" s="171">
        <f>IF(B5="","",B5-(AVERAGE($B$5:$B$11)))</f>
        <v>50.891428571428605</v>
      </c>
      <c r="C15" s="171">
        <f>IF(C5="","",C5-(AVERAGE($B$5:$B$11)))</f>
        <v>73439.33142857143</v>
      </c>
      <c r="D15" s="171">
        <f t="shared" ref="D15:H15" si="0">IF(D5="","",D5-(AVERAGE($B$5:$B$11)))</f>
        <v>114422.95142857142</v>
      </c>
      <c r="E15" s="171">
        <f t="shared" si="0"/>
        <v>137847.37142857144</v>
      </c>
      <c r="F15" s="171">
        <f t="shared" si="0"/>
        <v>168777.89142857143</v>
      </c>
      <c r="G15" s="171">
        <f t="shared" si="0"/>
        <v>219072.22142857144</v>
      </c>
      <c r="H15" s="171">
        <f t="shared" si="0"/>
        <v>281650.94142857142</v>
      </c>
    </row>
    <row r="16" spans="1:13" x14ac:dyDescent="0.2">
      <c r="A16" s="168">
        <v>2</v>
      </c>
      <c r="B16" s="171">
        <f t="shared" ref="B16:H21" si="1">IF(B6="","",B6-(AVERAGE($B$5:$B$11)))</f>
        <v>-11.91857142857134</v>
      </c>
      <c r="C16" s="171">
        <f t="shared" si="1"/>
        <v>74709.571428571435</v>
      </c>
      <c r="D16" s="171">
        <f t="shared" si="1"/>
        <v>114855.20142857142</v>
      </c>
      <c r="E16" s="171">
        <f t="shared" si="1"/>
        <v>136493.41142857145</v>
      </c>
      <c r="F16" s="171">
        <f t="shared" si="1"/>
        <v>172028.96142857143</v>
      </c>
      <c r="G16" s="171">
        <f t="shared" si="1"/>
        <v>222644.05142857143</v>
      </c>
      <c r="H16" s="171">
        <f t="shared" si="1"/>
        <v>276065.01142857142</v>
      </c>
    </row>
    <row r="17" spans="1:16" x14ac:dyDescent="0.2">
      <c r="A17" s="168">
        <v>3</v>
      </c>
      <c r="B17" s="171">
        <f t="shared" si="1"/>
        <v>-12.118571428571386</v>
      </c>
      <c r="C17" s="171">
        <f t="shared" si="1"/>
        <v>75383.991428571433</v>
      </c>
      <c r="D17" s="171">
        <f t="shared" si="1"/>
        <v>116134.25142857143</v>
      </c>
      <c r="E17" s="171">
        <f t="shared" si="1"/>
        <v>135820.57142857142</v>
      </c>
      <c r="F17" s="171">
        <f t="shared" si="1"/>
        <v>172089.50142857144</v>
      </c>
      <c r="G17" s="171">
        <f t="shared" si="1"/>
        <v>222438.49142857143</v>
      </c>
      <c r="H17" s="171">
        <f t="shared" si="1"/>
        <v>277585.04142857145</v>
      </c>
    </row>
    <row r="18" spans="1:16" x14ac:dyDescent="0.2">
      <c r="A18" s="168">
        <v>4</v>
      </c>
      <c r="B18" s="171">
        <f t="shared" si="1"/>
        <v>3.6914285714287871</v>
      </c>
      <c r="C18" s="171">
        <f t="shared" si="1"/>
        <v>76085.281428571427</v>
      </c>
      <c r="D18" s="171">
        <f t="shared" si="1"/>
        <v>117401.73142857144</v>
      </c>
      <c r="E18" s="171">
        <f t="shared" si="1"/>
        <v>136135.26142857142</v>
      </c>
      <c r="F18" s="171">
        <f t="shared" si="1"/>
        <v>173948.81142857144</v>
      </c>
      <c r="G18" s="171">
        <f t="shared" si="1"/>
        <v>223538.30142857143</v>
      </c>
      <c r="H18" s="171">
        <f t="shared" si="1"/>
        <v>278630.83142857143</v>
      </c>
    </row>
    <row r="19" spans="1:16" x14ac:dyDescent="0.2">
      <c r="A19" s="168">
        <v>5</v>
      </c>
      <c r="B19" s="171">
        <f t="shared" si="1"/>
        <v>9.2914285714286962</v>
      </c>
      <c r="C19" s="171">
        <f t="shared" si="1"/>
        <v>76761.001428571428</v>
      </c>
      <c r="D19" s="171">
        <f t="shared" si="1"/>
        <v>117268.61142857143</v>
      </c>
      <c r="E19" s="171">
        <f t="shared" si="1"/>
        <v>137848.39142857143</v>
      </c>
      <c r="F19" s="171">
        <f t="shared" si="1"/>
        <v>175236.13142857142</v>
      </c>
      <c r="G19" s="171">
        <f t="shared" si="1"/>
        <v>220192.94142857144</v>
      </c>
      <c r="H19" s="171">
        <f t="shared" si="1"/>
        <v>281322.57142857142</v>
      </c>
    </row>
    <row r="20" spans="1:16" x14ac:dyDescent="0.2">
      <c r="A20" s="168">
        <v>6</v>
      </c>
      <c r="B20" s="171">
        <f t="shared" si="1"/>
        <v>-21.318571428571204</v>
      </c>
      <c r="C20" s="171">
        <f t="shared" si="1"/>
        <v>76516.321428571435</v>
      </c>
      <c r="D20" s="171">
        <f t="shared" si="1"/>
        <v>117733.62142857144</v>
      </c>
      <c r="E20" s="171">
        <f t="shared" si="1"/>
        <v>138811.59142857144</v>
      </c>
      <c r="F20" s="171">
        <f t="shared" si="1"/>
        <v>175135.40142857144</v>
      </c>
      <c r="G20" s="171">
        <f t="shared" si="1"/>
        <v>220294.16142857145</v>
      </c>
      <c r="H20" s="171">
        <f t="shared" si="1"/>
        <v>280352.98142857145</v>
      </c>
    </row>
    <row r="21" spans="1:16" x14ac:dyDescent="0.2">
      <c r="A21" s="168">
        <v>7</v>
      </c>
      <c r="B21" s="171">
        <f t="shared" si="1"/>
        <v>-18.518571428571249</v>
      </c>
      <c r="C21" s="171">
        <f t="shared" si="1"/>
        <v>76067.531428571427</v>
      </c>
      <c r="D21" s="171">
        <f t="shared" si="1"/>
        <v>115657.58142857143</v>
      </c>
      <c r="E21" s="171">
        <f t="shared" si="1"/>
        <v>138185.08142857143</v>
      </c>
      <c r="F21" s="171">
        <f t="shared" si="1"/>
        <v>175373.97142857144</v>
      </c>
      <c r="G21" s="171">
        <f t="shared" si="1"/>
        <v>220751.10142857142</v>
      </c>
      <c r="H21" s="171">
        <f t="shared" si="1"/>
        <v>281291.21142857143</v>
      </c>
    </row>
    <row r="22" spans="1:16" x14ac:dyDescent="0.2">
      <c r="A22" s="172"/>
    </row>
    <row r="23" spans="1:16" x14ac:dyDescent="0.2">
      <c r="A23" s="172"/>
    </row>
    <row r="24" spans="1:16" x14ac:dyDescent="0.2">
      <c r="A24" s="173" t="str">
        <f>IF(F15="","","Amostra")</f>
        <v>Amostra</v>
      </c>
      <c r="B24" s="174" t="str">
        <f>IF('Massas Corrigidas'!I26="","",'Massas Corrigidas'!I26)</f>
        <v>AMA</v>
      </c>
      <c r="C24" s="173" t="s">
        <v>66</v>
      </c>
      <c r="E24" s="173" t="str">
        <f>IF(B24="","","Amostra")</f>
        <v>Amostra</v>
      </c>
      <c r="F24" s="174" t="str">
        <f>IF('Massas Corrigidas'!I31="","",'Massas Corrigidas'!I31)</f>
        <v>AMB</v>
      </c>
      <c r="G24" s="173"/>
      <c r="I24" s="169"/>
      <c r="P24" s="175"/>
    </row>
    <row r="25" spans="1:16" ht="14.25" x14ac:dyDescent="0.2">
      <c r="A25" s="304">
        <v>178757.37</v>
      </c>
      <c r="B25" s="176">
        <f>(IF(A25="","",A25-(IFERROR(AVERAGE($C$25:$C$31),"0"))))</f>
        <v>176960.9657142857</v>
      </c>
      <c r="C25" s="179">
        <v>1853.79</v>
      </c>
      <c r="D25" s="169"/>
      <c r="E25" s="317">
        <v>179137.75</v>
      </c>
      <c r="F25" s="176">
        <f>(IF(E25="","",E25-(IFERROR(AVERAGE($C$25:$C$31),"0"))))</f>
        <v>177341.34571428571</v>
      </c>
      <c r="H25" s="177"/>
      <c r="I25" s="177"/>
      <c r="J25" s="177"/>
      <c r="K25" s="177"/>
      <c r="L25" s="177"/>
      <c r="M25" s="177"/>
    </row>
    <row r="26" spans="1:16" ht="14.25" x14ac:dyDescent="0.2">
      <c r="A26" s="304">
        <v>178411.07</v>
      </c>
      <c r="B26" s="176">
        <f t="shared" ref="B26:B28" si="2">(IF(A26="","",A26-(IFERROR(AVERAGE($C$25:$C$31),"0"))))</f>
        <v>176614.66571428571</v>
      </c>
      <c r="C26" s="179">
        <v>1833.58</v>
      </c>
      <c r="D26" s="169"/>
      <c r="E26" s="317">
        <v>180367.51</v>
      </c>
      <c r="F26" s="176">
        <f t="shared" ref="F26:F31" si="3">(IF(E26="","",E26-(IFERROR(AVERAGE($C$25:$C$31),"0"))))</f>
        <v>178571.10571428572</v>
      </c>
      <c r="H26" s="177"/>
      <c r="I26" s="177"/>
      <c r="J26" s="177"/>
      <c r="K26" s="177"/>
      <c r="L26" s="177"/>
      <c r="M26" s="177"/>
    </row>
    <row r="27" spans="1:16" ht="14.25" x14ac:dyDescent="0.2">
      <c r="A27" s="304">
        <v>180868.92</v>
      </c>
      <c r="B27" s="176">
        <f t="shared" si="2"/>
        <v>179072.51571428572</v>
      </c>
      <c r="C27" s="179">
        <v>1772.77</v>
      </c>
      <c r="D27" s="169"/>
      <c r="E27" s="317">
        <v>180112.12</v>
      </c>
      <c r="F27" s="176">
        <f t="shared" si="3"/>
        <v>178315.7157142857</v>
      </c>
      <c r="H27" s="177"/>
      <c r="I27" s="177"/>
      <c r="J27" s="177"/>
      <c r="K27" s="177"/>
      <c r="L27" s="177"/>
      <c r="M27" s="177"/>
    </row>
    <row r="28" spans="1:16" ht="14.25" x14ac:dyDescent="0.2">
      <c r="A28" s="304">
        <v>179973.41</v>
      </c>
      <c r="B28" s="176">
        <f t="shared" si="2"/>
        <v>178177.00571428571</v>
      </c>
      <c r="C28" s="179">
        <v>1781.97</v>
      </c>
      <c r="D28" s="169"/>
      <c r="E28" s="317">
        <v>181267.55</v>
      </c>
      <c r="F28" s="176">
        <f t="shared" si="3"/>
        <v>179471.1457142857</v>
      </c>
      <c r="H28" s="177"/>
      <c r="I28" s="177"/>
      <c r="J28" s="177"/>
      <c r="K28" s="177"/>
      <c r="L28" s="177"/>
      <c r="M28" s="177"/>
    </row>
    <row r="29" spans="1:16" ht="14.25" x14ac:dyDescent="0.2">
      <c r="A29" s="304">
        <v>181028.66</v>
      </c>
      <c r="B29" s="176">
        <f>(IF(A29="","",A29-(IFERROR(AVERAGE($C$25:$C$31),"0"))))</f>
        <v>179232.25571428571</v>
      </c>
      <c r="C29" s="179">
        <v>1745.97</v>
      </c>
      <c r="D29" s="169"/>
      <c r="E29" s="317">
        <v>181851.23</v>
      </c>
      <c r="F29" s="176">
        <f t="shared" si="3"/>
        <v>180054.82571428572</v>
      </c>
      <c r="H29" s="177"/>
      <c r="I29" s="177"/>
      <c r="J29" s="177"/>
      <c r="K29" s="177"/>
      <c r="L29" s="177"/>
      <c r="M29" s="177"/>
    </row>
    <row r="30" spans="1:16" ht="14.25" x14ac:dyDescent="0.2">
      <c r="A30" s="304">
        <v>181404.03</v>
      </c>
      <c r="B30" s="176">
        <f>(IF(A30="","",A30-(IFERROR(AVERAGE($C$25:$C$31),"0"))))</f>
        <v>179607.62571428571</v>
      </c>
      <c r="C30" s="179">
        <v>1773.17</v>
      </c>
      <c r="D30" s="169"/>
      <c r="E30" s="307">
        <v>183042.38</v>
      </c>
      <c r="F30" s="176">
        <f t="shared" si="3"/>
        <v>181245.97571428571</v>
      </c>
      <c r="H30" s="177"/>
      <c r="I30" s="177"/>
      <c r="J30" s="177"/>
      <c r="K30" s="177"/>
      <c r="L30" s="177"/>
      <c r="M30" s="177"/>
    </row>
    <row r="31" spans="1:16" ht="14.25" x14ac:dyDescent="0.2">
      <c r="A31" s="304">
        <v>182814.46</v>
      </c>
      <c r="B31" s="176">
        <f>(IF(A31="","",A31-(IFERROR(AVERAGE($C$25:$C$31),"0"))))</f>
        <v>181018.0557142857</v>
      </c>
      <c r="C31" s="179">
        <v>1813.58</v>
      </c>
      <c r="D31" s="169"/>
      <c r="E31" s="308">
        <v>182489.84</v>
      </c>
      <c r="F31" s="176">
        <f t="shared" si="3"/>
        <v>180693.4357142857</v>
      </c>
      <c r="H31" s="177"/>
      <c r="I31" s="177"/>
      <c r="J31" s="177"/>
      <c r="K31" s="177"/>
      <c r="L31" s="177"/>
      <c r="M31" s="177"/>
    </row>
    <row r="32" spans="1:16" x14ac:dyDescent="0.2">
      <c r="B32" s="172"/>
    </row>
    <row r="33" spans="1:6" x14ac:dyDescent="0.2">
      <c r="A33" s="173" t="str">
        <f>IF(F24="","","Amostra")</f>
        <v>Amostra</v>
      </c>
      <c r="B33" s="174" t="str">
        <f>IF('Massas Corrigidas'!I36="","",'Massas Corrigidas'!I36)</f>
        <v>CCQM K158A</v>
      </c>
      <c r="E33" s="173" t="str">
        <f>IF(B33="","","Amostra")</f>
        <v>Amostra</v>
      </c>
      <c r="F33" s="174" t="str">
        <f>IF('Massas Corrigidas'!I41="","",'Massas Corrigidas'!I41)</f>
        <v>CCQM K158B</v>
      </c>
    </row>
    <row r="34" spans="1:6" ht="14.25" x14ac:dyDescent="0.2">
      <c r="A34" s="309">
        <v>119404.44</v>
      </c>
      <c r="B34" s="176">
        <f>(IF(A34="","",A34-(IFERROR(AVERAGE($C$25:$C$31),"0"))))</f>
        <v>117608.03571428571</v>
      </c>
      <c r="C34" s="169"/>
      <c r="D34" s="169"/>
      <c r="E34" s="310">
        <v>116066.83</v>
      </c>
      <c r="F34" s="176">
        <f>(IF(E34="","",E34-(IFERROR(AVERAGE($C$25:$C$31),"0"))))</f>
        <v>114270.42571428571</v>
      </c>
    </row>
    <row r="35" spans="1:6" ht="14.25" x14ac:dyDescent="0.2">
      <c r="A35" s="309">
        <v>119145.68</v>
      </c>
      <c r="B35" s="176">
        <f t="shared" ref="B35:B40" si="4">(IF(A35="","",A35-(IFERROR(AVERAGE($C$25:$C$31),"0"))))</f>
        <v>117349.2757142857</v>
      </c>
      <c r="C35" s="169"/>
      <c r="D35" s="169"/>
      <c r="E35" s="310">
        <v>117107.45</v>
      </c>
      <c r="F35" s="176">
        <f t="shared" ref="F35:F40" si="5">(IF(E35="","",E35-(IFERROR(AVERAGE($C$25:$C$31),"0"))))</f>
        <v>115311.0457142857</v>
      </c>
    </row>
    <row r="36" spans="1:6" ht="14.25" x14ac:dyDescent="0.2">
      <c r="A36" s="309">
        <v>119463.41</v>
      </c>
      <c r="B36" s="176">
        <f t="shared" si="4"/>
        <v>117667.00571428571</v>
      </c>
      <c r="C36" s="169"/>
      <c r="D36" s="169"/>
      <c r="E36" s="310">
        <v>118223.36</v>
      </c>
      <c r="F36" s="176">
        <f t="shared" si="5"/>
        <v>116426.95571428571</v>
      </c>
    </row>
    <row r="37" spans="1:6" ht="14.25" x14ac:dyDescent="0.2">
      <c r="A37" s="309">
        <v>119699.69</v>
      </c>
      <c r="B37" s="176">
        <f t="shared" si="4"/>
        <v>117903.28571428571</v>
      </c>
      <c r="C37" s="169"/>
      <c r="D37" s="169"/>
      <c r="E37" s="310">
        <v>118656.34</v>
      </c>
      <c r="F37" s="176">
        <f t="shared" si="5"/>
        <v>116859.9357142857</v>
      </c>
    </row>
    <row r="38" spans="1:6" ht="14.25" x14ac:dyDescent="0.2">
      <c r="A38" s="309">
        <v>120609.39</v>
      </c>
      <c r="B38" s="176">
        <f t="shared" si="4"/>
        <v>118812.98571428571</v>
      </c>
      <c r="C38" s="169"/>
      <c r="D38" s="169"/>
      <c r="E38" s="310">
        <v>118322.84</v>
      </c>
      <c r="F38" s="176">
        <f t="shared" si="5"/>
        <v>116526.4357142857</v>
      </c>
    </row>
    <row r="39" spans="1:6" ht="14.25" x14ac:dyDescent="0.2">
      <c r="A39" s="309">
        <v>121329.48</v>
      </c>
      <c r="B39" s="176">
        <f t="shared" si="4"/>
        <v>119533.0757142857</v>
      </c>
      <c r="C39" s="169"/>
      <c r="D39" s="169"/>
      <c r="E39" s="310">
        <v>118634.26</v>
      </c>
      <c r="F39" s="176">
        <f t="shared" si="5"/>
        <v>116837.8557142857</v>
      </c>
    </row>
    <row r="40" spans="1:6" ht="14.25" x14ac:dyDescent="0.2">
      <c r="A40" s="309">
        <v>120879.34</v>
      </c>
      <c r="B40" s="176">
        <f t="shared" si="4"/>
        <v>119082.9357142857</v>
      </c>
      <c r="C40" s="169"/>
      <c r="D40" s="169"/>
      <c r="E40" s="310">
        <v>118974.86</v>
      </c>
      <c r="F40" s="176">
        <f t="shared" si="5"/>
        <v>117178.45571428571</v>
      </c>
    </row>
    <row r="41" spans="1:6" x14ac:dyDescent="0.2">
      <c r="B41" s="172"/>
      <c r="F41" s="176" t="str">
        <f t="shared" ref="F41" si="6">IFERROR(IF(E41="","",E41-(AVERAGE($C$25:$C$31))),"")</f>
        <v/>
      </c>
    </row>
    <row r="42" spans="1:6" x14ac:dyDescent="0.2">
      <c r="A42" s="173" t="str">
        <f>IF(F33="","","Amostra")</f>
        <v>Amostra</v>
      </c>
      <c r="B42" s="174" t="str">
        <f>IF('Massas Corrigidas'!I46="","",'Massas Corrigidas'!I46)</f>
        <v>CCQM K56A</v>
      </c>
      <c r="E42" s="173" t="str">
        <f>IF(B42="","","Amostra")</f>
        <v>Amostra</v>
      </c>
      <c r="F42" s="174" t="str">
        <f>IF('Massas Corrigidas'!I51="","",'Massas Corrigidas'!I51)</f>
        <v>CCQMK56B</v>
      </c>
    </row>
    <row r="43" spans="1:6" ht="14.25" x14ac:dyDescent="0.2">
      <c r="A43" s="309">
        <v>726030.59</v>
      </c>
      <c r="B43" s="176">
        <f>(IF(A43="","",A43-(IFERROR(AVERAGE($C$25:$C$31),"0"))))</f>
        <v>724234.1857142857</v>
      </c>
      <c r="C43" s="169"/>
      <c r="D43" s="169"/>
      <c r="E43" s="309">
        <v>712566.09</v>
      </c>
      <c r="F43" s="176">
        <f>(IF(E43="","",E43-(IFERROR(AVERAGE($C$25:$C$31),"0"))))</f>
        <v>710769.6857142857</v>
      </c>
    </row>
    <row r="44" spans="1:6" ht="14.25" x14ac:dyDescent="0.2">
      <c r="A44" s="309">
        <v>724902.05</v>
      </c>
      <c r="B44" s="176">
        <f t="shared" ref="B44:B49" si="7">(IF(A44="","",A44-(IFERROR(AVERAGE($C$25:$C$31),"0"))))</f>
        <v>723105.64571428578</v>
      </c>
      <c r="C44" s="169"/>
      <c r="D44" s="169"/>
      <c r="E44" s="309">
        <v>709295.8</v>
      </c>
      <c r="F44" s="176">
        <f t="shared" ref="F44:F49" si="8">(IF(E44="","",E44-(IFERROR(AVERAGE($C$25:$C$31),"0"))))</f>
        <v>707499.39571428578</v>
      </c>
    </row>
    <row r="45" spans="1:6" ht="14.25" x14ac:dyDescent="0.2">
      <c r="A45" s="309">
        <v>739421.81</v>
      </c>
      <c r="B45" s="176">
        <f t="shared" si="7"/>
        <v>737625.40571428579</v>
      </c>
      <c r="C45" s="169"/>
      <c r="D45" s="169"/>
      <c r="E45" s="309">
        <v>705298.23</v>
      </c>
      <c r="F45" s="176">
        <f t="shared" si="8"/>
        <v>703501.82571428572</v>
      </c>
    </row>
    <row r="46" spans="1:6" ht="14.25" x14ac:dyDescent="0.2">
      <c r="A46" s="309">
        <v>728897.54</v>
      </c>
      <c r="B46" s="176">
        <f t="shared" si="7"/>
        <v>727101.13571428577</v>
      </c>
      <c r="C46" s="169"/>
      <c r="D46" s="169"/>
      <c r="E46" s="309">
        <v>704662.66</v>
      </c>
      <c r="F46" s="176">
        <f t="shared" si="8"/>
        <v>702866.25571428577</v>
      </c>
    </row>
    <row r="47" spans="1:6" ht="14.25" x14ac:dyDescent="0.2">
      <c r="A47" s="309">
        <v>734700.94</v>
      </c>
      <c r="B47" s="176">
        <f t="shared" si="7"/>
        <v>732904.53571428568</v>
      </c>
      <c r="C47" s="169"/>
      <c r="D47" s="169"/>
      <c r="E47" s="309">
        <v>701891.08</v>
      </c>
      <c r="F47" s="176">
        <f t="shared" si="8"/>
        <v>700094.67571428569</v>
      </c>
    </row>
    <row r="48" spans="1:6" ht="14.25" x14ac:dyDescent="0.2">
      <c r="A48" s="309">
        <v>729368.56</v>
      </c>
      <c r="B48" s="176">
        <f t="shared" si="7"/>
        <v>727572.15571428579</v>
      </c>
      <c r="C48" s="169"/>
      <c r="D48" s="169"/>
      <c r="E48" s="309">
        <v>693456.19</v>
      </c>
      <c r="F48" s="176">
        <f t="shared" si="8"/>
        <v>691659.78571428568</v>
      </c>
    </row>
    <row r="49" spans="1:7" ht="14.25" x14ac:dyDescent="0.2">
      <c r="A49" s="309">
        <v>723947.72</v>
      </c>
      <c r="B49" s="176">
        <f t="shared" si="7"/>
        <v>722151.31571428571</v>
      </c>
      <c r="C49" s="169"/>
      <c r="D49" s="169"/>
      <c r="E49" s="309">
        <v>687922.79</v>
      </c>
      <c r="F49" s="176">
        <f t="shared" si="8"/>
        <v>686126.38571428577</v>
      </c>
    </row>
    <row r="50" spans="1:7" x14ac:dyDescent="0.2">
      <c r="B50" s="172"/>
    </row>
    <row r="51" spans="1:7" x14ac:dyDescent="0.2">
      <c r="A51" s="173" t="str">
        <f>IF(F42="","","Amostra")</f>
        <v>Amostra</v>
      </c>
      <c r="B51" s="174" t="str">
        <f>IF('Massas Corrigidas'!I56="","",'Massas Corrigidas'!I56)</f>
        <v/>
      </c>
      <c r="E51" s="173" t="str">
        <f>IF(B51="","","Amostra")</f>
        <v/>
      </c>
      <c r="F51" s="174" t="str">
        <f>IF('Massas Corrigidas'!I61="","",'Massas Corrigidas'!I61)</f>
        <v/>
      </c>
    </row>
    <row r="52" spans="1:7" ht="14.25" x14ac:dyDescent="0.2">
      <c r="A52" s="309"/>
      <c r="B52" s="176" t="str">
        <f>(IF(A52="","",A52-(IFERROR(AVERAGE($C$25:$C$31),"0"))))</f>
        <v/>
      </c>
      <c r="C52" s="169"/>
      <c r="D52" s="169"/>
      <c r="E52" s="309"/>
      <c r="F52" s="176" t="str">
        <f>(IF(E52="","",E52-(IFERROR(AVERAGE($C$25:$C$31),"0"))))</f>
        <v/>
      </c>
      <c r="G52" s="177"/>
    </row>
    <row r="53" spans="1:7" ht="14.25" x14ac:dyDescent="0.2">
      <c r="A53" s="309"/>
      <c r="B53" s="176" t="str">
        <f t="shared" ref="B53:B58" si="9">(IF(A53="","",A53-(IFERROR(AVERAGE($C$25:$C$31),"0"))))</f>
        <v/>
      </c>
      <c r="C53" s="169"/>
      <c r="D53" s="169"/>
      <c r="E53" s="309"/>
      <c r="F53" s="176" t="str">
        <f t="shared" ref="F53:F58" si="10">(IF(E53="","",E53-(IFERROR(AVERAGE($C$25:$C$31),"0"))))</f>
        <v/>
      </c>
      <c r="G53" s="177"/>
    </row>
    <row r="54" spans="1:7" ht="14.25" x14ac:dyDescent="0.2">
      <c r="A54" s="309"/>
      <c r="B54" s="176" t="str">
        <f t="shared" si="9"/>
        <v/>
      </c>
      <c r="C54" s="169"/>
      <c r="D54" s="169"/>
      <c r="E54" s="309"/>
      <c r="F54" s="176" t="str">
        <f t="shared" si="10"/>
        <v/>
      </c>
      <c r="G54" s="177"/>
    </row>
    <row r="55" spans="1:7" ht="14.25" x14ac:dyDescent="0.2">
      <c r="A55" s="309"/>
      <c r="B55" s="176" t="str">
        <f t="shared" si="9"/>
        <v/>
      </c>
      <c r="C55" s="169"/>
      <c r="D55" s="169"/>
      <c r="E55" s="309"/>
      <c r="F55" s="176" t="str">
        <f t="shared" si="10"/>
        <v/>
      </c>
      <c r="G55" s="177"/>
    </row>
    <row r="56" spans="1:7" ht="14.25" x14ac:dyDescent="0.2">
      <c r="A56" s="309"/>
      <c r="B56" s="176" t="str">
        <f t="shared" si="9"/>
        <v/>
      </c>
      <c r="C56" s="169"/>
      <c r="D56" s="169"/>
      <c r="E56" s="309"/>
      <c r="F56" s="176" t="str">
        <f t="shared" si="10"/>
        <v/>
      </c>
      <c r="G56" s="177"/>
    </row>
    <row r="57" spans="1:7" ht="14.25" x14ac:dyDescent="0.2">
      <c r="A57" s="309"/>
      <c r="B57" s="176" t="str">
        <f t="shared" si="9"/>
        <v/>
      </c>
      <c r="C57" s="169"/>
      <c r="D57" s="169"/>
      <c r="E57" s="309"/>
      <c r="F57" s="176" t="str">
        <f t="shared" si="10"/>
        <v/>
      </c>
      <c r="G57" s="177"/>
    </row>
    <row r="58" spans="1:7" ht="14.25" x14ac:dyDescent="0.2">
      <c r="A58" s="309"/>
      <c r="B58" s="176" t="str">
        <f t="shared" si="9"/>
        <v/>
      </c>
      <c r="C58" s="169"/>
      <c r="D58" s="169"/>
      <c r="E58" s="309"/>
      <c r="F58" s="176" t="str">
        <f t="shared" si="10"/>
        <v/>
      </c>
      <c r="G58" s="177"/>
    </row>
    <row r="59" spans="1:7" x14ac:dyDescent="0.2">
      <c r="B59" s="172"/>
    </row>
    <row r="60" spans="1:7" x14ac:dyDescent="0.2">
      <c r="A60" s="173" t="str">
        <f>IF(F51="","","Amostra")</f>
        <v/>
      </c>
      <c r="B60" s="174" t="str">
        <f>IF('Massas Corrigidas'!I66="","",'Massas Corrigidas'!I66)</f>
        <v/>
      </c>
      <c r="E60" s="173" t="str">
        <f>IF(B60="","","Amostra")</f>
        <v/>
      </c>
      <c r="F60" s="174" t="str">
        <f>IF('Massas Corrigidas'!I71="","",'Massas Corrigidas'!I71)</f>
        <v/>
      </c>
    </row>
    <row r="61" spans="1:7" ht="14.25" x14ac:dyDescent="0.2">
      <c r="A61" s="310"/>
      <c r="B61" s="176" t="str">
        <f>(IF(A61="","",A61-(IFERROR(AVERAGE($C$25:$C$31),"0"))))</f>
        <v/>
      </c>
      <c r="C61" s="169"/>
      <c r="D61" s="169"/>
      <c r="E61" s="309"/>
      <c r="F61" s="176" t="str">
        <f>(IF(E61="","",E61-(IFERROR(AVERAGE($C$25:$C$31),"0"))))</f>
        <v/>
      </c>
      <c r="G61" s="177"/>
    </row>
    <row r="62" spans="1:7" ht="14.25" x14ac:dyDescent="0.2">
      <c r="A62" s="310"/>
      <c r="B62" s="176" t="str">
        <f t="shared" ref="B62:B67" si="11">(IF(A62="","",A62-(IFERROR(AVERAGE($C$25:$C$31),"0"))))</f>
        <v/>
      </c>
      <c r="C62" s="169"/>
      <c r="D62" s="169"/>
      <c r="E62" s="309"/>
      <c r="F62" s="176" t="str">
        <f t="shared" ref="F62:F67" si="12">(IF(E62="","",E62-(IFERROR(AVERAGE($C$25:$C$31),"0"))))</f>
        <v/>
      </c>
      <c r="G62" s="177"/>
    </row>
    <row r="63" spans="1:7" ht="14.25" x14ac:dyDescent="0.2">
      <c r="A63" s="310"/>
      <c r="B63" s="176" t="str">
        <f t="shared" si="11"/>
        <v/>
      </c>
      <c r="C63" s="169"/>
      <c r="D63" s="169"/>
      <c r="E63" s="309"/>
      <c r="F63" s="176" t="str">
        <f t="shared" si="12"/>
        <v/>
      </c>
      <c r="G63" s="177"/>
    </row>
    <row r="64" spans="1:7" ht="14.25" x14ac:dyDescent="0.2">
      <c r="A64" s="310"/>
      <c r="B64" s="176" t="str">
        <f t="shared" si="11"/>
        <v/>
      </c>
      <c r="C64" s="169"/>
      <c r="D64" s="169"/>
      <c r="E64" s="309"/>
      <c r="F64" s="176" t="str">
        <f t="shared" si="12"/>
        <v/>
      </c>
      <c r="G64" s="177"/>
    </row>
    <row r="65" spans="1:7" ht="14.25" x14ac:dyDescent="0.2">
      <c r="A65" s="310"/>
      <c r="B65" s="176" t="str">
        <f t="shared" si="11"/>
        <v/>
      </c>
      <c r="C65" s="169"/>
      <c r="D65" s="169"/>
      <c r="E65" s="309"/>
      <c r="F65" s="176" t="str">
        <f t="shared" si="12"/>
        <v/>
      </c>
      <c r="G65" s="177"/>
    </row>
    <row r="66" spans="1:7" ht="14.25" x14ac:dyDescent="0.2">
      <c r="A66" s="310"/>
      <c r="B66" s="176" t="str">
        <f t="shared" si="11"/>
        <v/>
      </c>
      <c r="C66" s="169"/>
      <c r="D66" s="169"/>
      <c r="E66" s="309"/>
      <c r="F66" s="176" t="str">
        <f t="shared" si="12"/>
        <v/>
      </c>
      <c r="G66" s="177"/>
    </row>
    <row r="67" spans="1:7" ht="14.25" x14ac:dyDescent="0.2">
      <c r="A67" s="310"/>
      <c r="B67" s="176" t="str">
        <f t="shared" si="11"/>
        <v/>
      </c>
      <c r="C67" s="169"/>
      <c r="D67" s="169"/>
      <c r="E67" s="309"/>
      <c r="F67" s="176" t="str">
        <f t="shared" si="12"/>
        <v/>
      </c>
      <c r="G67" s="177"/>
    </row>
    <row r="68" spans="1:7" x14ac:dyDescent="0.2">
      <c r="B68" s="172"/>
    </row>
    <row r="69" spans="1:7" x14ac:dyDescent="0.2">
      <c r="A69" s="173" t="str">
        <f>IF(F60="","","Amostra")</f>
        <v/>
      </c>
      <c r="B69" s="174" t="str">
        <f>IF('Massas Corrigidas'!I76="","",'Massas Corrigidas'!I76)</f>
        <v/>
      </c>
      <c r="E69" s="173" t="str">
        <f>IF(B69="","","Amostra")</f>
        <v/>
      </c>
      <c r="F69" s="174" t="str">
        <f>IF('Massas Corrigidas'!I81="","",'Massas Corrigidas'!I81)</f>
        <v/>
      </c>
    </row>
    <row r="70" spans="1:7" ht="14.25" x14ac:dyDescent="0.2">
      <c r="A70" s="310"/>
      <c r="B70" s="176" t="str">
        <f>(IF(A70="","",A70-(IFERROR(AVERAGE($C$25:$C$31),"0"))))</f>
        <v/>
      </c>
      <c r="C70" s="169"/>
      <c r="D70" s="169"/>
      <c r="E70" s="309"/>
      <c r="F70" s="176" t="str">
        <f>(IF(E70="","",E70-(IFERROR(AVERAGE($C$25:$C$31),"0"))))</f>
        <v/>
      </c>
      <c r="G70" s="177"/>
    </row>
    <row r="71" spans="1:7" ht="14.25" x14ac:dyDescent="0.2">
      <c r="A71" s="310"/>
      <c r="B71" s="176" t="str">
        <f t="shared" ref="B71:B76" si="13">(IF(A71="","",A71-(IFERROR(AVERAGE($C$25:$C$31),"0"))))</f>
        <v/>
      </c>
      <c r="C71" s="169"/>
      <c r="D71" s="169"/>
      <c r="E71" s="309"/>
      <c r="F71" s="176" t="str">
        <f t="shared" ref="F71:F76" si="14">(IF(E71="","",E71-(IFERROR(AVERAGE($C$25:$C$31),"0"))))</f>
        <v/>
      </c>
      <c r="G71" s="177"/>
    </row>
    <row r="72" spans="1:7" ht="14.25" x14ac:dyDescent="0.2">
      <c r="A72" s="310"/>
      <c r="B72" s="176" t="str">
        <f t="shared" si="13"/>
        <v/>
      </c>
      <c r="C72" s="169"/>
      <c r="D72" s="169"/>
      <c r="E72" s="309"/>
      <c r="F72" s="176" t="str">
        <f t="shared" si="14"/>
        <v/>
      </c>
      <c r="G72" s="177"/>
    </row>
    <row r="73" spans="1:7" ht="14.25" x14ac:dyDescent="0.2">
      <c r="A73" s="310"/>
      <c r="B73" s="176" t="str">
        <f t="shared" si="13"/>
        <v/>
      </c>
      <c r="C73" s="169"/>
      <c r="D73" s="169"/>
      <c r="E73" s="309"/>
      <c r="F73" s="176" t="str">
        <f t="shared" si="14"/>
        <v/>
      </c>
      <c r="G73" s="177"/>
    </row>
    <row r="74" spans="1:7" ht="14.25" x14ac:dyDescent="0.2">
      <c r="A74" s="310"/>
      <c r="B74" s="176" t="str">
        <f t="shared" si="13"/>
        <v/>
      </c>
      <c r="C74" s="169"/>
      <c r="D74" s="169"/>
      <c r="E74" s="309"/>
      <c r="F74" s="176" t="str">
        <f t="shared" si="14"/>
        <v/>
      </c>
      <c r="G74" s="177"/>
    </row>
    <row r="75" spans="1:7" ht="14.25" x14ac:dyDescent="0.2">
      <c r="A75" s="310"/>
      <c r="B75" s="176" t="str">
        <f t="shared" si="13"/>
        <v/>
      </c>
      <c r="C75" s="169"/>
      <c r="D75" s="169"/>
      <c r="E75" s="309"/>
      <c r="F75" s="176" t="str">
        <f t="shared" si="14"/>
        <v/>
      </c>
      <c r="G75" s="177"/>
    </row>
    <row r="76" spans="1:7" ht="14.25" x14ac:dyDescent="0.2">
      <c r="A76" s="310"/>
      <c r="B76" s="176" t="str">
        <f t="shared" si="13"/>
        <v/>
      </c>
      <c r="C76" s="169"/>
      <c r="D76" s="169"/>
      <c r="E76" s="309"/>
      <c r="F76" s="176" t="str">
        <f t="shared" si="14"/>
        <v/>
      </c>
      <c r="G76" s="177"/>
    </row>
    <row r="77" spans="1:7" x14ac:dyDescent="0.2">
      <c r="B77" s="172"/>
    </row>
    <row r="78" spans="1:7" x14ac:dyDescent="0.2">
      <c r="A78" s="173" t="str">
        <f>IF(F69="","","Amostra")</f>
        <v/>
      </c>
      <c r="B78" s="174" t="str">
        <f>IF('Massas Corrigidas'!I86="","",'Massas Corrigidas'!I86)</f>
        <v/>
      </c>
      <c r="E78" s="173" t="str">
        <f>IF(B78="","","Amostra")</f>
        <v/>
      </c>
      <c r="F78" s="174" t="str">
        <f>IF('Massas Corrigidas'!I91="","",'Massas Corrigidas'!I91)</f>
        <v/>
      </c>
    </row>
    <row r="79" spans="1:7" ht="14.25" x14ac:dyDescent="0.2">
      <c r="A79" s="309"/>
      <c r="B79" s="176" t="str">
        <f>(IF(A79="","",A79-(IFERROR(AVERAGE($C$25:$C$31),"0"))))</f>
        <v/>
      </c>
      <c r="C79" s="169"/>
      <c r="D79" s="169"/>
      <c r="E79" s="309"/>
      <c r="F79" s="176" t="str">
        <f>(IF(E79="","",E79-(IFERROR(AVERAGE($C$25:$C$31),"0"))))</f>
        <v/>
      </c>
      <c r="G79" s="177"/>
    </row>
    <row r="80" spans="1:7" ht="14.25" x14ac:dyDescent="0.2">
      <c r="A80" s="309"/>
      <c r="B80" s="176" t="str">
        <f t="shared" ref="B80:B85" si="15">(IF(A80="","",A80-(IFERROR(AVERAGE($C$25:$C$31),"0"))))</f>
        <v/>
      </c>
      <c r="C80" s="169"/>
      <c r="D80" s="169"/>
      <c r="E80" s="309"/>
      <c r="F80" s="176" t="str">
        <f t="shared" ref="F80:F85" si="16">(IF(E80="","",E80-(IFERROR(AVERAGE($C$25:$C$31),"0"))))</f>
        <v/>
      </c>
      <c r="G80" s="177"/>
    </row>
    <row r="81" spans="1:7" ht="14.25" x14ac:dyDescent="0.2">
      <c r="A81" s="309"/>
      <c r="B81" s="176" t="str">
        <f t="shared" si="15"/>
        <v/>
      </c>
      <c r="C81" s="169"/>
      <c r="D81" s="169"/>
      <c r="E81" s="309"/>
      <c r="F81" s="176" t="str">
        <f t="shared" si="16"/>
        <v/>
      </c>
      <c r="G81" s="177"/>
    </row>
    <row r="82" spans="1:7" ht="14.25" x14ac:dyDescent="0.2">
      <c r="A82" s="309"/>
      <c r="B82" s="176" t="str">
        <f t="shared" si="15"/>
        <v/>
      </c>
      <c r="C82" s="169"/>
      <c r="D82" s="169"/>
      <c r="E82" s="309"/>
      <c r="F82" s="176" t="str">
        <f t="shared" si="16"/>
        <v/>
      </c>
      <c r="G82" s="177"/>
    </row>
    <row r="83" spans="1:7" ht="14.25" x14ac:dyDescent="0.2">
      <c r="A83" s="309"/>
      <c r="B83" s="176" t="str">
        <f t="shared" si="15"/>
        <v/>
      </c>
      <c r="C83" s="169"/>
      <c r="D83" s="169"/>
      <c r="E83" s="309"/>
      <c r="F83" s="176" t="str">
        <f t="shared" si="16"/>
        <v/>
      </c>
      <c r="G83" s="177"/>
    </row>
    <row r="84" spans="1:7" ht="14.25" x14ac:dyDescent="0.2">
      <c r="A84" s="309"/>
      <c r="B84" s="176" t="str">
        <f t="shared" si="15"/>
        <v/>
      </c>
      <c r="C84" s="169"/>
      <c r="D84" s="169"/>
      <c r="E84" s="309"/>
      <c r="F84" s="176" t="str">
        <f t="shared" si="16"/>
        <v/>
      </c>
      <c r="G84" s="177"/>
    </row>
    <row r="85" spans="1:7" ht="14.25" x14ac:dyDescent="0.2">
      <c r="A85" s="309"/>
      <c r="B85" s="176" t="str">
        <f t="shared" si="15"/>
        <v/>
      </c>
      <c r="C85" s="169"/>
      <c r="D85" s="169"/>
      <c r="E85" s="309"/>
      <c r="F85" s="176" t="str">
        <f t="shared" si="16"/>
        <v/>
      </c>
      <c r="G85" s="177"/>
    </row>
    <row r="86" spans="1:7" x14ac:dyDescent="0.2">
      <c r="B86" s="172"/>
    </row>
    <row r="87" spans="1:7" x14ac:dyDescent="0.2">
      <c r="A87" s="173" t="str">
        <f>IF(F78="","","Amostra")</f>
        <v/>
      </c>
      <c r="B87" s="174" t="str">
        <f>IF('Massas Corrigidas'!I96="","",'Massas Corrigidas'!I96)</f>
        <v/>
      </c>
      <c r="E87" s="173" t="str">
        <f>IF(B87="","","Amostra")</f>
        <v/>
      </c>
      <c r="F87" s="174" t="str">
        <f>IF('Massas Corrigidas'!I101="","",'Massas Corrigidas'!I101)</f>
        <v/>
      </c>
    </row>
    <row r="88" spans="1:7" ht="14.25" x14ac:dyDescent="0.2">
      <c r="A88" s="309"/>
      <c r="B88" s="176" t="str">
        <f>(IF(A88="","",A88-(IFERROR(AVERAGE($C$25:$C$31),"0"))))</f>
        <v/>
      </c>
      <c r="C88" s="169"/>
      <c r="D88" s="169"/>
      <c r="E88" s="310"/>
      <c r="F88" s="176" t="str">
        <f>(IF(E88="","",E88-(IFERROR(AVERAGE($C$25:$C$31),"0"))))</f>
        <v/>
      </c>
    </row>
    <row r="89" spans="1:7" ht="14.25" x14ac:dyDescent="0.2">
      <c r="A89" s="309"/>
      <c r="B89" s="176" t="str">
        <f t="shared" ref="B89:B94" si="17">(IF(A89="","",A89-(IFERROR(AVERAGE($C$25:$C$31),"0"))))</f>
        <v/>
      </c>
      <c r="C89" s="169"/>
      <c r="D89" s="169"/>
      <c r="E89" s="310"/>
      <c r="F89" s="176" t="str">
        <f t="shared" ref="F89:F94" si="18">(IF(E89="","",E89-(IFERROR(AVERAGE($C$25:$C$31),"0"))))</f>
        <v/>
      </c>
    </row>
    <row r="90" spans="1:7" ht="14.25" x14ac:dyDescent="0.2">
      <c r="A90" s="309"/>
      <c r="B90" s="176" t="str">
        <f t="shared" si="17"/>
        <v/>
      </c>
      <c r="C90" s="169"/>
      <c r="D90" s="169"/>
      <c r="E90" s="310"/>
      <c r="F90" s="176" t="str">
        <f t="shared" si="18"/>
        <v/>
      </c>
    </row>
    <row r="91" spans="1:7" ht="14.25" x14ac:dyDescent="0.2">
      <c r="A91" s="309"/>
      <c r="B91" s="176" t="str">
        <f t="shared" si="17"/>
        <v/>
      </c>
      <c r="C91" s="169"/>
      <c r="D91" s="169"/>
      <c r="E91" s="310"/>
      <c r="F91" s="176" t="str">
        <f t="shared" si="18"/>
        <v/>
      </c>
    </row>
    <row r="92" spans="1:7" ht="14.25" x14ac:dyDescent="0.2">
      <c r="A92" s="309"/>
      <c r="B92" s="176" t="str">
        <f t="shared" si="17"/>
        <v/>
      </c>
      <c r="C92" s="169"/>
      <c r="D92" s="169"/>
      <c r="E92" s="310"/>
      <c r="F92" s="176" t="str">
        <f t="shared" si="18"/>
        <v/>
      </c>
    </row>
    <row r="93" spans="1:7" ht="14.25" x14ac:dyDescent="0.2">
      <c r="A93" s="309"/>
      <c r="B93" s="176" t="str">
        <f t="shared" si="17"/>
        <v/>
      </c>
      <c r="C93" s="169"/>
      <c r="D93" s="169"/>
      <c r="E93" s="310"/>
      <c r="F93" s="176" t="str">
        <f t="shared" si="18"/>
        <v/>
      </c>
    </row>
    <row r="94" spans="1:7" ht="14.25" x14ac:dyDescent="0.2">
      <c r="A94" s="309"/>
      <c r="B94" s="176" t="str">
        <f t="shared" si="17"/>
        <v/>
      </c>
      <c r="C94" s="169"/>
      <c r="D94" s="169"/>
      <c r="E94" s="310"/>
      <c r="F94" s="176" t="str">
        <f t="shared" si="18"/>
        <v/>
      </c>
    </row>
    <row r="95" spans="1:7" x14ac:dyDescent="0.2">
      <c r="B95" s="172"/>
    </row>
    <row r="96" spans="1:7" x14ac:dyDescent="0.2">
      <c r="A96" s="173" t="str">
        <f>IF(F87="","","Amostra")</f>
        <v/>
      </c>
      <c r="B96" s="174" t="str">
        <f>IF('Massas Corrigidas'!I106="","",'Massas Corrigidas'!I106)</f>
        <v/>
      </c>
      <c r="E96" s="173" t="str">
        <f>IF(B96="","","Amostra")</f>
        <v/>
      </c>
      <c r="F96" s="174" t="str">
        <f>IF('Massas Corrigidas'!I111="","",'Massas Corrigidas'!I111)</f>
        <v/>
      </c>
    </row>
    <row r="97" spans="1:6" ht="14.25" x14ac:dyDescent="0.2">
      <c r="A97" s="310"/>
      <c r="B97" s="176" t="str">
        <f>(IF(A97="","",A97-(IFERROR(AVERAGE($C$25:$C$31),"0"))))</f>
        <v/>
      </c>
      <c r="C97" s="169"/>
      <c r="D97" s="169"/>
      <c r="E97" s="309"/>
      <c r="F97" s="176" t="str">
        <f>(IF(E97="","",E97-(IFERROR(AVERAGE($C$25:$C$31),"0"))))</f>
        <v/>
      </c>
    </row>
    <row r="98" spans="1:6" ht="14.25" x14ac:dyDescent="0.2">
      <c r="A98" s="310"/>
      <c r="B98" s="176" t="str">
        <f t="shared" ref="B98:B103" si="19">(IF(A98="","",A98-(IFERROR(AVERAGE($C$25:$C$31),"0"))))</f>
        <v/>
      </c>
      <c r="C98" s="169"/>
      <c r="D98" s="169"/>
      <c r="E98" s="309"/>
      <c r="F98" s="176" t="str">
        <f t="shared" ref="F98:F103" si="20">(IF(E98="","",E98-(IFERROR(AVERAGE($C$25:$C$31),"0"))))</f>
        <v/>
      </c>
    </row>
    <row r="99" spans="1:6" ht="14.25" x14ac:dyDescent="0.2">
      <c r="A99" s="310"/>
      <c r="B99" s="176" t="str">
        <f t="shared" si="19"/>
        <v/>
      </c>
      <c r="C99" s="169"/>
      <c r="D99" s="169"/>
      <c r="E99" s="309"/>
      <c r="F99" s="176" t="str">
        <f t="shared" si="20"/>
        <v/>
      </c>
    </row>
    <row r="100" spans="1:6" ht="14.25" x14ac:dyDescent="0.2">
      <c r="A100" s="310"/>
      <c r="B100" s="176" t="str">
        <f t="shared" si="19"/>
        <v/>
      </c>
      <c r="C100" s="169"/>
      <c r="D100" s="169"/>
      <c r="E100" s="309"/>
      <c r="F100" s="176" t="str">
        <f t="shared" si="20"/>
        <v/>
      </c>
    </row>
    <row r="101" spans="1:6" ht="14.25" x14ac:dyDescent="0.2">
      <c r="A101" s="310"/>
      <c r="B101" s="176" t="str">
        <f t="shared" si="19"/>
        <v/>
      </c>
      <c r="C101" s="169"/>
      <c r="D101" s="169"/>
      <c r="E101" s="309"/>
      <c r="F101" s="176" t="str">
        <f t="shared" si="20"/>
        <v/>
      </c>
    </row>
    <row r="102" spans="1:6" ht="14.25" x14ac:dyDescent="0.2">
      <c r="A102" s="310"/>
      <c r="B102" s="176" t="str">
        <f t="shared" si="19"/>
        <v/>
      </c>
      <c r="C102" s="169"/>
      <c r="D102" s="169"/>
      <c r="E102" s="309"/>
      <c r="F102" s="176" t="str">
        <f t="shared" si="20"/>
        <v/>
      </c>
    </row>
    <row r="103" spans="1:6" ht="14.25" x14ac:dyDescent="0.2">
      <c r="A103" s="310"/>
      <c r="B103" s="176" t="str">
        <f t="shared" si="19"/>
        <v/>
      </c>
      <c r="C103" s="169"/>
      <c r="D103" s="169"/>
      <c r="E103" s="309"/>
      <c r="F103" s="176" t="str">
        <f t="shared" si="20"/>
        <v/>
      </c>
    </row>
    <row r="104" spans="1:6" x14ac:dyDescent="0.2">
      <c r="B104" s="172"/>
    </row>
    <row r="105" spans="1:6" x14ac:dyDescent="0.2">
      <c r="A105" s="173" t="str">
        <f>IF(F96="","","Amostra")</f>
        <v/>
      </c>
      <c r="B105" s="174" t="str">
        <f>IF('Massas Corrigidas'!I116="","",'Massas Corrigidas'!I116)</f>
        <v/>
      </c>
      <c r="E105" s="173" t="str">
        <f>IF(B105="","","Amostra")</f>
        <v/>
      </c>
      <c r="F105" s="174" t="str">
        <f>IF('Massas Corrigidas'!I121="","",'Massas Corrigidas'!I121)</f>
        <v/>
      </c>
    </row>
    <row r="106" spans="1:6" ht="14.25" x14ac:dyDescent="0.2">
      <c r="A106" s="309"/>
      <c r="B106" s="176" t="str">
        <f>(IF(A106="","",A106-(IFERROR(AVERAGE($C$25:$C$31),"0"))))</f>
        <v/>
      </c>
      <c r="C106" s="169"/>
      <c r="D106" s="169"/>
      <c r="E106" s="310"/>
      <c r="F106" s="176" t="str">
        <f>(IF(E106="","",E106-(IFERROR(AVERAGE($C$25:$C$31),"0"))))</f>
        <v/>
      </c>
    </row>
    <row r="107" spans="1:6" ht="14.25" x14ac:dyDescent="0.2">
      <c r="A107" s="309"/>
      <c r="B107" s="176" t="str">
        <f t="shared" ref="B107:B112" si="21">(IF(A107="","",A107-(IFERROR(AVERAGE($C$25:$C$31),"0"))))</f>
        <v/>
      </c>
      <c r="C107" s="169"/>
      <c r="D107" s="169"/>
      <c r="E107" s="310"/>
      <c r="F107" s="176" t="str">
        <f t="shared" ref="F107:F112" si="22">(IF(E107="","",E107-(IFERROR(AVERAGE($C$25:$C$31),"0"))))</f>
        <v/>
      </c>
    </row>
    <row r="108" spans="1:6" ht="14.25" x14ac:dyDescent="0.2">
      <c r="A108" s="309"/>
      <c r="B108" s="176" t="str">
        <f t="shared" si="21"/>
        <v/>
      </c>
      <c r="C108" s="169"/>
      <c r="D108" s="169"/>
      <c r="E108" s="310"/>
      <c r="F108" s="176" t="str">
        <f t="shared" si="22"/>
        <v/>
      </c>
    </row>
    <row r="109" spans="1:6" ht="14.25" x14ac:dyDescent="0.2">
      <c r="A109" s="309"/>
      <c r="B109" s="176" t="str">
        <f t="shared" si="21"/>
        <v/>
      </c>
      <c r="C109" s="169"/>
      <c r="D109" s="169"/>
      <c r="E109" s="310"/>
      <c r="F109" s="176" t="str">
        <f t="shared" si="22"/>
        <v/>
      </c>
    </row>
    <row r="110" spans="1:6" ht="14.25" x14ac:dyDescent="0.2">
      <c r="A110" s="309"/>
      <c r="B110" s="176" t="str">
        <f t="shared" si="21"/>
        <v/>
      </c>
      <c r="C110" s="169"/>
      <c r="D110" s="169"/>
      <c r="E110" s="310"/>
      <c r="F110" s="176" t="str">
        <f t="shared" si="22"/>
        <v/>
      </c>
    </row>
    <row r="111" spans="1:6" ht="14.25" x14ac:dyDescent="0.2">
      <c r="A111" s="309"/>
      <c r="B111" s="176" t="str">
        <f t="shared" si="21"/>
        <v/>
      </c>
      <c r="C111" s="169"/>
      <c r="D111" s="169"/>
      <c r="E111" s="310"/>
      <c r="F111" s="176" t="str">
        <f t="shared" si="22"/>
        <v/>
      </c>
    </row>
    <row r="112" spans="1:6" ht="14.25" x14ac:dyDescent="0.2">
      <c r="A112" s="309"/>
      <c r="B112" s="176" t="str">
        <f t="shared" si="21"/>
        <v/>
      </c>
      <c r="C112" s="169"/>
      <c r="D112" s="169"/>
      <c r="E112" s="310"/>
      <c r="F112" s="176" t="str">
        <f t="shared" si="22"/>
        <v/>
      </c>
    </row>
    <row r="113" spans="1:6" x14ac:dyDescent="0.2">
      <c r="B113" s="172"/>
    </row>
    <row r="114" spans="1:6" x14ac:dyDescent="0.2">
      <c r="A114" s="173" t="str">
        <f>IF(F105="","","Amostra")</f>
        <v/>
      </c>
      <c r="B114" s="174" t="str">
        <f>IF('Massas Corrigidas'!I126="","",'Massas Corrigidas'!I126)</f>
        <v/>
      </c>
      <c r="E114" s="173" t="str">
        <f>IF(B114="","","Amostra")</f>
        <v/>
      </c>
      <c r="F114" s="174" t="str">
        <f>IF('Massas Corrigidas'!I131="","",'Massas Corrigidas'!I131)</f>
        <v/>
      </c>
    </row>
    <row r="115" spans="1:6" ht="14.25" x14ac:dyDescent="0.2">
      <c r="A115" s="310"/>
      <c r="B115" s="176" t="str">
        <f>(IF(A115="","",A115-(IFERROR(AVERAGE($C$25:$C$31),"0"))))</f>
        <v/>
      </c>
      <c r="C115" s="169"/>
      <c r="D115" s="169"/>
      <c r="E115" s="309"/>
      <c r="F115" s="176" t="str">
        <f>(IF(E115="","",E115-(IFERROR(AVERAGE($C$25:$C$31),"0"))))</f>
        <v/>
      </c>
    </row>
    <row r="116" spans="1:6" ht="14.25" x14ac:dyDescent="0.2">
      <c r="A116" s="310"/>
      <c r="B116" s="176" t="str">
        <f t="shared" ref="B116:B121" si="23">(IF(A116="","",A116-(IFERROR(AVERAGE($C$25:$C$31),"0"))))</f>
        <v/>
      </c>
      <c r="C116" s="169"/>
      <c r="D116" s="169"/>
      <c r="E116" s="309"/>
      <c r="F116" s="176" t="str">
        <f t="shared" ref="F116:F121" si="24">(IF(E116="","",E116-(IFERROR(AVERAGE($C$25:$C$31),"0"))))</f>
        <v/>
      </c>
    </row>
    <row r="117" spans="1:6" ht="14.25" x14ac:dyDescent="0.2">
      <c r="A117" s="310"/>
      <c r="B117" s="176" t="str">
        <f t="shared" si="23"/>
        <v/>
      </c>
      <c r="C117" s="169"/>
      <c r="D117" s="169"/>
      <c r="E117" s="309"/>
      <c r="F117" s="176" t="str">
        <f t="shared" si="24"/>
        <v/>
      </c>
    </row>
    <row r="118" spans="1:6" ht="14.25" x14ac:dyDescent="0.2">
      <c r="A118" s="310"/>
      <c r="B118" s="176" t="str">
        <f t="shared" si="23"/>
        <v/>
      </c>
      <c r="C118" s="169"/>
      <c r="D118" s="169"/>
      <c r="E118" s="309"/>
      <c r="F118" s="176" t="str">
        <f t="shared" si="24"/>
        <v/>
      </c>
    </row>
    <row r="119" spans="1:6" ht="14.25" x14ac:dyDescent="0.2">
      <c r="A119" s="310"/>
      <c r="B119" s="176" t="str">
        <f t="shared" si="23"/>
        <v/>
      </c>
      <c r="C119" s="169"/>
      <c r="D119" s="169"/>
      <c r="E119" s="309"/>
      <c r="F119" s="176" t="str">
        <f t="shared" si="24"/>
        <v/>
      </c>
    </row>
    <row r="120" spans="1:6" ht="14.25" x14ac:dyDescent="0.2">
      <c r="A120" s="310"/>
      <c r="B120" s="176" t="str">
        <f t="shared" si="23"/>
        <v/>
      </c>
      <c r="C120" s="169"/>
      <c r="D120" s="169"/>
      <c r="E120" s="309"/>
      <c r="F120" s="176" t="str">
        <f t="shared" si="24"/>
        <v/>
      </c>
    </row>
    <row r="121" spans="1:6" ht="14.25" x14ac:dyDescent="0.2">
      <c r="A121" s="310"/>
      <c r="B121" s="176" t="str">
        <f t="shared" si="23"/>
        <v/>
      </c>
      <c r="C121" s="169"/>
      <c r="D121" s="169"/>
      <c r="E121" s="309"/>
      <c r="F121" s="176" t="str">
        <f t="shared" si="24"/>
        <v/>
      </c>
    </row>
    <row r="122" spans="1:6" x14ac:dyDescent="0.2">
      <c r="B122" s="172"/>
    </row>
    <row r="123" spans="1:6" x14ac:dyDescent="0.2">
      <c r="A123" s="173" t="str">
        <f>IF(F114="","","Amostra")</f>
        <v/>
      </c>
      <c r="B123" s="174" t="str">
        <f>IF('Massas Corrigidas'!I136="","",'Massas Corrigidas'!I136)</f>
        <v/>
      </c>
      <c r="E123" s="173" t="str">
        <f>IF(B123="","","Amostra")</f>
        <v/>
      </c>
      <c r="F123" s="174" t="str">
        <f>IF('Massas Corrigidas'!I141="","",'Massas Corrigidas'!I141)</f>
        <v/>
      </c>
    </row>
    <row r="124" spans="1:6" ht="14.25" x14ac:dyDescent="0.2">
      <c r="A124" s="309"/>
      <c r="B124" s="176" t="str">
        <f>(IF(A124="","",A124-(IFERROR(AVERAGE($C$25:$C$31),"0"))))</f>
        <v/>
      </c>
      <c r="C124" s="169"/>
      <c r="D124" s="169"/>
      <c r="E124" s="309"/>
      <c r="F124" s="176" t="str">
        <f>(IF(E124="","",E124-(IFERROR(AVERAGE($C$25:$C$31),"0"))))</f>
        <v/>
      </c>
    </row>
    <row r="125" spans="1:6" ht="14.25" x14ac:dyDescent="0.2">
      <c r="A125" s="309"/>
      <c r="B125" s="176" t="str">
        <f t="shared" ref="B125:B130" si="25">(IF(A125="","",A125-(IFERROR(AVERAGE($C$25:$C$31),"0"))))</f>
        <v/>
      </c>
      <c r="C125" s="169"/>
      <c r="D125" s="169"/>
      <c r="E125" s="309"/>
      <c r="F125" s="176" t="str">
        <f t="shared" ref="F125:F130" si="26">(IF(E125="","",E125-(IFERROR(AVERAGE($C$25:$C$31),"0"))))</f>
        <v/>
      </c>
    </row>
    <row r="126" spans="1:6" ht="14.25" x14ac:dyDescent="0.2">
      <c r="A126" s="309"/>
      <c r="B126" s="176" t="str">
        <f t="shared" si="25"/>
        <v/>
      </c>
      <c r="C126" s="169"/>
      <c r="D126" s="169"/>
      <c r="E126" s="309"/>
      <c r="F126" s="176" t="str">
        <f t="shared" si="26"/>
        <v/>
      </c>
    </row>
    <row r="127" spans="1:6" ht="14.25" x14ac:dyDescent="0.2">
      <c r="A127" s="309"/>
      <c r="B127" s="176" t="str">
        <f t="shared" si="25"/>
        <v/>
      </c>
      <c r="C127" s="169"/>
      <c r="D127" s="169"/>
      <c r="E127" s="309"/>
      <c r="F127" s="176" t="str">
        <f t="shared" si="26"/>
        <v/>
      </c>
    </row>
    <row r="128" spans="1:6" ht="14.25" x14ac:dyDescent="0.2">
      <c r="A128" s="309"/>
      <c r="B128" s="176" t="str">
        <f t="shared" si="25"/>
        <v/>
      </c>
      <c r="C128" s="169"/>
      <c r="D128" s="169"/>
      <c r="E128" s="309"/>
      <c r="F128" s="176" t="str">
        <f t="shared" si="26"/>
        <v/>
      </c>
    </row>
    <row r="129" spans="1:6" ht="14.25" x14ac:dyDescent="0.2">
      <c r="A129" s="309"/>
      <c r="B129" s="176" t="str">
        <f t="shared" si="25"/>
        <v/>
      </c>
      <c r="C129" s="169"/>
      <c r="D129" s="169"/>
      <c r="E129" s="309"/>
      <c r="F129" s="176" t="str">
        <f t="shared" si="26"/>
        <v/>
      </c>
    </row>
    <row r="130" spans="1:6" ht="14.25" x14ac:dyDescent="0.2">
      <c r="A130" s="309"/>
      <c r="B130" s="176" t="str">
        <f t="shared" si="25"/>
        <v/>
      </c>
      <c r="C130" s="169"/>
      <c r="D130" s="169"/>
      <c r="E130" s="309"/>
      <c r="F130" s="176" t="str">
        <f t="shared" si="26"/>
        <v/>
      </c>
    </row>
    <row r="131" spans="1:6" x14ac:dyDescent="0.2">
      <c r="B131" s="172"/>
    </row>
    <row r="132" spans="1:6" x14ac:dyDescent="0.2">
      <c r="A132" s="173" t="str">
        <f>IF(F123="","","Amostra")</f>
        <v/>
      </c>
      <c r="B132" s="174" t="str">
        <f>IF('Massas Corrigidas'!I146="","",'Massas Corrigidas'!I146)</f>
        <v/>
      </c>
      <c r="E132" s="173" t="str">
        <f>IF(B132="","","Amostra")</f>
        <v/>
      </c>
      <c r="F132" s="174" t="str">
        <f>IF('Massas Corrigidas'!I151="","",'Massas Corrigidas'!I151)</f>
        <v/>
      </c>
    </row>
    <row r="133" spans="1:6" ht="14.25" x14ac:dyDescent="0.2">
      <c r="A133" s="309"/>
      <c r="B133" s="176" t="str">
        <f>(IF(A133="","",A133-(IFERROR(AVERAGE($C$25:$C$31),"0"))))</f>
        <v/>
      </c>
      <c r="C133" s="169"/>
      <c r="D133" s="169"/>
      <c r="E133" s="309"/>
      <c r="F133" s="176" t="str">
        <f>(IF(E133="","",E133-(IFERROR(AVERAGE($C$25:$C$31),"0"))))</f>
        <v/>
      </c>
    </row>
    <row r="134" spans="1:6" ht="14.25" x14ac:dyDescent="0.2">
      <c r="A134" s="309"/>
      <c r="B134" s="176" t="str">
        <f t="shared" ref="B134:B139" si="27">(IF(A134="","",A134-(IFERROR(AVERAGE($C$25:$C$31),"0"))))</f>
        <v/>
      </c>
      <c r="C134" s="169"/>
      <c r="D134" s="169"/>
      <c r="E134" s="309"/>
      <c r="F134" s="176" t="str">
        <f t="shared" ref="F134:F139" si="28">(IF(E134="","",E134-(IFERROR(AVERAGE($C$25:$C$31),"0"))))</f>
        <v/>
      </c>
    </row>
    <row r="135" spans="1:6" ht="14.25" x14ac:dyDescent="0.2">
      <c r="A135" s="309"/>
      <c r="B135" s="176" t="str">
        <f t="shared" si="27"/>
        <v/>
      </c>
      <c r="C135" s="169"/>
      <c r="D135" s="169"/>
      <c r="E135" s="309"/>
      <c r="F135" s="176" t="str">
        <f t="shared" si="28"/>
        <v/>
      </c>
    </row>
    <row r="136" spans="1:6" ht="14.25" x14ac:dyDescent="0.2">
      <c r="A136" s="309"/>
      <c r="B136" s="176" t="str">
        <f t="shared" si="27"/>
        <v/>
      </c>
      <c r="C136" s="169"/>
      <c r="D136" s="169"/>
      <c r="E136" s="309"/>
      <c r="F136" s="176" t="str">
        <f t="shared" si="28"/>
        <v/>
      </c>
    </row>
    <row r="137" spans="1:6" ht="14.25" x14ac:dyDescent="0.2">
      <c r="A137" s="309"/>
      <c r="B137" s="176" t="str">
        <f t="shared" si="27"/>
        <v/>
      </c>
      <c r="C137" s="169"/>
      <c r="D137" s="169"/>
      <c r="E137" s="309"/>
      <c r="F137" s="176" t="str">
        <f t="shared" si="28"/>
        <v/>
      </c>
    </row>
    <row r="138" spans="1:6" ht="14.25" x14ac:dyDescent="0.2">
      <c r="A138" s="309"/>
      <c r="B138" s="176" t="str">
        <f t="shared" si="27"/>
        <v/>
      </c>
      <c r="C138" s="169"/>
      <c r="D138" s="169"/>
      <c r="E138" s="309"/>
      <c r="F138" s="176" t="str">
        <f t="shared" si="28"/>
        <v/>
      </c>
    </row>
    <row r="139" spans="1:6" ht="14.25" x14ac:dyDescent="0.2">
      <c r="A139" s="309"/>
      <c r="B139" s="176" t="str">
        <f t="shared" si="27"/>
        <v/>
      </c>
      <c r="C139" s="169"/>
      <c r="D139" s="169"/>
      <c r="E139" s="309"/>
      <c r="F139" s="176" t="str">
        <f t="shared" si="28"/>
        <v/>
      </c>
    </row>
    <row r="140" spans="1:6" x14ac:dyDescent="0.2">
      <c r="B140" s="172"/>
    </row>
    <row r="141" spans="1:6" x14ac:dyDescent="0.2">
      <c r="A141" s="173" t="str">
        <f>IF(F132="","","Amostra")</f>
        <v/>
      </c>
      <c r="B141" s="174" t="str">
        <f>IF('Massas Corrigidas'!I156="","",'Massas Corrigidas'!I156)</f>
        <v/>
      </c>
      <c r="E141" s="173" t="str">
        <f>IF(B141="","","Amostra")</f>
        <v/>
      </c>
      <c r="F141" s="174" t="str">
        <f>IF('Massas Corrigidas'!I161="","",'Massas Corrigidas'!I161)</f>
        <v/>
      </c>
    </row>
    <row r="142" spans="1:6" ht="14.25" x14ac:dyDescent="0.2">
      <c r="A142" s="309"/>
      <c r="B142" s="176" t="str">
        <f>(IF(A142="","",A142-(IFERROR(AVERAGE($C$25:$C$31),"0"))))</f>
        <v/>
      </c>
      <c r="C142" s="169"/>
      <c r="D142" s="169"/>
      <c r="E142" s="310"/>
      <c r="F142" s="176" t="str">
        <f>(IF(E142="","",E142-(IFERROR(AVERAGE($C$25:$C$31),"0"))))</f>
        <v/>
      </c>
    </row>
    <row r="143" spans="1:6" ht="14.25" x14ac:dyDescent="0.2">
      <c r="A143" s="309"/>
      <c r="B143" s="176" t="str">
        <f t="shared" ref="B143:B148" si="29">(IF(A143="","",A143-(IFERROR(AVERAGE($C$25:$C$31),"0"))))</f>
        <v/>
      </c>
      <c r="C143" s="169"/>
      <c r="D143" s="169"/>
      <c r="E143" s="310"/>
      <c r="F143" s="176" t="str">
        <f t="shared" ref="F143:F148" si="30">(IF(E143="","",E143-(IFERROR(AVERAGE($C$25:$C$31),"0"))))</f>
        <v/>
      </c>
    </row>
    <row r="144" spans="1:6" ht="14.25" x14ac:dyDescent="0.2">
      <c r="A144" s="309"/>
      <c r="B144" s="176" t="str">
        <f t="shared" si="29"/>
        <v/>
      </c>
      <c r="C144" s="169"/>
      <c r="D144" s="169"/>
      <c r="E144" s="310"/>
      <c r="F144" s="176" t="str">
        <f t="shared" si="30"/>
        <v/>
      </c>
    </row>
    <row r="145" spans="1:6" ht="14.25" x14ac:dyDescent="0.2">
      <c r="A145" s="309"/>
      <c r="B145" s="176" t="str">
        <f t="shared" si="29"/>
        <v/>
      </c>
      <c r="C145" s="169"/>
      <c r="D145" s="169"/>
      <c r="E145" s="310"/>
      <c r="F145" s="176" t="str">
        <f t="shared" si="30"/>
        <v/>
      </c>
    </row>
    <row r="146" spans="1:6" ht="14.25" x14ac:dyDescent="0.2">
      <c r="A146" s="309"/>
      <c r="B146" s="176" t="str">
        <f t="shared" si="29"/>
        <v/>
      </c>
      <c r="C146" s="169"/>
      <c r="D146" s="169"/>
      <c r="E146" s="310"/>
      <c r="F146" s="176" t="str">
        <f t="shared" si="30"/>
        <v/>
      </c>
    </row>
    <row r="147" spans="1:6" ht="14.25" x14ac:dyDescent="0.2">
      <c r="A147" s="309"/>
      <c r="B147" s="176" t="str">
        <f t="shared" si="29"/>
        <v/>
      </c>
      <c r="C147" s="169"/>
      <c r="D147" s="169"/>
      <c r="E147" s="310"/>
      <c r="F147" s="176" t="str">
        <f t="shared" si="30"/>
        <v/>
      </c>
    </row>
    <row r="148" spans="1:6" ht="14.25" x14ac:dyDescent="0.2">
      <c r="A148" s="309"/>
      <c r="B148" s="176" t="str">
        <f t="shared" si="29"/>
        <v/>
      </c>
      <c r="C148" s="169"/>
      <c r="D148" s="169"/>
      <c r="E148" s="310"/>
      <c r="F148" s="176" t="str">
        <f t="shared" si="30"/>
        <v/>
      </c>
    </row>
    <row r="149" spans="1:6" x14ac:dyDescent="0.2">
      <c r="B149" s="172"/>
    </row>
    <row r="150" spans="1:6" x14ac:dyDescent="0.2">
      <c r="A150" s="173" t="str">
        <f>IF(F141="","","Amostra")</f>
        <v/>
      </c>
      <c r="B150" s="174" t="str">
        <f>IF('Massas Corrigidas'!I166="","",'Massas Corrigidas'!I166)</f>
        <v/>
      </c>
      <c r="E150" s="173" t="str">
        <f>IF(B150="","","Amostra")</f>
        <v/>
      </c>
      <c r="F150" s="174" t="str">
        <f>IF('Massas Corrigidas'!I171="","",'Massas Corrigidas'!I171)</f>
        <v/>
      </c>
    </row>
    <row r="151" spans="1:6" ht="14.25" x14ac:dyDescent="0.2">
      <c r="A151" s="309"/>
      <c r="B151" s="176" t="str">
        <f>(IF(A151="","",A151-(IFERROR(AVERAGE($C$25:$C$31),"0"))))</f>
        <v/>
      </c>
      <c r="C151" s="169"/>
      <c r="D151" s="169"/>
      <c r="E151" s="1"/>
      <c r="F151" s="176" t="str">
        <f>(IF(E151="","",E151-(IFERROR(AVERAGE($C$25:$C$31),"0"))))</f>
        <v/>
      </c>
    </row>
    <row r="152" spans="1:6" ht="14.25" x14ac:dyDescent="0.2">
      <c r="A152" s="309"/>
      <c r="B152" s="176" t="str">
        <f t="shared" ref="B152:B157" si="31">(IF(A152="","",A152-(IFERROR(AVERAGE($C$25:$C$31),"0"))))</f>
        <v/>
      </c>
      <c r="C152" s="169"/>
      <c r="D152" s="169"/>
      <c r="E152" s="1"/>
      <c r="F152" s="176" t="str">
        <f t="shared" ref="F152:F157" si="32">(IF(E152="","",E152-(IFERROR(AVERAGE($C$25:$C$31),"0"))))</f>
        <v/>
      </c>
    </row>
    <row r="153" spans="1:6" ht="14.25" x14ac:dyDescent="0.2">
      <c r="A153" s="309"/>
      <c r="B153" s="176" t="str">
        <f t="shared" si="31"/>
        <v/>
      </c>
      <c r="C153" s="169"/>
      <c r="D153" s="169"/>
      <c r="E153" s="1"/>
      <c r="F153" s="176" t="str">
        <f t="shared" si="32"/>
        <v/>
      </c>
    </row>
    <row r="154" spans="1:6" ht="14.25" x14ac:dyDescent="0.2">
      <c r="A154" s="309"/>
      <c r="B154" s="176" t="str">
        <f t="shared" si="31"/>
        <v/>
      </c>
      <c r="C154" s="169"/>
      <c r="D154" s="169"/>
      <c r="E154" s="1"/>
      <c r="F154" s="176" t="str">
        <f t="shared" si="32"/>
        <v/>
      </c>
    </row>
    <row r="155" spans="1:6" ht="14.25" x14ac:dyDescent="0.2">
      <c r="A155" s="309"/>
      <c r="B155" s="176" t="str">
        <f t="shared" si="31"/>
        <v/>
      </c>
      <c r="C155" s="169"/>
      <c r="D155" s="169"/>
      <c r="E155" s="1"/>
      <c r="F155" s="176" t="str">
        <f t="shared" si="32"/>
        <v/>
      </c>
    </row>
    <row r="156" spans="1:6" ht="14.25" x14ac:dyDescent="0.2">
      <c r="A156" s="309"/>
      <c r="B156" s="176" t="str">
        <f t="shared" si="31"/>
        <v/>
      </c>
      <c r="C156" s="169"/>
      <c r="D156" s="169"/>
      <c r="E156" s="1"/>
      <c r="F156" s="176" t="str">
        <f t="shared" si="32"/>
        <v/>
      </c>
    </row>
    <row r="157" spans="1:6" ht="14.25" x14ac:dyDescent="0.2">
      <c r="A157" s="309"/>
      <c r="B157" s="176" t="str">
        <f t="shared" si="31"/>
        <v/>
      </c>
      <c r="C157" s="169"/>
      <c r="D157" s="169"/>
      <c r="E157" s="1"/>
      <c r="F157" s="176" t="str">
        <f t="shared" si="32"/>
        <v/>
      </c>
    </row>
    <row r="158" spans="1:6" x14ac:dyDescent="0.2">
      <c r="B158" s="172"/>
    </row>
    <row r="159" spans="1:6" x14ac:dyDescent="0.2">
      <c r="A159" s="176"/>
      <c r="B159" s="176"/>
      <c r="C159" s="169"/>
      <c r="D159" s="169"/>
      <c r="E159" s="176"/>
      <c r="F159" s="176"/>
    </row>
    <row r="160" spans="1:6" x14ac:dyDescent="0.2">
      <c r="A160" s="176"/>
      <c r="B160" s="176"/>
      <c r="C160" s="169"/>
      <c r="D160" s="169"/>
      <c r="E160" s="176"/>
      <c r="F160" s="176"/>
    </row>
    <row r="161" spans="1:6" x14ac:dyDescent="0.2">
      <c r="A161" s="176"/>
      <c r="B161" s="176"/>
      <c r="C161" s="169"/>
      <c r="D161" s="169"/>
      <c r="E161" s="176"/>
      <c r="F161" s="176"/>
    </row>
    <row r="162" spans="1:6" x14ac:dyDescent="0.2">
      <c r="A162" s="176"/>
      <c r="B162" s="176"/>
      <c r="C162" s="169"/>
      <c r="D162" s="169"/>
      <c r="E162" s="176"/>
      <c r="F162" s="176"/>
    </row>
    <row r="163" spans="1:6" x14ac:dyDescent="0.2">
      <c r="A163" s="176"/>
      <c r="B163" s="176"/>
      <c r="C163" s="169"/>
      <c r="D163" s="169"/>
      <c r="E163" s="176"/>
      <c r="F163" s="176"/>
    </row>
    <row r="164" spans="1:6" x14ac:dyDescent="0.2">
      <c r="A164" s="176"/>
      <c r="B164" s="176"/>
      <c r="C164" s="169"/>
      <c r="D164" s="169"/>
      <c r="E164" s="176"/>
      <c r="F164" s="176"/>
    </row>
    <row r="165" spans="1:6" x14ac:dyDescent="0.2">
      <c r="B165" s="172"/>
    </row>
    <row r="166" spans="1:6" x14ac:dyDescent="0.2">
      <c r="A166" s="173"/>
      <c r="B166" s="174"/>
      <c r="E166" s="173"/>
      <c r="F166" s="174"/>
    </row>
  </sheetData>
  <sheetProtection password="C7DA" sheet="1" objects="1" scenarios="1"/>
  <mergeCells count="4">
    <mergeCell ref="B13:H13"/>
    <mergeCell ref="B3:H3"/>
    <mergeCell ref="C1:D1"/>
    <mergeCell ref="C2:D2"/>
  </mergeCells>
  <conditionalFormatting sqref="A3:A28 B3:D1048576 A30:A1048576 E1:XFD1048576">
    <cfRule type="notContainsBlanks" dxfId="693" priority="714" stopIfTrue="1">
      <formula>LEN(TRIM(A1))&gt;0</formula>
    </cfRule>
  </conditionalFormatting>
  <conditionalFormatting sqref="B5:H11">
    <cfRule type="notContainsBlanks" dxfId="692" priority="638" stopIfTrue="1">
      <formula>LEN(TRIM(B5))&gt;0</formula>
    </cfRule>
  </conditionalFormatting>
  <conditionalFormatting sqref="B5:H11">
    <cfRule type="notContainsBlanks" dxfId="691" priority="637" stopIfTrue="1">
      <formula>LEN(TRIM(B5))&gt;0</formula>
    </cfRule>
  </conditionalFormatting>
  <conditionalFormatting sqref="A25:A28 A30">
    <cfRule type="notContainsBlanks" dxfId="690" priority="636" stopIfTrue="1">
      <formula>LEN(TRIM(A25))&gt;0</formula>
    </cfRule>
  </conditionalFormatting>
  <conditionalFormatting sqref="A25:A28 A30">
    <cfRule type="notContainsBlanks" dxfId="689" priority="635" stopIfTrue="1">
      <formula>LEN(TRIM(A25))&gt;0</formula>
    </cfRule>
  </conditionalFormatting>
  <conditionalFormatting sqref="A31">
    <cfRule type="notContainsBlanks" dxfId="688" priority="634" stopIfTrue="1">
      <formula>LEN(TRIM(A31))&gt;0</formula>
    </cfRule>
  </conditionalFormatting>
  <conditionalFormatting sqref="A31">
    <cfRule type="notContainsBlanks" dxfId="687" priority="633" stopIfTrue="1">
      <formula>LEN(TRIM(A31))&gt;0</formula>
    </cfRule>
  </conditionalFormatting>
  <conditionalFormatting sqref="E25:E28 E30">
    <cfRule type="notContainsBlanks" dxfId="686" priority="632" stopIfTrue="1">
      <formula>LEN(TRIM(E25))&gt;0</formula>
    </cfRule>
  </conditionalFormatting>
  <conditionalFormatting sqref="E25:E28 E30">
    <cfRule type="notContainsBlanks" dxfId="685" priority="631" stopIfTrue="1">
      <formula>LEN(TRIM(E25))&gt;0</formula>
    </cfRule>
  </conditionalFormatting>
  <conditionalFormatting sqref="E31">
    <cfRule type="notContainsBlanks" dxfId="684" priority="630" stopIfTrue="1">
      <formula>LEN(TRIM(E31))&gt;0</formula>
    </cfRule>
  </conditionalFormatting>
  <conditionalFormatting sqref="E31">
    <cfRule type="notContainsBlanks" dxfId="683" priority="629" stopIfTrue="1">
      <formula>LEN(TRIM(E31))&gt;0</formula>
    </cfRule>
  </conditionalFormatting>
  <conditionalFormatting sqref="A34:A37 A39">
    <cfRule type="notContainsBlanks" dxfId="682" priority="628" stopIfTrue="1">
      <formula>LEN(TRIM(A34))&gt;0</formula>
    </cfRule>
  </conditionalFormatting>
  <conditionalFormatting sqref="A34:A37 A39">
    <cfRule type="notContainsBlanks" dxfId="681" priority="627" stopIfTrue="1">
      <formula>LEN(TRIM(A34))&gt;0</formula>
    </cfRule>
  </conditionalFormatting>
  <conditionalFormatting sqref="A40">
    <cfRule type="notContainsBlanks" dxfId="680" priority="626" stopIfTrue="1">
      <formula>LEN(TRIM(A40))&gt;0</formula>
    </cfRule>
  </conditionalFormatting>
  <conditionalFormatting sqref="A40">
    <cfRule type="notContainsBlanks" dxfId="679" priority="625" stopIfTrue="1">
      <formula>LEN(TRIM(A40))&gt;0</formula>
    </cfRule>
  </conditionalFormatting>
  <conditionalFormatting sqref="E34:E37 E39">
    <cfRule type="notContainsBlanks" dxfId="678" priority="624" stopIfTrue="1">
      <formula>LEN(TRIM(E34))&gt;0</formula>
    </cfRule>
  </conditionalFormatting>
  <conditionalFormatting sqref="E34:E37 E39">
    <cfRule type="notContainsBlanks" dxfId="677" priority="623" stopIfTrue="1">
      <formula>LEN(TRIM(E34))&gt;0</formula>
    </cfRule>
  </conditionalFormatting>
  <conditionalFormatting sqref="E40">
    <cfRule type="notContainsBlanks" dxfId="676" priority="622" stopIfTrue="1">
      <formula>LEN(TRIM(E40))&gt;0</formula>
    </cfRule>
  </conditionalFormatting>
  <conditionalFormatting sqref="E40">
    <cfRule type="notContainsBlanks" dxfId="675" priority="621" stopIfTrue="1">
      <formula>LEN(TRIM(E40))&gt;0</formula>
    </cfRule>
  </conditionalFormatting>
  <conditionalFormatting sqref="A43:A46 A48">
    <cfRule type="notContainsBlanks" dxfId="674" priority="620" stopIfTrue="1">
      <formula>LEN(TRIM(A43))&gt;0</formula>
    </cfRule>
  </conditionalFormatting>
  <conditionalFormatting sqref="A43:A46 A48">
    <cfRule type="notContainsBlanks" dxfId="673" priority="619" stopIfTrue="1">
      <formula>LEN(TRIM(A43))&gt;0</formula>
    </cfRule>
  </conditionalFormatting>
  <conditionalFormatting sqref="A49">
    <cfRule type="notContainsBlanks" dxfId="672" priority="618" stopIfTrue="1">
      <formula>LEN(TRIM(A49))&gt;0</formula>
    </cfRule>
  </conditionalFormatting>
  <conditionalFormatting sqref="A49">
    <cfRule type="notContainsBlanks" dxfId="671" priority="617" stopIfTrue="1">
      <formula>LEN(TRIM(A49))&gt;0</formula>
    </cfRule>
  </conditionalFormatting>
  <conditionalFormatting sqref="E43:E46 E48">
    <cfRule type="notContainsBlanks" dxfId="670" priority="616" stopIfTrue="1">
      <formula>LEN(TRIM(E43))&gt;0</formula>
    </cfRule>
  </conditionalFormatting>
  <conditionalFormatting sqref="E43:E46 E48">
    <cfRule type="notContainsBlanks" dxfId="669" priority="615" stopIfTrue="1">
      <formula>LEN(TRIM(E43))&gt;0</formula>
    </cfRule>
  </conditionalFormatting>
  <conditionalFormatting sqref="E49">
    <cfRule type="notContainsBlanks" dxfId="668" priority="614" stopIfTrue="1">
      <formula>LEN(TRIM(E49))&gt;0</formula>
    </cfRule>
  </conditionalFormatting>
  <conditionalFormatting sqref="E49">
    <cfRule type="notContainsBlanks" dxfId="667" priority="613" stopIfTrue="1">
      <formula>LEN(TRIM(E49))&gt;0</formula>
    </cfRule>
  </conditionalFormatting>
  <conditionalFormatting sqref="A52:A55 A57">
    <cfRule type="notContainsBlanks" dxfId="666" priority="612" stopIfTrue="1">
      <formula>LEN(TRIM(A52))&gt;0</formula>
    </cfRule>
  </conditionalFormatting>
  <conditionalFormatting sqref="A52:A55 A57">
    <cfRule type="notContainsBlanks" dxfId="665" priority="611" stopIfTrue="1">
      <formula>LEN(TRIM(A52))&gt;0</formula>
    </cfRule>
  </conditionalFormatting>
  <conditionalFormatting sqref="A58">
    <cfRule type="notContainsBlanks" dxfId="664" priority="610" stopIfTrue="1">
      <formula>LEN(TRIM(A58))&gt;0</formula>
    </cfRule>
  </conditionalFormatting>
  <conditionalFormatting sqref="A58">
    <cfRule type="notContainsBlanks" dxfId="663" priority="609" stopIfTrue="1">
      <formula>LEN(TRIM(A58))&gt;0</formula>
    </cfRule>
  </conditionalFormatting>
  <conditionalFormatting sqref="E52:E55 E57">
    <cfRule type="notContainsBlanks" dxfId="662" priority="608" stopIfTrue="1">
      <formula>LEN(TRIM(E52))&gt;0</formula>
    </cfRule>
  </conditionalFormatting>
  <conditionalFormatting sqref="E52:E55 E57">
    <cfRule type="notContainsBlanks" dxfId="661" priority="607" stopIfTrue="1">
      <formula>LEN(TRIM(E52))&gt;0</formula>
    </cfRule>
  </conditionalFormatting>
  <conditionalFormatting sqref="E58">
    <cfRule type="notContainsBlanks" dxfId="660" priority="606" stopIfTrue="1">
      <formula>LEN(TRIM(E58))&gt;0</formula>
    </cfRule>
  </conditionalFormatting>
  <conditionalFormatting sqref="E58">
    <cfRule type="notContainsBlanks" dxfId="659" priority="605" stopIfTrue="1">
      <formula>LEN(TRIM(E58))&gt;0</formula>
    </cfRule>
  </conditionalFormatting>
  <conditionalFormatting sqref="A61:A64 A66">
    <cfRule type="notContainsBlanks" dxfId="658" priority="604" stopIfTrue="1">
      <formula>LEN(TRIM(A61))&gt;0</formula>
    </cfRule>
  </conditionalFormatting>
  <conditionalFormatting sqref="A61:A64 A66">
    <cfRule type="notContainsBlanks" dxfId="657" priority="603" stopIfTrue="1">
      <formula>LEN(TRIM(A61))&gt;0</formula>
    </cfRule>
  </conditionalFormatting>
  <conditionalFormatting sqref="A67">
    <cfRule type="notContainsBlanks" dxfId="656" priority="602" stopIfTrue="1">
      <formula>LEN(TRIM(A67))&gt;0</formula>
    </cfRule>
  </conditionalFormatting>
  <conditionalFormatting sqref="A67">
    <cfRule type="notContainsBlanks" dxfId="655" priority="601" stopIfTrue="1">
      <formula>LEN(TRIM(A67))&gt;0</formula>
    </cfRule>
  </conditionalFormatting>
  <conditionalFormatting sqref="E61:E64 E66">
    <cfRule type="notContainsBlanks" dxfId="654" priority="600" stopIfTrue="1">
      <formula>LEN(TRIM(E61))&gt;0</formula>
    </cfRule>
  </conditionalFormatting>
  <conditionalFormatting sqref="E61:E64 E66">
    <cfRule type="notContainsBlanks" dxfId="653" priority="599" stopIfTrue="1">
      <formula>LEN(TRIM(E61))&gt;0</formula>
    </cfRule>
  </conditionalFormatting>
  <conditionalFormatting sqref="E67">
    <cfRule type="notContainsBlanks" dxfId="652" priority="598" stopIfTrue="1">
      <formula>LEN(TRIM(E67))&gt;0</formula>
    </cfRule>
  </conditionalFormatting>
  <conditionalFormatting sqref="E67">
    <cfRule type="notContainsBlanks" dxfId="651" priority="597" stopIfTrue="1">
      <formula>LEN(TRIM(E67))&gt;0</formula>
    </cfRule>
  </conditionalFormatting>
  <conditionalFormatting sqref="A70:A73 A75">
    <cfRule type="notContainsBlanks" dxfId="650" priority="596" stopIfTrue="1">
      <formula>LEN(TRIM(A70))&gt;0</formula>
    </cfRule>
  </conditionalFormatting>
  <conditionalFormatting sqref="A70:A73 A75">
    <cfRule type="notContainsBlanks" dxfId="649" priority="595" stopIfTrue="1">
      <formula>LEN(TRIM(A70))&gt;0</formula>
    </cfRule>
  </conditionalFormatting>
  <conditionalFormatting sqref="A76">
    <cfRule type="notContainsBlanks" dxfId="648" priority="594" stopIfTrue="1">
      <formula>LEN(TRIM(A76))&gt;0</formula>
    </cfRule>
  </conditionalFormatting>
  <conditionalFormatting sqref="A76">
    <cfRule type="notContainsBlanks" dxfId="647" priority="593" stopIfTrue="1">
      <formula>LEN(TRIM(A76))&gt;0</formula>
    </cfRule>
  </conditionalFormatting>
  <conditionalFormatting sqref="E70:E73 E75">
    <cfRule type="notContainsBlanks" dxfId="646" priority="592" stopIfTrue="1">
      <formula>LEN(TRIM(E70))&gt;0</formula>
    </cfRule>
  </conditionalFormatting>
  <conditionalFormatting sqref="E70:E73 E75">
    <cfRule type="notContainsBlanks" dxfId="645" priority="591" stopIfTrue="1">
      <formula>LEN(TRIM(E70))&gt;0</formula>
    </cfRule>
  </conditionalFormatting>
  <conditionalFormatting sqref="E76">
    <cfRule type="notContainsBlanks" dxfId="644" priority="590" stopIfTrue="1">
      <formula>LEN(TRIM(E76))&gt;0</formula>
    </cfRule>
  </conditionalFormatting>
  <conditionalFormatting sqref="E76">
    <cfRule type="notContainsBlanks" dxfId="643" priority="589" stopIfTrue="1">
      <formula>LEN(TRIM(E76))&gt;0</formula>
    </cfRule>
  </conditionalFormatting>
  <conditionalFormatting sqref="A79:A82 A84">
    <cfRule type="notContainsBlanks" dxfId="642" priority="588" stopIfTrue="1">
      <formula>LEN(TRIM(A79))&gt;0</formula>
    </cfRule>
  </conditionalFormatting>
  <conditionalFormatting sqref="A79:A82 A84">
    <cfRule type="notContainsBlanks" dxfId="641" priority="587" stopIfTrue="1">
      <formula>LEN(TRIM(A79))&gt;0</formula>
    </cfRule>
  </conditionalFormatting>
  <conditionalFormatting sqref="A85">
    <cfRule type="notContainsBlanks" dxfId="640" priority="586" stopIfTrue="1">
      <formula>LEN(TRIM(A85))&gt;0</formula>
    </cfRule>
  </conditionalFormatting>
  <conditionalFormatting sqref="A85">
    <cfRule type="notContainsBlanks" dxfId="639" priority="585" stopIfTrue="1">
      <formula>LEN(TRIM(A85))&gt;0</formula>
    </cfRule>
  </conditionalFormatting>
  <conditionalFormatting sqref="E79:E82 E84">
    <cfRule type="notContainsBlanks" dxfId="638" priority="584" stopIfTrue="1">
      <formula>LEN(TRIM(E79))&gt;0</formula>
    </cfRule>
  </conditionalFormatting>
  <conditionalFormatting sqref="E79:E82 E84">
    <cfRule type="notContainsBlanks" dxfId="637" priority="583" stopIfTrue="1">
      <formula>LEN(TRIM(E79))&gt;0</formula>
    </cfRule>
  </conditionalFormatting>
  <conditionalFormatting sqref="E85">
    <cfRule type="notContainsBlanks" dxfId="636" priority="582" stopIfTrue="1">
      <formula>LEN(TRIM(E85))&gt;0</formula>
    </cfRule>
  </conditionalFormatting>
  <conditionalFormatting sqref="E85">
    <cfRule type="notContainsBlanks" dxfId="635" priority="581" stopIfTrue="1">
      <formula>LEN(TRIM(E85))&gt;0</formula>
    </cfRule>
  </conditionalFormatting>
  <conditionalFormatting sqref="A88:A91 A93">
    <cfRule type="notContainsBlanks" dxfId="634" priority="580" stopIfTrue="1">
      <formula>LEN(TRIM(A88))&gt;0</formula>
    </cfRule>
  </conditionalFormatting>
  <conditionalFormatting sqref="A88:A91 A93">
    <cfRule type="notContainsBlanks" dxfId="633" priority="579" stopIfTrue="1">
      <formula>LEN(TRIM(A88))&gt;0</formula>
    </cfRule>
  </conditionalFormatting>
  <conditionalFormatting sqref="A94">
    <cfRule type="notContainsBlanks" dxfId="632" priority="578" stopIfTrue="1">
      <formula>LEN(TRIM(A94))&gt;0</formula>
    </cfRule>
  </conditionalFormatting>
  <conditionalFormatting sqref="A94">
    <cfRule type="notContainsBlanks" dxfId="631" priority="577" stopIfTrue="1">
      <formula>LEN(TRIM(A94))&gt;0</formula>
    </cfRule>
  </conditionalFormatting>
  <conditionalFormatting sqref="E88:E91 E93">
    <cfRule type="notContainsBlanks" dxfId="630" priority="576" stopIfTrue="1">
      <formula>LEN(TRIM(E88))&gt;0</formula>
    </cfRule>
  </conditionalFormatting>
  <conditionalFormatting sqref="E88:E91 E93">
    <cfRule type="notContainsBlanks" dxfId="629" priority="575" stopIfTrue="1">
      <formula>LEN(TRIM(E88))&gt;0</formula>
    </cfRule>
  </conditionalFormatting>
  <conditionalFormatting sqref="E94">
    <cfRule type="notContainsBlanks" dxfId="628" priority="574" stopIfTrue="1">
      <formula>LEN(TRIM(E94))&gt;0</formula>
    </cfRule>
  </conditionalFormatting>
  <conditionalFormatting sqref="E94">
    <cfRule type="notContainsBlanks" dxfId="627" priority="573" stopIfTrue="1">
      <formula>LEN(TRIM(E94))&gt;0</formula>
    </cfRule>
  </conditionalFormatting>
  <conditionalFormatting sqref="A97:A100 A102">
    <cfRule type="notContainsBlanks" dxfId="626" priority="572" stopIfTrue="1">
      <formula>LEN(TRIM(A97))&gt;0</formula>
    </cfRule>
  </conditionalFormatting>
  <conditionalFormatting sqref="A97:A100 A102">
    <cfRule type="notContainsBlanks" dxfId="625" priority="571" stopIfTrue="1">
      <formula>LEN(TRIM(A97))&gt;0</formula>
    </cfRule>
  </conditionalFormatting>
  <conditionalFormatting sqref="A103">
    <cfRule type="notContainsBlanks" dxfId="624" priority="570" stopIfTrue="1">
      <formula>LEN(TRIM(A103))&gt;0</formula>
    </cfRule>
  </conditionalFormatting>
  <conditionalFormatting sqref="A103">
    <cfRule type="notContainsBlanks" dxfId="623" priority="569" stopIfTrue="1">
      <formula>LEN(TRIM(A103))&gt;0</formula>
    </cfRule>
  </conditionalFormatting>
  <conditionalFormatting sqref="E97:E100 E102">
    <cfRule type="notContainsBlanks" dxfId="622" priority="568" stopIfTrue="1">
      <formula>LEN(TRIM(E97))&gt;0</formula>
    </cfRule>
  </conditionalFormatting>
  <conditionalFormatting sqref="E97:E100 E102">
    <cfRule type="notContainsBlanks" dxfId="621" priority="567" stopIfTrue="1">
      <formula>LEN(TRIM(E97))&gt;0</formula>
    </cfRule>
  </conditionalFormatting>
  <conditionalFormatting sqref="E103">
    <cfRule type="notContainsBlanks" dxfId="620" priority="566" stopIfTrue="1">
      <formula>LEN(TRIM(E103))&gt;0</formula>
    </cfRule>
  </conditionalFormatting>
  <conditionalFormatting sqref="E103">
    <cfRule type="notContainsBlanks" dxfId="619" priority="565" stopIfTrue="1">
      <formula>LEN(TRIM(E103))&gt;0</formula>
    </cfRule>
  </conditionalFormatting>
  <conditionalFormatting sqref="A106:A109 A111">
    <cfRule type="notContainsBlanks" dxfId="618" priority="564" stopIfTrue="1">
      <formula>LEN(TRIM(A106))&gt;0</formula>
    </cfRule>
  </conditionalFormatting>
  <conditionalFormatting sqref="A106:A109 A111">
    <cfRule type="notContainsBlanks" dxfId="617" priority="563" stopIfTrue="1">
      <formula>LEN(TRIM(A106))&gt;0</formula>
    </cfRule>
  </conditionalFormatting>
  <conditionalFormatting sqref="A112">
    <cfRule type="notContainsBlanks" dxfId="616" priority="562" stopIfTrue="1">
      <formula>LEN(TRIM(A112))&gt;0</formula>
    </cfRule>
  </conditionalFormatting>
  <conditionalFormatting sqref="A112">
    <cfRule type="notContainsBlanks" dxfId="615" priority="561" stopIfTrue="1">
      <formula>LEN(TRIM(A112))&gt;0</formula>
    </cfRule>
  </conditionalFormatting>
  <conditionalFormatting sqref="E106:E109 E111">
    <cfRule type="notContainsBlanks" dxfId="614" priority="560" stopIfTrue="1">
      <formula>LEN(TRIM(E106))&gt;0</formula>
    </cfRule>
  </conditionalFormatting>
  <conditionalFormatting sqref="E106:E109 E111">
    <cfRule type="notContainsBlanks" dxfId="613" priority="559" stopIfTrue="1">
      <formula>LEN(TRIM(E106))&gt;0</formula>
    </cfRule>
  </conditionalFormatting>
  <conditionalFormatting sqref="E112">
    <cfRule type="notContainsBlanks" dxfId="612" priority="558" stopIfTrue="1">
      <formula>LEN(TRIM(E112))&gt;0</formula>
    </cfRule>
  </conditionalFormatting>
  <conditionalFormatting sqref="E112">
    <cfRule type="notContainsBlanks" dxfId="611" priority="557" stopIfTrue="1">
      <formula>LEN(TRIM(E112))&gt;0</formula>
    </cfRule>
  </conditionalFormatting>
  <conditionalFormatting sqref="A115:A118 A120">
    <cfRule type="notContainsBlanks" dxfId="610" priority="556" stopIfTrue="1">
      <formula>LEN(TRIM(A115))&gt;0</formula>
    </cfRule>
  </conditionalFormatting>
  <conditionalFormatting sqref="A115:A118 A120">
    <cfRule type="notContainsBlanks" dxfId="609" priority="555" stopIfTrue="1">
      <formula>LEN(TRIM(A115))&gt;0</formula>
    </cfRule>
  </conditionalFormatting>
  <conditionalFormatting sqref="A121">
    <cfRule type="notContainsBlanks" dxfId="608" priority="554" stopIfTrue="1">
      <formula>LEN(TRIM(A121))&gt;0</formula>
    </cfRule>
  </conditionalFormatting>
  <conditionalFormatting sqref="A121">
    <cfRule type="notContainsBlanks" dxfId="607" priority="553" stopIfTrue="1">
      <formula>LEN(TRIM(A121))&gt;0</formula>
    </cfRule>
  </conditionalFormatting>
  <conditionalFormatting sqref="E115:E118 E120">
    <cfRule type="notContainsBlanks" dxfId="606" priority="552" stopIfTrue="1">
      <formula>LEN(TRIM(E115))&gt;0</formula>
    </cfRule>
  </conditionalFormatting>
  <conditionalFormatting sqref="E115:E118 E120">
    <cfRule type="notContainsBlanks" dxfId="605" priority="551" stopIfTrue="1">
      <formula>LEN(TRIM(E115))&gt;0</formula>
    </cfRule>
  </conditionalFormatting>
  <conditionalFormatting sqref="E121">
    <cfRule type="notContainsBlanks" dxfId="604" priority="550" stopIfTrue="1">
      <formula>LEN(TRIM(E121))&gt;0</formula>
    </cfRule>
  </conditionalFormatting>
  <conditionalFormatting sqref="E121">
    <cfRule type="notContainsBlanks" dxfId="603" priority="549" stopIfTrue="1">
      <formula>LEN(TRIM(E121))&gt;0</formula>
    </cfRule>
  </conditionalFormatting>
  <conditionalFormatting sqref="A124:A127 A129">
    <cfRule type="notContainsBlanks" dxfId="602" priority="548" stopIfTrue="1">
      <formula>LEN(TRIM(A124))&gt;0</formula>
    </cfRule>
  </conditionalFormatting>
  <conditionalFormatting sqref="A124:A127 A129">
    <cfRule type="notContainsBlanks" dxfId="601" priority="547" stopIfTrue="1">
      <formula>LEN(TRIM(A124))&gt;0</formula>
    </cfRule>
  </conditionalFormatting>
  <conditionalFormatting sqref="A130">
    <cfRule type="notContainsBlanks" dxfId="600" priority="546" stopIfTrue="1">
      <formula>LEN(TRIM(A130))&gt;0</formula>
    </cfRule>
  </conditionalFormatting>
  <conditionalFormatting sqref="A130">
    <cfRule type="notContainsBlanks" dxfId="599" priority="545" stopIfTrue="1">
      <formula>LEN(TRIM(A130))&gt;0</formula>
    </cfRule>
  </conditionalFormatting>
  <conditionalFormatting sqref="E124:E127 E129">
    <cfRule type="notContainsBlanks" dxfId="598" priority="544" stopIfTrue="1">
      <formula>LEN(TRIM(E124))&gt;0</formula>
    </cfRule>
  </conditionalFormatting>
  <conditionalFormatting sqref="E124:E127 E129">
    <cfRule type="notContainsBlanks" dxfId="597" priority="543" stopIfTrue="1">
      <formula>LEN(TRIM(E124))&gt;0</formula>
    </cfRule>
  </conditionalFormatting>
  <conditionalFormatting sqref="E130">
    <cfRule type="notContainsBlanks" dxfId="596" priority="542" stopIfTrue="1">
      <formula>LEN(TRIM(E130))&gt;0</formula>
    </cfRule>
  </conditionalFormatting>
  <conditionalFormatting sqref="E130">
    <cfRule type="notContainsBlanks" dxfId="595" priority="541" stopIfTrue="1">
      <formula>LEN(TRIM(E130))&gt;0</formula>
    </cfRule>
  </conditionalFormatting>
  <conditionalFormatting sqref="A133:A136 A138">
    <cfRule type="notContainsBlanks" dxfId="594" priority="540" stopIfTrue="1">
      <formula>LEN(TRIM(A133))&gt;0</formula>
    </cfRule>
  </conditionalFormatting>
  <conditionalFormatting sqref="A133:A136 A138">
    <cfRule type="notContainsBlanks" dxfId="593" priority="539" stopIfTrue="1">
      <formula>LEN(TRIM(A133))&gt;0</formula>
    </cfRule>
  </conditionalFormatting>
  <conditionalFormatting sqref="A139">
    <cfRule type="notContainsBlanks" dxfId="592" priority="538" stopIfTrue="1">
      <formula>LEN(TRIM(A139))&gt;0</formula>
    </cfRule>
  </conditionalFormatting>
  <conditionalFormatting sqref="A139">
    <cfRule type="notContainsBlanks" dxfId="591" priority="537" stopIfTrue="1">
      <formula>LEN(TRIM(A139))&gt;0</formula>
    </cfRule>
  </conditionalFormatting>
  <conditionalFormatting sqref="E133:E136 E138">
    <cfRule type="notContainsBlanks" dxfId="590" priority="536" stopIfTrue="1">
      <formula>LEN(TRIM(E133))&gt;0</formula>
    </cfRule>
  </conditionalFormatting>
  <conditionalFormatting sqref="E133:E136 E138">
    <cfRule type="notContainsBlanks" dxfId="589" priority="535" stopIfTrue="1">
      <formula>LEN(TRIM(E133))&gt;0</formula>
    </cfRule>
  </conditionalFormatting>
  <conditionalFormatting sqref="E139">
    <cfRule type="notContainsBlanks" dxfId="588" priority="534" stopIfTrue="1">
      <formula>LEN(TRIM(E139))&gt;0</formula>
    </cfRule>
  </conditionalFormatting>
  <conditionalFormatting sqref="E139">
    <cfRule type="notContainsBlanks" dxfId="587" priority="533" stopIfTrue="1">
      <formula>LEN(TRIM(E139))&gt;0</formula>
    </cfRule>
  </conditionalFormatting>
  <conditionalFormatting sqref="A142:A145 A147">
    <cfRule type="notContainsBlanks" dxfId="586" priority="532" stopIfTrue="1">
      <formula>LEN(TRIM(A142))&gt;0</formula>
    </cfRule>
  </conditionalFormatting>
  <conditionalFormatting sqref="A142:A145 A147">
    <cfRule type="notContainsBlanks" dxfId="585" priority="531" stopIfTrue="1">
      <formula>LEN(TRIM(A142))&gt;0</formula>
    </cfRule>
  </conditionalFormatting>
  <conditionalFormatting sqref="A148">
    <cfRule type="notContainsBlanks" dxfId="584" priority="530" stopIfTrue="1">
      <formula>LEN(TRIM(A148))&gt;0</formula>
    </cfRule>
  </conditionalFormatting>
  <conditionalFormatting sqref="A148">
    <cfRule type="notContainsBlanks" dxfId="583" priority="529" stopIfTrue="1">
      <formula>LEN(TRIM(A148))&gt;0</formula>
    </cfRule>
  </conditionalFormatting>
  <conditionalFormatting sqref="E142:E145 E147">
    <cfRule type="notContainsBlanks" dxfId="582" priority="528" stopIfTrue="1">
      <formula>LEN(TRIM(E142))&gt;0</formula>
    </cfRule>
  </conditionalFormatting>
  <conditionalFormatting sqref="E142:E145 E147">
    <cfRule type="notContainsBlanks" dxfId="581" priority="527" stopIfTrue="1">
      <formula>LEN(TRIM(E142))&gt;0</formula>
    </cfRule>
  </conditionalFormatting>
  <conditionalFormatting sqref="E148">
    <cfRule type="notContainsBlanks" dxfId="580" priority="526" stopIfTrue="1">
      <formula>LEN(TRIM(E148))&gt;0</formula>
    </cfRule>
  </conditionalFormatting>
  <conditionalFormatting sqref="E148">
    <cfRule type="notContainsBlanks" dxfId="579" priority="525" stopIfTrue="1">
      <formula>LEN(TRIM(E148))&gt;0</formula>
    </cfRule>
  </conditionalFormatting>
  <conditionalFormatting sqref="A151:A154 A156">
    <cfRule type="notContainsBlanks" dxfId="578" priority="524" stopIfTrue="1">
      <formula>LEN(TRIM(A151))&gt;0</formula>
    </cfRule>
  </conditionalFormatting>
  <conditionalFormatting sqref="A151:A154 A156">
    <cfRule type="notContainsBlanks" dxfId="577" priority="523" stopIfTrue="1">
      <formula>LEN(TRIM(A151))&gt;0</formula>
    </cfRule>
  </conditionalFormatting>
  <conditionalFormatting sqref="A157">
    <cfRule type="notContainsBlanks" dxfId="576" priority="522" stopIfTrue="1">
      <formula>LEN(TRIM(A157))&gt;0</formula>
    </cfRule>
  </conditionalFormatting>
  <conditionalFormatting sqref="A157">
    <cfRule type="notContainsBlanks" dxfId="575" priority="521" stopIfTrue="1">
      <formula>LEN(TRIM(A157))&gt;0</formula>
    </cfRule>
  </conditionalFormatting>
  <conditionalFormatting sqref="E151:E154 E156">
    <cfRule type="notContainsBlanks" dxfId="574" priority="520" stopIfTrue="1">
      <formula>LEN(TRIM(E151))&gt;0</formula>
    </cfRule>
  </conditionalFormatting>
  <conditionalFormatting sqref="E151:E154 E156">
    <cfRule type="notContainsBlanks" dxfId="573" priority="519" stopIfTrue="1">
      <formula>LEN(TRIM(E151))&gt;0</formula>
    </cfRule>
  </conditionalFormatting>
  <conditionalFormatting sqref="E157">
    <cfRule type="notContainsBlanks" dxfId="572" priority="518" stopIfTrue="1">
      <formula>LEN(TRIM(E157))&gt;0</formula>
    </cfRule>
  </conditionalFormatting>
  <conditionalFormatting sqref="E157">
    <cfRule type="notContainsBlanks" dxfId="571" priority="517" stopIfTrue="1">
      <formula>LEN(TRIM(E157))&gt;0</formula>
    </cfRule>
  </conditionalFormatting>
  <conditionalFormatting sqref="B5:H11">
    <cfRule type="notContainsBlanks" dxfId="570" priority="516" stopIfTrue="1">
      <formula>LEN(TRIM(B5))&gt;0</formula>
    </cfRule>
  </conditionalFormatting>
  <conditionalFormatting sqref="B5:H11">
    <cfRule type="notContainsBlanks" dxfId="569" priority="515" stopIfTrue="1">
      <formula>LEN(TRIM(B5))&gt;0</formula>
    </cfRule>
  </conditionalFormatting>
  <conditionalFormatting sqref="A25:A28 A30:A31">
    <cfRule type="notContainsBlanks" dxfId="568" priority="514" stopIfTrue="1">
      <formula>LEN(TRIM(A25))&gt;0</formula>
    </cfRule>
  </conditionalFormatting>
  <conditionalFormatting sqref="A25:A28 A30:A31">
    <cfRule type="notContainsBlanks" dxfId="567" priority="513" stopIfTrue="1">
      <formula>LEN(TRIM(A25))&gt;0</formula>
    </cfRule>
  </conditionalFormatting>
  <conditionalFormatting sqref="E25:E31">
    <cfRule type="notContainsBlanks" dxfId="566" priority="512" stopIfTrue="1">
      <formula>LEN(TRIM(E25))&gt;0</formula>
    </cfRule>
  </conditionalFormatting>
  <conditionalFormatting sqref="E25:E31">
    <cfRule type="notContainsBlanks" dxfId="565" priority="511" stopIfTrue="1">
      <formula>LEN(TRIM(E25))&gt;0</formula>
    </cfRule>
  </conditionalFormatting>
  <conditionalFormatting sqref="A34:A40">
    <cfRule type="notContainsBlanks" dxfId="564" priority="510" stopIfTrue="1">
      <formula>LEN(TRIM(A34))&gt;0</formula>
    </cfRule>
  </conditionalFormatting>
  <conditionalFormatting sqref="A34:A40">
    <cfRule type="notContainsBlanks" dxfId="563" priority="509" stopIfTrue="1">
      <formula>LEN(TRIM(A34))&gt;0</formula>
    </cfRule>
  </conditionalFormatting>
  <conditionalFormatting sqref="E34:E37 E39">
    <cfRule type="notContainsBlanks" dxfId="562" priority="508" stopIfTrue="1">
      <formula>LEN(TRIM(E34))&gt;0</formula>
    </cfRule>
  </conditionalFormatting>
  <conditionalFormatting sqref="E34:E37 E39">
    <cfRule type="notContainsBlanks" dxfId="561" priority="507" stopIfTrue="1">
      <formula>LEN(TRIM(E34))&gt;0</formula>
    </cfRule>
  </conditionalFormatting>
  <conditionalFormatting sqref="E40">
    <cfRule type="notContainsBlanks" dxfId="560" priority="506" stopIfTrue="1">
      <formula>LEN(TRIM(E40))&gt;0</formula>
    </cfRule>
  </conditionalFormatting>
  <conditionalFormatting sqref="E40">
    <cfRule type="notContainsBlanks" dxfId="559" priority="505" stopIfTrue="1">
      <formula>LEN(TRIM(E40))&gt;0</formula>
    </cfRule>
  </conditionalFormatting>
  <conditionalFormatting sqref="E34:E40">
    <cfRule type="notContainsBlanks" dxfId="558" priority="504" stopIfTrue="1">
      <formula>LEN(TRIM(E34))&gt;0</formula>
    </cfRule>
  </conditionalFormatting>
  <conditionalFormatting sqref="E34:E40">
    <cfRule type="notContainsBlanks" dxfId="557" priority="503" stopIfTrue="1">
      <formula>LEN(TRIM(E34))&gt;0</formula>
    </cfRule>
  </conditionalFormatting>
  <conditionalFormatting sqref="A43:A46 A48">
    <cfRule type="notContainsBlanks" dxfId="556" priority="502" stopIfTrue="1">
      <formula>LEN(TRIM(A43))&gt;0</formula>
    </cfRule>
  </conditionalFormatting>
  <conditionalFormatting sqref="A43:A46 A48">
    <cfRule type="notContainsBlanks" dxfId="555" priority="501" stopIfTrue="1">
      <formula>LEN(TRIM(A43))&gt;0</formula>
    </cfRule>
  </conditionalFormatting>
  <conditionalFormatting sqref="A49">
    <cfRule type="notContainsBlanks" dxfId="554" priority="500" stopIfTrue="1">
      <formula>LEN(TRIM(A49))&gt;0</formula>
    </cfRule>
  </conditionalFormatting>
  <conditionalFormatting sqref="A49">
    <cfRule type="notContainsBlanks" dxfId="553" priority="499" stopIfTrue="1">
      <formula>LEN(TRIM(A49))&gt;0</formula>
    </cfRule>
  </conditionalFormatting>
  <conditionalFormatting sqref="A43:A49">
    <cfRule type="notContainsBlanks" dxfId="552" priority="498" stopIfTrue="1">
      <formula>LEN(TRIM(A43))&gt;0</formula>
    </cfRule>
  </conditionalFormatting>
  <conditionalFormatting sqref="A43:A49">
    <cfRule type="notContainsBlanks" dxfId="551" priority="497" stopIfTrue="1">
      <formula>LEN(TRIM(A43))&gt;0</formula>
    </cfRule>
  </conditionalFormatting>
  <conditionalFormatting sqref="E43:E46 E48">
    <cfRule type="notContainsBlanks" dxfId="550" priority="496" stopIfTrue="1">
      <formula>LEN(TRIM(E43))&gt;0</formula>
    </cfRule>
  </conditionalFormatting>
  <conditionalFormatting sqref="E43:E46 E48">
    <cfRule type="notContainsBlanks" dxfId="549" priority="495" stopIfTrue="1">
      <formula>LEN(TRIM(E43))&gt;0</formula>
    </cfRule>
  </conditionalFormatting>
  <conditionalFormatting sqref="E49">
    <cfRule type="notContainsBlanks" dxfId="548" priority="494" stopIfTrue="1">
      <formula>LEN(TRIM(E49))&gt;0</formula>
    </cfRule>
  </conditionalFormatting>
  <conditionalFormatting sqref="E49">
    <cfRule type="notContainsBlanks" dxfId="547" priority="493" stopIfTrue="1">
      <formula>LEN(TRIM(E49))&gt;0</formula>
    </cfRule>
  </conditionalFormatting>
  <conditionalFormatting sqref="E43:E49">
    <cfRule type="notContainsBlanks" dxfId="546" priority="492" stopIfTrue="1">
      <formula>LEN(TRIM(E43))&gt;0</formula>
    </cfRule>
  </conditionalFormatting>
  <conditionalFormatting sqref="E43:E49">
    <cfRule type="notContainsBlanks" dxfId="545" priority="491" stopIfTrue="1">
      <formula>LEN(TRIM(E43))&gt;0</formula>
    </cfRule>
  </conditionalFormatting>
  <conditionalFormatting sqref="A52:A55 A57">
    <cfRule type="notContainsBlanks" dxfId="544" priority="490" stopIfTrue="1">
      <formula>LEN(TRIM(A52))&gt;0</formula>
    </cfRule>
  </conditionalFormatting>
  <conditionalFormatting sqref="A52:A55 A57">
    <cfRule type="notContainsBlanks" dxfId="543" priority="489" stopIfTrue="1">
      <formula>LEN(TRIM(A52))&gt;0</formula>
    </cfRule>
  </conditionalFormatting>
  <conditionalFormatting sqref="A58">
    <cfRule type="notContainsBlanks" dxfId="542" priority="488" stopIfTrue="1">
      <formula>LEN(TRIM(A58))&gt;0</formula>
    </cfRule>
  </conditionalFormatting>
  <conditionalFormatting sqref="A58">
    <cfRule type="notContainsBlanks" dxfId="541" priority="487" stopIfTrue="1">
      <formula>LEN(TRIM(A58))&gt;0</formula>
    </cfRule>
  </conditionalFormatting>
  <conditionalFormatting sqref="A52:A58">
    <cfRule type="notContainsBlanks" dxfId="540" priority="486" stopIfTrue="1">
      <formula>LEN(TRIM(A52))&gt;0</formula>
    </cfRule>
  </conditionalFormatting>
  <conditionalFormatting sqref="A52:A58">
    <cfRule type="notContainsBlanks" dxfId="539" priority="485" stopIfTrue="1">
      <formula>LEN(TRIM(A52))&gt;0</formula>
    </cfRule>
  </conditionalFormatting>
  <conditionalFormatting sqref="E52:E55 E57">
    <cfRule type="notContainsBlanks" dxfId="538" priority="484" stopIfTrue="1">
      <formula>LEN(TRIM(E52))&gt;0</formula>
    </cfRule>
  </conditionalFormatting>
  <conditionalFormatting sqref="E52:E55 E57">
    <cfRule type="notContainsBlanks" dxfId="537" priority="483" stopIfTrue="1">
      <formula>LEN(TRIM(E52))&gt;0</formula>
    </cfRule>
  </conditionalFormatting>
  <conditionalFormatting sqref="E58">
    <cfRule type="notContainsBlanks" dxfId="536" priority="482" stopIfTrue="1">
      <formula>LEN(TRIM(E58))&gt;0</formula>
    </cfRule>
  </conditionalFormatting>
  <conditionalFormatting sqref="E58">
    <cfRule type="notContainsBlanks" dxfId="535" priority="481" stopIfTrue="1">
      <formula>LEN(TRIM(E58))&gt;0</formula>
    </cfRule>
  </conditionalFormatting>
  <conditionalFormatting sqref="E52:E58">
    <cfRule type="notContainsBlanks" dxfId="534" priority="480" stopIfTrue="1">
      <formula>LEN(TRIM(E52))&gt;0</formula>
    </cfRule>
  </conditionalFormatting>
  <conditionalFormatting sqref="E52:E58">
    <cfRule type="notContainsBlanks" dxfId="533" priority="479" stopIfTrue="1">
      <formula>LEN(TRIM(E52))&gt;0</formula>
    </cfRule>
  </conditionalFormatting>
  <conditionalFormatting sqref="A61:A64 A66">
    <cfRule type="notContainsBlanks" dxfId="532" priority="478" stopIfTrue="1">
      <formula>LEN(TRIM(A61))&gt;0</formula>
    </cfRule>
  </conditionalFormatting>
  <conditionalFormatting sqref="A61:A64 A66">
    <cfRule type="notContainsBlanks" dxfId="531" priority="477" stopIfTrue="1">
      <formula>LEN(TRIM(A61))&gt;0</formula>
    </cfRule>
  </conditionalFormatting>
  <conditionalFormatting sqref="A67">
    <cfRule type="notContainsBlanks" dxfId="530" priority="476" stopIfTrue="1">
      <formula>LEN(TRIM(A67))&gt;0</formula>
    </cfRule>
  </conditionalFormatting>
  <conditionalFormatting sqref="A67">
    <cfRule type="notContainsBlanks" dxfId="529" priority="475" stopIfTrue="1">
      <formula>LEN(TRIM(A67))&gt;0</formula>
    </cfRule>
  </conditionalFormatting>
  <conditionalFormatting sqref="A61:A67">
    <cfRule type="notContainsBlanks" dxfId="528" priority="474" stopIfTrue="1">
      <formula>LEN(TRIM(A61))&gt;0</formula>
    </cfRule>
  </conditionalFormatting>
  <conditionalFormatting sqref="A61:A67">
    <cfRule type="notContainsBlanks" dxfId="527" priority="473" stopIfTrue="1">
      <formula>LEN(TRIM(A61))&gt;0</formula>
    </cfRule>
  </conditionalFormatting>
  <conditionalFormatting sqref="E61:E64 E66">
    <cfRule type="notContainsBlanks" dxfId="526" priority="472" stopIfTrue="1">
      <formula>LEN(TRIM(E61))&gt;0</formula>
    </cfRule>
  </conditionalFormatting>
  <conditionalFormatting sqref="E61:E64 E66">
    <cfRule type="notContainsBlanks" dxfId="525" priority="471" stopIfTrue="1">
      <formula>LEN(TRIM(E61))&gt;0</formula>
    </cfRule>
  </conditionalFormatting>
  <conditionalFormatting sqref="E67">
    <cfRule type="notContainsBlanks" dxfId="524" priority="470" stopIfTrue="1">
      <formula>LEN(TRIM(E67))&gt;0</formula>
    </cfRule>
  </conditionalFormatting>
  <conditionalFormatting sqref="E67">
    <cfRule type="notContainsBlanks" dxfId="523" priority="469" stopIfTrue="1">
      <formula>LEN(TRIM(E67))&gt;0</formula>
    </cfRule>
  </conditionalFormatting>
  <conditionalFormatting sqref="E61:E67">
    <cfRule type="notContainsBlanks" dxfId="522" priority="468" stopIfTrue="1">
      <formula>LEN(TRIM(E61))&gt;0</formula>
    </cfRule>
  </conditionalFormatting>
  <conditionalFormatting sqref="E61:E67">
    <cfRule type="notContainsBlanks" dxfId="521" priority="467" stopIfTrue="1">
      <formula>LEN(TRIM(E61))&gt;0</formula>
    </cfRule>
  </conditionalFormatting>
  <conditionalFormatting sqref="A70:A73 A75">
    <cfRule type="notContainsBlanks" dxfId="520" priority="466" stopIfTrue="1">
      <formula>LEN(TRIM(A70))&gt;0</formula>
    </cfRule>
  </conditionalFormatting>
  <conditionalFormatting sqref="A70:A73 A75">
    <cfRule type="notContainsBlanks" dxfId="519" priority="465" stopIfTrue="1">
      <formula>LEN(TRIM(A70))&gt;0</formula>
    </cfRule>
  </conditionalFormatting>
  <conditionalFormatting sqref="A76">
    <cfRule type="notContainsBlanks" dxfId="518" priority="464" stopIfTrue="1">
      <formula>LEN(TRIM(A76))&gt;0</formula>
    </cfRule>
  </conditionalFormatting>
  <conditionalFormatting sqref="A76">
    <cfRule type="notContainsBlanks" dxfId="517" priority="463" stopIfTrue="1">
      <formula>LEN(TRIM(A76))&gt;0</formula>
    </cfRule>
  </conditionalFormatting>
  <conditionalFormatting sqref="A70:A76">
    <cfRule type="notContainsBlanks" dxfId="516" priority="462" stopIfTrue="1">
      <formula>LEN(TRIM(A70))&gt;0</formula>
    </cfRule>
  </conditionalFormatting>
  <conditionalFormatting sqref="A70:A76">
    <cfRule type="notContainsBlanks" dxfId="515" priority="461" stopIfTrue="1">
      <formula>LEN(TRIM(A70))&gt;0</formula>
    </cfRule>
  </conditionalFormatting>
  <conditionalFormatting sqref="E70:E73 E75">
    <cfRule type="notContainsBlanks" dxfId="514" priority="460" stopIfTrue="1">
      <formula>LEN(TRIM(E70))&gt;0</formula>
    </cfRule>
  </conditionalFormatting>
  <conditionalFormatting sqref="E70:E73 E75">
    <cfRule type="notContainsBlanks" dxfId="513" priority="459" stopIfTrue="1">
      <formula>LEN(TRIM(E70))&gt;0</formula>
    </cfRule>
  </conditionalFormatting>
  <conditionalFormatting sqref="E76">
    <cfRule type="notContainsBlanks" dxfId="512" priority="458" stopIfTrue="1">
      <formula>LEN(TRIM(E76))&gt;0</formula>
    </cfRule>
  </conditionalFormatting>
  <conditionalFormatting sqref="E76">
    <cfRule type="notContainsBlanks" dxfId="511" priority="457" stopIfTrue="1">
      <formula>LEN(TRIM(E76))&gt;0</formula>
    </cfRule>
  </conditionalFormatting>
  <conditionalFormatting sqref="E70:E76">
    <cfRule type="notContainsBlanks" dxfId="510" priority="456" stopIfTrue="1">
      <formula>LEN(TRIM(E70))&gt;0</formula>
    </cfRule>
  </conditionalFormatting>
  <conditionalFormatting sqref="E70:E76">
    <cfRule type="notContainsBlanks" dxfId="509" priority="455" stopIfTrue="1">
      <formula>LEN(TRIM(E70))&gt;0</formula>
    </cfRule>
  </conditionalFormatting>
  <conditionalFormatting sqref="A79:A82 A84">
    <cfRule type="notContainsBlanks" dxfId="508" priority="454" stopIfTrue="1">
      <formula>LEN(TRIM(A79))&gt;0</formula>
    </cfRule>
  </conditionalFormatting>
  <conditionalFormatting sqref="A79:A82 A84">
    <cfRule type="notContainsBlanks" dxfId="507" priority="453" stopIfTrue="1">
      <formula>LEN(TRIM(A79))&gt;0</formula>
    </cfRule>
  </conditionalFormatting>
  <conditionalFormatting sqref="A85">
    <cfRule type="notContainsBlanks" dxfId="506" priority="452" stopIfTrue="1">
      <formula>LEN(TRIM(A85))&gt;0</formula>
    </cfRule>
  </conditionalFormatting>
  <conditionalFormatting sqref="A85">
    <cfRule type="notContainsBlanks" dxfId="505" priority="451" stopIfTrue="1">
      <formula>LEN(TRIM(A85))&gt;0</formula>
    </cfRule>
  </conditionalFormatting>
  <conditionalFormatting sqref="A79:A85">
    <cfRule type="notContainsBlanks" dxfId="504" priority="450" stopIfTrue="1">
      <formula>LEN(TRIM(A79))&gt;0</formula>
    </cfRule>
  </conditionalFormatting>
  <conditionalFormatting sqref="A79:A85">
    <cfRule type="notContainsBlanks" dxfId="503" priority="449" stopIfTrue="1">
      <formula>LEN(TRIM(A79))&gt;0</formula>
    </cfRule>
  </conditionalFormatting>
  <conditionalFormatting sqref="E79:E82 E84">
    <cfRule type="notContainsBlanks" dxfId="502" priority="448" stopIfTrue="1">
      <formula>LEN(TRIM(E79))&gt;0</formula>
    </cfRule>
  </conditionalFormatting>
  <conditionalFormatting sqref="E79:E82 E84">
    <cfRule type="notContainsBlanks" dxfId="501" priority="447" stopIfTrue="1">
      <formula>LEN(TRIM(E79))&gt;0</formula>
    </cfRule>
  </conditionalFormatting>
  <conditionalFormatting sqref="E85">
    <cfRule type="notContainsBlanks" dxfId="500" priority="446" stopIfTrue="1">
      <formula>LEN(TRIM(E85))&gt;0</formula>
    </cfRule>
  </conditionalFormatting>
  <conditionalFormatting sqref="E85">
    <cfRule type="notContainsBlanks" dxfId="499" priority="445" stopIfTrue="1">
      <formula>LEN(TRIM(E85))&gt;0</formula>
    </cfRule>
  </conditionalFormatting>
  <conditionalFormatting sqref="E79:E85">
    <cfRule type="notContainsBlanks" dxfId="498" priority="444" stopIfTrue="1">
      <formula>LEN(TRIM(E79))&gt;0</formula>
    </cfRule>
  </conditionalFormatting>
  <conditionalFormatting sqref="E79:E85">
    <cfRule type="notContainsBlanks" dxfId="497" priority="443" stopIfTrue="1">
      <formula>LEN(TRIM(E79))&gt;0</formula>
    </cfRule>
  </conditionalFormatting>
  <conditionalFormatting sqref="A88:A91 A93">
    <cfRule type="notContainsBlanks" dxfId="496" priority="442" stopIfTrue="1">
      <formula>LEN(TRIM(A88))&gt;0</formula>
    </cfRule>
  </conditionalFormatting>
  <conditionalFormatting sqref="A88:A91 A93">
    <cfRule type="notContainsBlanks" dxfId="495" priority="441" stopIfTrue="1">
      <formula>LEN(TRIM(A88))&gt;0</formula>
    </cfRule>
  </conditionalFormatting>
  <conditionalFormatting sqref="A94">
    <cfRule type="notContainsBlanks" dxfId="494" priority="440" stopIfTrue="1">
      <formula>LEN(TRIM(A94))&gt;0</formula>
    </cfRule>
  </conditionalFormatting>
  <conditionalFormatting sqref="A94">
    <cfRule type="notContainsBlanks" dxfId="493" priority="439" stopIfTrue="1">
      <formula>LEN(TRIM(A94))&gt;0</formula>
    </cfRule>
  </conditionalFormatting>
  <conditionalFormatting sqref="A88:A94">
    <cfRule type="notContainsBlanks" dxfId="492" priority="438" stopIfTrue="1">
      <formula>LEN(TRIM(A88))&gt;0</formula>
    </cfRule>
  </conditionalFormatting>
  <conditionalFormatting sqref="A88:A94">
    <cfRule type="notContainsBlanks" dxfId="491" priority="437" stopIfTrue="1">
      <formula>LEN(TRIM(A88))&gt;0</formula>
    </cfRule>
  </conditionalFormatting>
  <conditionalFormatting sqref="E88:E91 E93">
    <cfRule type="notContainsBlanks" dxfId="490" priority="436" stopIfTrue="1">
      <formula>LEN(TRIM(E88))&gt;0</formula>
    </cfRule>
  </conditionalFormatting>
  <conditionalFormatting sqref="E88:E91 E93">
    <cfRule type="notContainsBlanks" dxfId="489" priority="435" stopIfTrue="1">
      <formula>LEN(TRIM(E88))&gt;0</formula>
    </cfRule>
  </conditionalFormatting>
  <conditionalFormatting sqref="E94">
    <cfRule type="notContainsBlanks" dxfId="488" priority="434" stopIfTrue="1">
      <formula>LEN(TRIM(E94))&gt;0</formula>
    </cfRule>
  </conditionalFormatting>
  <conditionalFormatting sqref="E94">
    <cfRule type="notContainsBlanks" dxfId="487" priority="433" stopIfTrue="1">
      <formula>LEN(TRIM(E94))&gt;0</formula>
    </cfRule>
  </conditionalFormatting>
  <conditionalFormatting sqref="E88:E94">
    <cfRule type="notContainsBlanks" dxfId="486" priority="432" stopIfTrue="1">
      <formula>LEN(TRIM(E88))&gt;0</formula>
    </cfRule>
  </conditionalFormatting>
  <conditionalFormatting sqref="E88:E94">
    <cfRule type="notContainsBlanks" dxfId="485" priority="431" stopIfTrue="1">
      <formula>LEN(TRIM(E88))&gt;0</formula>
    </cfRule>
  </conditionalFormatting>
  <conditionalFormatting sqref="A97:A100 A102">
    <cfRule type="notContainsBlanks" dxfId="484" priority="430" stopIfTrue="1">
      <formula>LEN(TRIM(A97))&gt;0</formula>
    </cfRule>
  </conditionalFormatting>
  <conditionalFormatting sqref="A97:A100 A102">
    <cfRule type="notContainsBlanks" dxfId="483" priority="429" stopIfTrue="1">
      <formula>LEN(TRIM(A97))&gt;0</formula>
    </cfRule>
  </conditionalFormatting>
  <conditionalFormatting sqref="A103">
    <cfRule type="notContainsBlanks" dxfId="482" priority="428" stopIfTrue="1">
      <formula>LEN(TRIM(A103))&gt;0</formula>
    </cfRule>
  </conditionalFormatting>
  <conditionalFormatting sqref="A103">
    <cfRule type="notContainsBlanks" dxfId="481" priority="427" stopIfTrue="1">
      <formula>LEN(TRIM(A103))&gt;0</formula>
    </cfRule>
  </conditionalFormatting>
  <conditionalFormatting sqref="A97:A103">
    <cfRule type="notContainsBlanks" dxfId="480" priority="426" stopIfTrue="1">
      <formula>LEN(TRIM(A97))&gt;0</formula>
    </cfRule>
  </conditionalFormatting>
  <conditionalFormatting sqref="A97:A103">
    <cfRule type="notContainsBlanks" dxfId="479" priority="425" stopIfTrue="1">
      <formula>LEN(TRIM(A97))&gt;0</formula>
    </cfRule>
  </conditionalFormatting>
  <conditionalFormatting sqref="E97:E100 E102">
    <cfRule type="notContainsBlanks" dxfId="478" priority="424" stopIfTrue="1">
      <formula>LEN(TRIM(E97))&gt;0</formula>
    </cfRule>
  </conditionalFormatting>
  <conditionalFormatting sqref="E97:E100 E102">
    <cfRule type="notContainsBlanks" dxfId="477" priority="423" stopIfTrue="1">
      <formula>LEN(TRIM(E97))&gt;0</formula>
    </cfRule>
  </conditionalFormatting>
  <conditionalFormatting sqref="E103">
    <cfRule type="notContainsBlanks" dxfId="476" priority="422" stopIfTrue="1">
      <formula>LEN(TRIM(E103))&gt;0</formula>
    </cfRule>
  </conditionalFormatting>
  <conditionalFormatting sqref="E103">
    <cfRule type="notContainsBlanks" dxfId="475" priority="421" stopIfTrue="1">
      <formula>LEN(TRIM(E103))&gt;0</formula>
    </cfRule>
  </conditionalFormatting>
  <conditionalFormatting sqref="E97:E103">
    <cfRule type="notContainsBlanks" dxfId="474" priority="420" stopIfTrue="1">
      <formula>LEN(TRIM(E97))&gt;0</formula>
    </cfRule>
  </conditionalFormatting>
  <conditionalFormatting sqref="E97:E103">
    <cfRule type="notContainsBlanks" dxfId="473" priority="419" stopIfTrue="1">
      <formula>LEN(TRIM(E97))&gt;0</formula>
    </cfRule>
  </conditionalFormatting>
  <conditionalFormatting sqref="A106:A109 A111">
    <cfRule type="notContainsBlanks" dxfId="472" priority="418" stopIfTrue="1">
      <formula>LEN(TRIM(A106))&gt;0</formula>
    </cfRule>
  </conditionalFormatting>
  <conditionalFormatting sqref="A106:A109 A111">
    <cfRule type="notContainsBlanks" dxfId="471" priority="417" stopIfTrue="1">
      <formula>LEN(TRIM(A106))&gt;0</formula>
    </cfRule>
  </conditionalFormatting>
  <conditionalFormatting sqref="A112">
    <cfRule type="notContainsBlanks" dxfId="470" priority="416" stopIfTrue="1">
      <formula>LEN(TRIM(A112))&gt;0</formula>
    </cfRule>
  </conditionalFormatting>
  <conditionalFormatting sqref="A112">
    <cfRule type="notContainsBlanks" dxfId="469" priority="415" stopIfTrue="1">
      <formula>LEN(TRIM(A112))&gt;0</formula>
    </cfRule>
  </conditionalFormatting>
  <conditionalFormatting sqref="A106:A112">
    <cfRule type="notContainsBlanks" dxfId="468" priority="414" stopIfTrue="1">
      <formula>LEN(TRIM(A106))&gt;0</formula>
    </cfRule>
  </conditionalFormatting>
  <conditionalFormatting sqref="A106:A112">
    <cfRule type="notContainsBlanks" dxfId="467" priority="413" stopIfTrue="1">
      <formula>LEN(TRIM(A106))&gt;0</formula>
    </cfRule>
  </conditionalFormatting>
  <conditionalFormatting sqref="E106:E109 E111">
    <cfRule type="notContainsBlanks" dxfId="466" priority="412" stopIfTrue="1">
      <formula>LEN(TRIM(E106))&gt;0</formula>
    </cfRule>
  </conditionalFormatting>
  <conditionalFormatting sqref="E106:E109 E111">
    <cfRule type="notContainsBlanks" dxfId="465" priority="411" stopIfTrue="1">
      <formula>LEN(TRIM(E106))&gt;0</formula>
    </cfRule>
  </conditionalFormatting>
  <conditionalFormatting sqref="E112">
    <cfRule type="notContainsBlanks" dxfId="464" priority="410" stopIfTrue="1">
      <formula>LEN(TRIM(E112))&gt;0</formula>
    </cfRule>
  </conditionalFormatting>
  <conditionalFormatting sqref="E112">
    <cfRule type="notContainsBlanks" dxfId="463" priority="409" stopIfTrue="1">
      <formula>LEN(TRIM(E112))&gt;0</formula>
    </cfRule>
  </conditionalFormatting>
  <conditionalFormatting sqref="E106:E112">
    <cfRule type="notContainsBlanks" dxfId="462" priority="408" stopIfTrue="1">
      <formula>LEN(TRIM(E106))&gt;0</formula>
    </cfRule>
  </conditionalFormatting>
  <conditionalFormatting sqref="E106:E112">
    <cfRule type="notContainsBlanks" dxfId="461" priority="407" stopIfTrue="1">
      <formula>LEN(TRIM(E106))&gt;0</formula>
    </cfRule>
  </conditionalFormatting>
  <conditionalFormatting sqref="A115:A118 A120">
    <cfRule type="notContainsBlanks" dxfId="460" priority="406" stopIfTrue="1">
      <formula>LEN(TRIM(A115))&gt;0</formula>
    </cfRule>
  </conditionalFormatting>
  <conditionalFormatting sqref="A115:A118 A120">
    <cfRule type="notContainsBlanks" dxfId="459" priority="405" stopIfTrue="1">
      <formula>LEN(TRIM(A115))&gt;0</formula>
    </cfRule>
  </conditionalFormatting>
  <conditionalFormatting sqref="A121">
    <cfRule type="notContainsBlanks" dxfId="458" priority="404" stopIfTrue="1">
      <formula>LEN(TRIM(A121))&gt;0</formula>
    </cfRule>
  </conditionalFormatting>
  <conditionalFormatting sqref="A121">
    <cfRule type="notContainsBlanks" dxfId="457" priority="403" stopIfTrue="1">
      <formula>LEN(TRIM(A121))&gt;0</formula>
    </cfRule>
  </conditionalFormatting>
  <conditionalFormatting sqref="A115:A121">
    <cfRule type="notContainsBlanks" dxfId="456" priority="402" stopIfTrue="1">
      <formula>LEN(TRIM(A115))&gt;0</formula>
    </cfRule>
  </conditionalFormatting>
  <conditionalFormatting sqref="A115:A121">
    <cfRule type="notContainsBlanks" dxfId="455" priority="401" stopIfTrue="1">
      <formula>LEN(TRIM(A115))&gt;0</formula>
    </cfRule>
  </conditionalFormatting>
  <conditionalFormatting sqref="E115:E118 E120">
    <cfRule type="notContainsBlanks" dxfId="454" priority="400" stopIfTrue="1">
      <formula>LEN(TRIM(E115))&gt;0</formula>
    </cfRule>
  </conditionalFormatting>
  <conditionalFormatting sqref="E115:E118 E120">
    <cfRule type="notContainsBlanks" dxfId="453" priority="399" stopIfTrue="1">
      <formula>LEN(TRIM(E115))&gt;0</formula>
    </cfRule>
  </conditionalFormatting>
  <conditionalFormatting sqref="E121">
    <cfRule type="notContainsBlanks" dxfId="452" priority="398" stopIfTrue="1">
      <formula>LEN(TRIM(E121))&gt;0</formula>
    </cfRule>
  </conditionalFormatting>
  <conditionalFormatting sqref="E121">
    <cfRule type="notContainsBlanks" dxfId="451" priority="397" stopIfTrue="1">
      <formula>LEN(TRIM(E121))&gt;0</formula>
    </cfRule>
  </conditionalFormatting>
  <conditionalFormatting sqref="E115:E121">
    <cfRule type="notContainsBlanks" dxfId="450" priority="396" stopIfTrue="1">
      <formula>LEN(TRIM(E115))&gt;0</formula>
    </cfRule>
  </conditionalFormatting>
  <conditionalFormatting sqref="E115:E121">
    <cfRule type="notContainsBlanks" dxfId="449" priority="395" stopIfTrue="1">
      <formula>LEN(TRIM(E115))&gt;0</formula>
    </cfRule>
  </conditionalFormatting>
  <conditionalFormatting sqref="A124:A127 A129">
    <cfRule type="notContainsBlanks" dxfId="448" priority="394" stopIfTrue="1">
      <formula>LEN(TRIM(A124))&gt;0</formula>
    </cfRule>
  </conditionalFormatting>
  <conditionalFormatting sqref="A124:A127 A129">
    <cfRule type="notContainsBlanks" dxfId="447" priority="393" stopIfTrue="1">
      <formula>LEN(TRIM(A124))&gt;0</formula>
    </cfRule>
  </conditionalFormatting>
  <conditionalFormatting sqref="A130">
    <cfRule type="notContainsBlanks" dxfId="446" priority="392" stopIfTrue="1">
      <formula>LEN(TRIM(A130))&gt;0</formula>
    </cfRule>
  </conditionalFormatting>
  <conditionalFormatting sqref="A130">
    <cfRule type="notContainsBlanks" dxfId="445" priority="391" stopIfTrue="1">
      <formula>LEN(TRIM(A130))&gt;0</formula>
    </cfRule>
  </conditionalFormatting>
  <conditionalFormatting sqref="A124:A130">
    <cfRule type="notContainsBlanks" dxfId="444" priority="390" stopIfTrue="1">
      <formula>LEN(TRIM(A124))&gt;0</formula>
    </cfRule>
  </conditionalFormatting>
  <conditionalFormatting sqref="A124:A130">
    <cfRule type="notContainsBlanks" dxfId="443" priority="389" stopIfTrue="1">
      <formula>LEN(TRIM(A124))&gt;0</formula>
    </cfRule>
  </conditionalFormatting>
  <conditionalFormatting sqref="E124:E127 E129">
    <cfRule type="notContainsBlanks" dxfId="442" priority="388" stopIfTrue="1">
      <formula>LEN(TRIM(E124))&gt;0</formula>
    </cfRule>
  </conditionalFormatting>
  <conditionalFormatting sqref="E124:E127 E129">
    <cfRule type="notContainsBlanks" dxfId="441" priority="387" stopIfTrue="1">
      <formula>LEN(TRIM(E124))&gt;0</formula>
    </cfRule>
  </conditionalFormatting>
  <conditionalFormatting sqref="E130">
    <cfRule type="notContainsBlanks" dxfId="440" priority="386" stopIfTrue="1">
      <formula>LEN(TRIM(E130))&gt;0</formula>
    </cfRule>
  </conditionalFormatting>
  <conditionalFormatting sqref="E130">
    <cfRule type="notContainsBlanks" dxfId="439" priority="385" stopIfTrue="1">
      <formula>LEN(TRIM(E130))&gt;0</formula>
    </cfRule>
  </conditionalFormatting>
  <conditionalFormatting sqref="E124:E130">
    <cfRule type="notContainsBlanks" dxfId="438" priority="384" stopIfTrue="1">
      <formula>LEN(TRIM(E124))&gt;0</formula>
    </cfRule>
  </conditionalFormatting>
  <conditionalFormatting sqref="E124:E130">
    <cfRule type="notContainsBlanks" dxfId="437" priority="383" stopIfTrue="1">
      <formula>LEN(TRIM(E124))&gt;0</formula>
    </cfRule>
  </conditionalFormatting>
  <conditionalFormatting sqref="A133:A136 A138">
    <cfRule type="notContainsBlanks" dxfId="436" priority="382" stopIfTrue="1">
      <formula>LEN(TRIM(A133))&gt;0</formula>
    </cfRule>
  </conditionalFormatting>
  <conditionalFormatting sqref="A133:A136 A138">
    <cfRule type="notContainsBlanks" dxfId="435" priority="381" stopIfTrue="1">
      <formula>LEN(TRIM(A133))&gt;0</formula>
    </cfRule>
  </conditionalFormatting>
  <conditionalFormatting sqref="A139">
    <cfRule type="notContainsBlanks" dxfId="434" priority="380" stopIfTrue="1">
      <formula>LEN(TRIM(A139))&gt;0</formula>
    </cfRule>
  </conditionalFormatting>
  <conditionalFormatting sqref="A139">
    <cfRule type="notContainsBlanks" dxfId="433" priority="379" stopIfTrue="1">
      <formula>LEN(TRIM(A139))&gt;0</formula>
    </cfRule>
  </conditionalFormatting>
  <conditionalFormatting sqref="A133:A139">
    <cfRule type="notContainsBlanks" dxfId="432" priority="378" stopIfTrue="1">
      <formula>LEN(TRIM(A133))&gt;0</formula>
    </cfRule>
  </conditionalFormatting>
  <conditionalFormatting sqref="A133:A139">
    <cfRule type="notContainsBlanks" dxfId="431" priority="377" stopIfTrue="1">
      <formula>LEN(TRIM(A133))&gt;0</formula>
    </cfRule>
  </conditionalFormatting>
  <conditionalFormatting sqref="E133:E136 E138">
    <cfRule type="notContainsBlanks" dxfId="430" priority="376" stopIfTrue="1">
      <formula>LEN(TRIM(E133))&gt;0</formula>
    </cfRule>
  </conditionalFormatting>
  <conditionalFormatting sqref="E133:E136 E138">
    <cfRule type="notContainsBlanks" dxfId="429" priority="375" stopIfTrue="1">
      <formula>LEN(TRIM(E133))&gt;0</formula>
    </cfRule>
  </conditionalFormatting>
  <conditionalFormatting sqref="E139">
    <cfRule type="notContainsBlanks" dxfId="428" priority="374" stopIfTrue="1">
      <formula>LEN(TRIM(E139))&gt;0</formula>
    </cfRule>
  </conditionalFormatting>
  <conditionalFormatting sqref="E139">
    <cfRule type="notContainsBlanks" dxfId="427" priority="373" stopIfTrue="1">
      <formula>LEN(TRIM(E139))&gt;0</formula>
    </cfRule>
  </conditionalFormatting>
  <conditionalFormatting sqref="E133:E139">
    <cfRule type="notContainsBlanks" dxfId="426" priority="372" stopIfTrue="1">
      <formula>LEN(TRIM(E133))&gt;0</formula>
    </cfRule>
  </conditionalFormatting>
  <conditionalFormatting sqref="E133:E139">
    <cfRule type="notContainsBlanks" dxfId="425" priority="371" stopIfTrue="1">
      <formula>LEN(TRIM(E133))&gt;0</formula>
    </cfRule>
  </conditionalFormatting>
  <conditionalFormatting sqref="A142:A145 A147">
    <cfRule type="notContainsBlanks" dxfId="424" priority="370" stopIfTrue="1">
      <formula>LEN(TRIM(A142))&gt;0</formula>
    </cfRule>
  </conditionalFormatting>
  <conditionalFormatting sqref="A142:A145 A147">
    <cfRule type="notContainsBlanks" dxfId="423" priority="369" stopIfTrue="1">
      <formula>LEN(TRIM(A142))&gt;0</formula>
    </cfRule>
  </conditionalFormatting>
  <conditionalFormatting sqref="A148">
    <cfRule type="notContainsBlanks" dxfId="422" priority="368" stopIfTrue="1">
      <formula>LEN(TRIM(A148))&gt;0</formula>
    </cfRule>
  </conditionalFormatting>
  <conditionalFormatting sqref="A148">
    <cfRule type="notContainsBlanks" dxfId="421" priority="367" stopIfTrue="1">
      <formula>LEN(TRIM(A148))&gt;0</formula>
    </cfRule>
  </conditionalFormatting>
  <conditionalFormatting sqref="A142:A148">
    <cfRule type="notContainsBlanks" dxfId="420" priority="366" stopIfTrue="1">
      <formula>LEN(TRIM(A142))&gt;0</formula>
    </cfRule>
  </conditionalFormatting>
  <conditionalFormatting sqref="A142:A148">
    <cfRule type="notContainsBlanks" dxfId="419" priority="365" stopIfTrue="1">
      <formula>LEN(TRIM(A142))&gt;0</formula>
    </cfRule>
  </conditionalFormatting>
  <conditionalFormatting sqref="E142:E145 E147">
    <cfRule type="notContainsBlanks" dxfId="418" priority="364" stopIfTrue="1">
      <formula>LEN(TRIM(E142))&gt;0</formula>
    </cfRule>
  </conditionalFormatting>
  <conditionalFormatting sqref="E142:E145 E147">
    <cfRule type="notContainsBlanks" dxfId="417" priority="363" stopIfTrue="1">
      <formula>LEN(TRIM(E142))&gt;0</formula>
    </cfRule>
  </conditionalFormatting>
  <conditionalFormatting sqref="E148">
    <cfRule type="notContainsBlanks" dxfId="416" priority="362" stopIfTrue="1">
      <formula>LEN(TRIM(E148))&gt;0</formula>
    </cfRule>
  </conditionalFormatting>
  <conditionalFormatting sqref="E148">
    <cfRule type="notContainsBlanks" dxfId="415" priority="361" stopIfTrue="1">
      <formula>LEN(TRIM(E148))&gt;0</formula>
    </cfRule>
  </conditionalFormatting>
  <conditionalFormatting sqref="E142:E148">
    <cfRule type="notContainsBlanks" dxfId="414" priority="360" stopIfTrue="1">
      <formula>LEN(TRIM(E142))&gt;0</formula>
    </cfRule>
  </conditionalFormatting>
  <conditionalFormatting sqref="E142:E148">
    <cfRule type="notContainsBlanks" dxfId="413" priority="359" stopIfTrue="1">
      <formula>LEN(TRIM(E142))&gt;0</formula>
    </cfRule>
  </conditionalFormatting>
  <conditionalFormatting sqref="A151:A154 A156">
    <cfRule type="notContainsBlanks" dxfId="412" priority="358" stopIfTrue="1">
      <formula>LEN(TRIM(A151))&gt;0</formula>
    </cfRule>
  </conditionalFormatting>
  <conditionalFormatting sqref="A151:A154 A156">
    <cfRule type="notContainsBlanks" dxfId="411" priority="357" stopIfTrue="1">
      <formula>LEN(TRIM(A151))&gt;0</formula>
    </cfRule>
  </conditionalFormatting>
  <conditionalFormatting sqref="A157">
    <cfRule type="notContainsBlanks" dxfId="410" priority="356" stopIfTrue="1">
      <formula>LEN(TRIM(A157))&gt;0</formula>
    </cfRule>
  </conditionalFormatting>
  <conditionalFormatting sqref="A157">
    <cfRule type="notContainsBlanks" dxfId="409" priority="355" stopIfTrue="1">
      <formula>LEN(TRIM(A157))&gt;0</formula>
    </cfRule>
  </conditionalFormatting>
  <conditionalFormatting sqref="A151:A157">
    <cfRule type="notContainsBlanks" dxfId="408" priority="354" stopIfTrue="1">
      <formula>LEN(TRIM(A151))&gt;0</formula>
    </cfRule>
  </conditionalFormatting>
  <conditionalFormatting sqref="A151:A157">
    <cfRule type="notContainsBlanks" dxfId="407" priority="353" stopIfTrue="1">
      <formula>LEN(TRIM(A151))&gt;0</formula>
    </cfRule>
  </conditionalFormatting>
  <conditionalFormatting sqref="E151:E154 E156">
    <cfRule type="notContainsBlanks" dxfId="406" priority="352" stopIfTrue="1">
      <formula>LEN(TRIM(E151))&gt;0</formula>
    </cfRule>
  </conditionalFormatting>
  <conditionalFormatting sqref="E151:E154 E156">
    <cfRule type="notContainsBlanks" dxfId="405" priority="351" stopIfTrue="1">
      <formula>LEN(TRIM(E151))&gt;0</formula>
    </cfRule>
  </conditionalFormatting>
  <conditionalFormatting sqref="E157">
    <cfRule type="notContainsBlanks" dxfId="404" priority="350" stopIfTrue="1">
      <formula>LEN(TRIM(E157))&gt;0</formula>
    </cfRule>
  </conditionalFormatting>
  <conditionalFormatting sqref="E157">
    <cfRule type="notContainsBlanks" dxfId="403" priority="349" stopIfTrue="1">
      <formula>LEN(TRIM(E157))&gt;0</formula>
    </cfRule>
  </conditionalFormatting>
  <conditionalFormatting sqref="E151:E157">
    <cfRule type="notContainsBlanks" dxfId="402" priority="348" stopIfTrue="1">
      <formula>LEN(TRIM(E151))&gt;0</formula>
    </cfRule>
  </conditionalFormatting>
  <conditionalFormatting sqref="E151:E157">
    <cfRule type="notContainsBlanks" dxfId="401" priority="347" stopIfTrue="1">
      <formula>LEN(TRIM(E151))&gt;0</formula>
    </cfRule>
  </conditionalFormatting>
  <conditionalFormatting sqref="B5:G11">
    <cfRule type="notContainsBlanks" dxfId="400" priority="346" stopIfTrue="1">
      <formula>LEN(TRIM(B5))&gt;0</formula>
    </cfRule>
  </conditionalFormatting>
  <conditionalFormatting sqref="B5:G11">
    <cfRule type="notContainsBlanks" dxfId="399" priority="345" stopIfTrue="1">
      <formula>LEN(TRIM(B5))&gt;0</formula>
    </cfRule>
  </conditionalFormatting>
  <conditionalFormatting sqref="B5:G11">
    <cfRule type="notContainsBlanks" dxfId="398" priority="344" stopIfTrue="1">
      <formula>LEN(TRIM(B5))&gt;0</formula>
    </cfRule>
  </conditionalFormatting>
  <conditionalFormatting sqref="B5:G11">
    <cfRule type="notContainsBlanks" dxfId="397" priority="343" stopIfTrue="1">
      <formula>LEN(TRIM(B5))&gt;0</formula>
    </cfRule>
  </conditionalFormatting>
  <conditionalFormatting sqref="B5:G11">
    <cfRule type="notContainsBlanks" dxfId="396" priority="342" stopIfTrue="1">
      <formula>LEN(TRIM(B5))&gt;0</formula>
    </cfRule>
  </conditionalFormatting>
  <conditionalFormatting sqref="A25:A28 A30:A31">
    <cfRule type="notContainsBlanks" dxfId="395" priority="341" stopIfTrue="1">
      <formula>LEN(TRIM(A25))&gt;0</formula>
    </cfRule>
  </conditionalFormatting>
  <conditionalFormatting sqref="A25:A28 A30">
    <cfRule type="notContainsBlanks" dxfId="394" priority="340" stopIfTrue="1">
      <formula>LEN(TRIM(A25))&gt;0</formula>
    </cfRule>
  </conditionalFormatting>
  <conditionalFormatting sqref="A25:A28 A30">
    <cfRule type="notContainsBlanks" dxfId="393" priority="339" stopIfTrue="1">
      <formula>LEN(TRIM(A25))&gt;0</formula>
    </cfRule>
  </conditionalFormatting>
  <conditionalFormatting sqref="A31">
    <cfRule type="notContainsBlanks" dxfId="392" priority="338" stopIfTrue="1">
      <formula>LEN(TRIM(A31))&gt;0</formula>
    </cfRule>
  </conditionalFormatting>
  <conditionalFormatting sqref="A31">
    <cfRule type="notContainsBlanks" dxfId="391" priority="337" stopIfTrue="1">
      <formula>LEN(TRIM(A31))&gt;0</formula>
    </cfRule>
  </conditionalFormatting>
  <conditionalFormatting sqref="A25:A28 A30:A31">
    <cfRule type="notContainsBlanks" dxfId="390" priority="336" stopIfTrue="1">
      <formula>LEN(TRIM(A25))&gt;0</formula>
    </cfRule>
  </conditionalFormatting>
  <conditionalFormatting sqref="A25:A28 A30:A31">
    <cfRule type="notContainsBlanks" dxfId="389" priority="335" stopIfTrue="1">
      <formula>LEN(TRIM(A25))&gt;0</formula>
    </cfRule>
  </conditionalFormatting>
  <conditionalFormatting sqref="E25:E31">
    <cfRule type="notContainsBlanks" dxfId="388" priority="334" stopIfTrue="1">
      <formula>LEN(TRIM(E25))&gt;0</formula>
    </cfRule>
  </conditionalFormatting>
  <conditionalFormatting sqref="E25:E28 E30">
    <cfRule type="notContainsBlanks" dxfId="387" priority="333" stopIfTrue="1">
      <formula>LEN(TRIM(E25))&gt;0</formula>
    </cfRule>
  </conditionalFormatting>
  <conditionalFormatting sqref="E25:E28 E30">
    <cfRule type="notContainsBlanks" dxfId="386" priority="332" stopIfTrue="1">
      <formula>LEN(TRIM(E25))&gt;0</formula>
    </cfRule>
  </conditionalFormatting>
  <conditionalFormatting sqref="E31">
    <cfRule type="notContainsBlanks" dxfId="385" priority="331" stopIfTrue="1">
      <formula>LEN(TRIM(E31))&gt;0</formula>
    </cfRule>
  </conditionalFormatting>
  <conditionalFormatting sqref="E31">
    <cfRule type="notContainsBlanks" dxfId="384" priority="330" stopIfTrue="1">
      <formula>LEN(TRIM(E31))&gt;0</formula>
    </cfRule>
  </conditionalFormatting>
  <conditionalFormatting sqref="E25:E31">
    <cfRule type="notContainsBlanks" dxfId="383" priority="329" stopIfTrue="1">
      <formula>LEN(TRIM(E25))&gt;0</formula>
    </cfRule>
  </conditionalFormatting>
  <conditionalFormatting sqref="E25:E31">
    <cfRule type="notContainsBlanks" dxfId="382" priority="328" stopIfTrue="1">
      <formula>LEN(TRIM(E25))&gt;0</formula>
    </cfRule>
  </conditionalFormatting>
  <conditionalFormatting sqref="A34:A40">
    <cfRule type="notContainsBlanks" dxfId="381" priority="327" stopIfTrue="1">
      <formula>LEN(TRIM(A34))&gt;0</formula>
    </cfRule>
  </conditionalFormatting>
  <conditionalFormatting sqref="A34:A37 A39">
    <cfRule type="notContainsBlanks" dxfId="380" priority="326" stopIfTrue="1">
      <formula>LEN(TRIM(A34))&gt;0</formula>
    </cfRule>
  </conditionalFormatting>
  <conditionalFormatting sqref="A34:A37 A39">
    <cfRule type="notContainsBlanks" dxfId="379" priority="325" stopIfTrue="1">
      <formula>LEN(TRIM(A34))&gt;0</formula>
    </cfRule>
  </conditionalFormatting>
  <conditionalFormatting sqref="A40">
    <cfRule type="notContainsBlanks" dxfId="378" priority="324" stopIfTrue="1">
      <formula>LEN(TRIM(A40))&gt;0</formula>
    </cfRule>
  </conditionalFormatting>
  <conditionalFormatting sqref="A40">
    <cfRule type="notContainsBlanks" dxfId="377" priority="323" stopIfTrue="1">
      <formula>LEN(TRIM(A40))&gt;0</formula>
    </cfRule>
  </conditionalFormatting>
  <conditionalFormatting sqref="A34:A40">
    <cfRule type="notContainsBlanks" dxfId="376" priority="322" stopIfTrue="1">
      <formula>LEN(TRIM(A34))&gt;0</formula>
    </cfRule>
  </conditionalFormatting>
  <conditionalFormatting sqref="A34:A40">
    <cfRule type="notContainsBlanks" dxfId="375" priority="321" stopIfTrue="1">
      <formula>LEN(TRIM(A34))&gt;0</formula>
    </cfRule>
  </conditionalFormatting>
  <conditionalFormatting sqref="E34:E40">
    <cfRule type="notContainsBlanks" dxfId="374" priority="320" stopIfTrue="1">
      <formula>LEN(TRIM(E34))&gt;0</formula>
    </cfRule>
  </conditionalFormatting>
  <conditionalFormatting sqref="E34:E37 E39">
    <cfRule type="notContainsBlanks" dxfId="373" priority="319" stopIfTrue="1">
      <formula>LEN(TRIM(E34))&gt;0</formula>
    </cfRule>
  </conditionalFormatting>
  <conditionalFormatting sqref="E34:E37 E39">
    <cfRule type="notContainsBlanks" dxfId="372" priority="318" stopIfTrue="1">
      <formula>LEN(TRIM(E34))&gt;0</formula>
    </cfRule>
  </conditionalFormatting>
  <conditionalFormatting sqref="E40">
    <cfRule type="notContainsBlanks" dxfId="371" priority="317" stopIfTrue="1">
      <formula>LEN(TRIM(E40))&gt;0</formula>
    </cfRule>
  </conditionalFormatting>
  <conditionalFormatting sqref="E40">
    <cfRule type="notContainsBlanks" dxfId="370" priority="316" stopIfTrue="1">
      <formula>LEN(TRIM(E40))&gt;0</formula>
    </cfRule>
  </conditionalFormatting>
  <conditionalFormatting sqref="E34:E37 E39">
    <cfRule type="notContainsBlanks" dxfId="369" priority="315" stopIfTrue="1">
      <formula>LEN(TRIM(E34))&gt;0</formula>
    </cfRule>
  </conditionalFormatting>
  <conditionalFormatting sqref="E34:E37 E39">
    <cfRule type="notContainsBlanks" dxfId="368" priority="314" stopIfTrue="1">
      <formula>LEN(TRIM(E34))&gt;0</formula>
    </cfRule>
  </conditionalFormatting>
  <conditionalFormatting sqref="E40">
    <cfRule type="notContainsBlanks" dxfId="367" priority="313" stopIfTrue="1">
      <formula>LEN(TRIM(E40))&gt;0</formula>
    </cfRule>
  </conditionalFormatting>
  <conditionalFormatting sqref="E40">
    <cfRule type="notContainsBlanks" dxfId="366" priority="312" stopIfTrue="1">
      <formula>LEN(TRIM(E40))&gt;0</formula>
    </cfRule>
  </conditionalFormatting>
  <conditionalFormatting sqref="E34:E40">
    <cfRule type="notContainsBlanks" dxfId="365" priority="311" stopIfTrue="1">
      <formula>LEN(TRIM(E34))&gt;0</formula>
    </cfRule>
  </conditionalFormatting>
  <conditionalFormatting sqref="E34:E40">
    <cfRule type="notContainsBlanks" dxfId="364" priority="310" stopIfTrue="1">
      <formula>LEN(TRIM(E34))&gt;0</formula>
    </cfRule>
  </conditionalFormatting>
  <conditionalFormatting sqref="A43:A49">
    <cfRule type="notContainsBlanks" dxfId="363" priority="309" stopIfTrue="1">
      <formula>LEN(TRIM(A43))&gt;0</formula>
    </cfRule>
  </conditionalFormatting>
  <conditionalFormatting sqref="A43:A46 A48">
    <cfRule type="notContainsBlanks" dxfId="362" priority="308" stopIfTrue="1">
      <formula>LEN(TRIM(A43))&gt;0</formula>
    </cfRule>
  </conditionalFormatting>
  <conditionalFormatting sqref="A43:A46 A48">
    <cfRule type="notContainsBlanks" dxfId="361" priority="307" stopIfTrue="1">
      <formula>LEN(TRIM(A43))&gt;0</formula>
    </cfRule>
  </conditionalFormatting>
  <conditionalFormatting sqref="A49">
    <cfRule type="notContainsBlanks" dxfId="360" priority="306" stopIfTrue="1">
      <formula>LEN(TRIM(A49))&gt;0</formula>
    </cfRule>
  </conditionalFormatting>
  <conditionalFormatting sqref="A49">
    <cfRule type="notContainsBlanks" dxfId="359" priority="305" stopIfTrue="1">
      <formula>LEN(TRIM(A49))&gt;0</formula>
    </cfRule>
  </conditionalFormatting>
  <conditionalFormatting sqref="A43:A46 A48">
    <cfRule type="notContainsBlanks" dxfId="358" priority="304" stopIfTrue="1">
      <formula>LEN(TRIM(A43))&gt;0</formula>
    </cfRule>
  </conditionalFormatting>
  <conditionalFormatting sqref="A43:A46 A48">
    <cfRule type="notContainsBlanks" dxfId="357" priority="303" stopIfTrue="1">
      <formula>LEN(TRIM(A43))&gt;0</formula>
    </cfRule>
  </conditionalFormatting>
  <conditionalFormatting sqref="A49">
    <cfRule type="notContainsBlanks" dxfId="356" priority="302" stopIfTrue="1">
      <formula>LEN(TRIM(A49))&gt;0</formula>
    </cfRule>
  </conditionalFormatting>
  <conditionalFormatting sqref="A49">
    <cfRule type="notContainsBlanks" dxfId="355" priority="301" stopIfTrue="1">
      <formula>LEN(TRIM(A49))&gt;0</formula>
    </cfRule>
  </conditionalFormatting>
  <conditionalFormatting sqref="A43:A49">
    <cfRule type="notContainsBlanks" dxfId="354" priority="300" stopIfTrue="1">
      <formula>LEN(TRIM(A43))&gt;0</formula>
    </cfRule>
  </conditionalFormatting>
  <conditionalFormatting sqref="A43:A49">
    <cfRule type="notContainsBlanks" dxfId="353" priority="299" stopIfTrue="1">
      <formula>LEN(TRIM(A43))&gt;0</formula>
    </cfRule>
  </conditionalFormatting>
  <conditionalFormatting sqref="E43:E49">
    <cfRule type="notContainsBlanks" dxfId="352" priority="298" stopIfTrue="1">
      <formula>LEN(TRIM(E43))&gt;0</formula>
    </cfRule>
  </conditionalFormatting>
  <conditionalFormatting sqref="E43:E46 E48">
    <cfRule type="notContainsBlanks" dxfId="351" priority="297" stopIfTrue="1">
      <formula>LEN(TRIM(E43))&gt;0</formula>
    </cfRule>
  </conditionalFormatting>
  <conditionalFormatting sqref="E43:E46 E48">
    <cfRule type="notContainsBlanks" dxfId="350" priority="296" stopIfTrue="1">
      <formula>LEN(TRIM(E43))&gt;0</formula>
    </cfRule>
  </conditionalFormatting>
  <conditionalFormatting sqref="E49">
    <cfRule type="notContainsBlanks" dxfId="349" priority="295" stopIfTrue="1">
      <formula>LEN(TRIM(E49))&gt;0</formula>
    </cfRule>
  </conditionalFormatting>
  <conditionalFormatting sqref="E49">
    <cfRule type="notContainsBlanks" dxfId="348" priority="294" stopIfTrue="1">
      <formula>LEN(TRIM(E49))&gt;0</formula>
    </cfRule>
  </conditionalFormatting>
  <conditionalFormatting sqref="E43:E46 E48">
    <cfRule type="notContainsBlanks" dxfId="347" priority="293" stopIfTrue="1">
      <formula>LEN(TRIM(E43))&gt;0</formula>
    </cfRule>
  </conditionalFormatting>
  <conditionalFormatting sqref="E43:E46 E48">
    <cfRule type="notContainsBlanks" dxfId="346" priority="292" stopIfTrue="1">
      <formula>LEN(TRIM(E43))&gt;0</formula>
    </cfRule>
  </conditionalFormatting>
  <conditionalFormatting sqref="E49">
    <cfRule type="notContainsBlanks" dxfId="345" priority="291" stopIfTrue="1">
      <formula>LEN(TRIM(E49))&gt;0</formula>
    </cfRule>
  </conditionalFormatting>
  <conditionalFormatting sqref="E49">
    <cfRule type="notContainsBlanks" dxfId="344" priority="290" stopIfTrue="1">
      <formula>LEN(TRIM(E49))&gt;0</formula>
    </cfRule>
  </conditionalFormatting>
  <conditionalFormatting sqref="E43:E49">
    <cfRule type="notContainsBlanks" dxfId="343" priority="289" stopIfTrue="1">
      <formula>LEN(TRIM(E43))&gt;0</formula>
    </cfRule>
  </conditionalFormatting>
  <conditionalFormatting sqref="E43:E49">
    <cfRule type="notContainsBlanks" dxfId="342" priority="288" stopIfTrue="1">
      <formula>LEN(TRIM(E43))&gt;0</formula>
    </cfRule>
  </conditionalFormatting>
  <conditionalFormatting sqref="A52:A58">
    <cfRule type="notContainsBlanks" dxfId="341" priority="287" stopIfTrue="1">
      <formula>LEN(TRIM(A52))&gt;0</formula>
    </cfRule>
  </conditionalFormatting>
  <conditionalFormatting sqref="A52:A55 A57">
    <cfRule type="notContainsBlanks" dxfId="340" priority="286" stopIfTrue="1">
      <formula>LEN(TRIM(A52))&gt;0</formula>
    </cfRule>
  </conditionalFormatting>
  <conditionalFormatting sqref="A52:A55 A57">
    <cfRule type="notContainsBlanks" dxfId="339" priority="285" stopIfTrue="1">
      <formula>LEN(TRIM(A52))&gt;0</formula>
    </cfRule>
  </conditionalFormatting>
  <conditionalFormatting sqref="A58">
    <cfRule type="notContainsBlanks" dxfId="338" priority="284" stopIfTrue="1">
      <formula>LEN(TRIM(A58))&gt;0</formula>
    </cfRule>
  </conditionalFormatting>
  <conditionalFormatting sqref="A58">
    <cfRule type="notContainsBlanks" dxfId="337" priority="283" stopIfTrue="1">
      <formula>LEN(TRIM(A58))&gt;0</formula>
    </cfRule>
  </conditionalFormatting>
  <conditionalFormatting sqref="A52:A55 A57">
    <cfRule type="notContainsBlanks" dxfId="336" priority="282" stopIfTrue="1">
      <formula>LEN(TRIM(A52))&gt;0</formula>
    </cfRule>
  </conditionalFormatting>
  <conditionalFormatting sqref="A52:A55 A57">
    <cfRule type="notContainsBlanks" dxfId="335" priority="281" stopIfTrue="1">
      <formula>LEN(TRIM(A52))&gt;0</formula>
    </cfRule>
  </conditionalFormatting>
  <conditionalFormatting sqref="A58">
    <cfRule type="notContainsBlanks" dxfId="334" priority="280" stopIfTrue="1">
      <formula>LEN(TRIM(A58))&gt;0</formula>
    </cfRule>
  </conditionalFormatting>
  <conditionalFormatting sqref="A58">
    <cfRule type="notContainsBlanks" dxfId="333" priority="279" stopIfTrue="1">
      <formula>LEN(TRIM(A58))&gt;0</formula>
    </cfRule>
  </conditionalFormatting>
  <conditionalFormatting sqref="A52:A58">
    <cfRule type="notContainsBlanks" dxfId="332" priority="278" stopIfTrue="1">
      <formula>LEN(TRIM(A52))&gt;0</formula>
    </cfRule>
  </conditionalFormatting>
  <conditionalFormatting sqref="A52:A58">
    <cfRule type="notContainsBlanks" dxfId="331" priority="277" stopIfTrue="1">
      <formula>LEN(TRIM(A52))&gt;0</formula>
    </cfRule>
  </conditionalFormatting>
  <conditionalFormatting sqref="E52:E58">
    <cfRule type="notContainsBlanks" dxfId="330" priority="276" stopIfTrue="1">
      <formula>LEN(TRIM(E52))&gt;0</formula>
    </cfRule>
  </conditionalFormatting>
  <conditionalFormatting sqref="E52:E55 E57">
    <cfRule type="notContainsBlanks" dxfId="329" priority="275" stopIfTrue="1">
      <formula>LEN(TRIM(E52))&gt;0</formula>
    </cfRule>
  </conditionalFormatting>
  <conditionalFormatting sqref="E52:E55 E57">
    <cfRule type="notContainsBlanks" dxfId="328" priority="274" stopIfTrue="1">
      <formula>LEN(TRIM(E52))&gt;0</formula>
    </cfRule>
  </conditionalFormatting>
  <conditionalFormatting sqref="E58">
    <cfRule type="notContainsBlanks" dxfId="327" priority="273" stopIfTrue="1">
      <formula>LEN(TRIM(E58))&gt;0</formula>
    </cfRule>
  </conditionalFormatting>
  <conditionalFormatting sqref="E58">
    <cfRule type="notContainsBlanks" dxfId="326" priority="272" stopIfTrue="1">
      <formula>LEN(TRIM(E58))&gt;0</formula>
    </cfRule>
  </conditionalFormatting>
  <conditionalFormatting sqref="E52:E55 E57">
    <cfRule type="notContainsBlanks" dxfId="325" priority="271" stopIfTrue="1">
      <formula>LEN(TRIM(E52))&gt;0</formula>
    </cfRule>
  </conditionalFormatting>
  <conditionalFormatting sqref="E52:E55 E57">
    <cfRule type="notContainsBlanks" dxfId="324" priority="270" stopIfTrue="1">
      <formula>LEN(TRIM(E52))&gt;0</formula>
    </cfRule>
  </conditionalFormatting>
  <conditionalFormatting sqref="E58">
    <cfRule type="notContainsBlanks" dxfId="323" priority="269" stopIfTrue="1">
      <formula>LEN(TRIM(E58))&gt;0</formula>
    </cfRule>
  </conditionalFormatting>
  <conditionalFormatting sqref="E58">
    <cfRule type="notContainsBlanks" dxfId="322" priority="268" stopIfTrue="1">
      <formula>LEN(TRIM(E58))&gt;0</formula>
    </cfRule>
  </conditionalFormatting>
  <conditionalFormatting sqref="E52:E58">
    <cfRule type="notContainsBlanks" dxfId="321" priority="267" stopIfTrue="1">
      <formula>LEN(TRIM(E52))&gt;0</formula>
    </cfRule>
  </conditionalFormatting>
  <conditionalFormatting sqref="E52:E58">
    <cfRule type="notContainsBlanks" dxfId="320" priority="266" stopIfTrue="1">
      <formula>LEN(TRIM(E52))&gt;0</formula>
    </cfRule>
  </conditionalFormatting>
  <conditionalFormatting sqref="A61:A67">
    <cfRule type="notContainsBlanks" dxfId="319" priority="265" stopIfTrue="1">
      <formula>LEN(TRIM(A61))&gt;0</formula>
    </cfRule>
  </conditionalFormatting>
  <conditionalFormatting sqref="A61:A64 A66">
    <cfRule type="notContainsBlanks" dxfId="318" priority="264" stopIfTrue="1">
      <formula>LEN(TRIM(A61))&gt;0</formula>
    </cfRule>
  </conditionalFormatting>
  <conditionalFormatting sqref="A61:A64 A66">
    <cfRule type="notContainsBlanks" dxfId="317" priority="263" stopIfTrue="1">
      <formula>LEN(TRIM(A61))&gt;0</formula>
    </cfRule>
  </conditionalFormatting>
  <conditionalFormatting sqref="A67">
    <cfRule type="notContainsBlanks" dxfId="316" priority="262" stopIfTrue="1">
      <formula>LEN(TRIM(A67))&gt;0</formula>
    </cfRule>
  </conditionalFormatting>
  <conditionalFormatting sqref="A67">
    <cfRule type="notContainsBlanks" dxfId="315" priority="261" stopIfTrue="1">
      <formula>LEN(TRIM(A67))&gt;0</formula>
    </cfRule>
  </conditionalFormatting>
  <conditionalFormatting sqref="A61:A64 A66">
    <cfRule type="notContainsBlanks" dxfId="314" priority="260" stopIfTrue="1">
      <formula>LEN(TRIM(A61))&gt;0</formula>
    </cfRule>
  </conditionalFormatting>
  <conditionalFormatting sqref="A61:A64 A66">
    <cfRule type="notContainsBlanks" dxfId="313" priority="259" stopIfTrue="1">
      <formula>LEN(TRIM(A61))&gt;0</formula>
    </cfRule>
  </conditionalFormatting>
  <conditionalFormatting sqref="A67">
    <cfRule type="notContainsBlanks" dxfId="312" priority="258" stopIfTrue="1">
      <formula>LEN(TRIM(A67))&gt;0</formula>
    </cfRule>
  </conditionalFormatting>
  <conditionalFormatting sqref="A67">
    <cfRule type="notContainsBlanks" dxfId="311" priority="257" stopIfTrue="1">
      <formula>LEN(TRIM(A67))&gt;0</formula>
    </cfRule>
  </conditionalFormatting>
  <conditionalFormatting sqref="A61:A67">
    <cfRule type="notContainsBlanks" dxfId="310" priority="256" stopIfTrue="1">
      <formula>LEN(TRIM(A61))&gt;0</formula>
    </cfRule>
  </conditionalFormatting>
  <conditionalFormatting sqref="A61:A67">
    <cfRule type="notContainsBlanks" dxfId="309" priority="255" stopIfTrue="1">
      <formula>LEN(TRIM(A61))&gt;0</formula>
    </cfRule>
  </conditionalFormatting>
  <conditionalFormatting sqref="E61:E67">
    <cfRule type="notContainsBlanks" dxfId="308" priority="254" stopIfTrue="1">
      <formula>LEN(TRIM(E61))&gt;0</formula>
    </cfRule>
  </conditionalFormatting>
  <conditionalFormatting sqref="E61:E64 E66">
    <cfRule type="notContainsBlanks" dxfId="307" priority="253" stopIfTrue="1">
      <formula>LEN(TRIM(E61))&gt;0</formula>
    </cfRule>
  </conditionalFormatting>
  <conditionalFormatting sqref="E61:E64 E66">
    <cfRule type="notContainsBlanks" dxfId="306" priority="252" stopIfTrue="1">
      <formula>LEN(TRIM(E61))&gt;0</formula>
    </cfRule>
  </conditionalFormatting>
  <conditionalFormatting sqref="E67">
    <cfRule type="notContainsBlanks" dxfId="305" priority="251" stopIfTrue="1">
      <formula>LEN(TRIM(E67))&gt;0</formula>
    </cfRule>
  </conditionalFormatting>
  <conditionalFormatting sqref="E67">
    <cfRule type="notContainsBlanks" dxfId="304" priority="250" stopIfTrue="1">
      <formula>LEN(TRIM(E67))&gt;0</formula>
    </cfRule>
  </conditionalFormatting>
  <conditionalFormatting sqref="E61:E64 E66">
    <cfRule type="notContainsBlanks" dxfId="303" priority="249" stopIfTrue="1">
      <formula>LEN(TRIM(E61))&gt;0</formula>
    </cfRule>
  </conditionalFormatting>
  <conditionalFormatting sqref="E61:E64 E66">
    <cfRule type="notContainsBlanks" dxfId="302" priority="248" stopIfTrue="1">
      <formula>LEN(TRIM(E61))&gt;0</formula>
    </cfRule>
  </conditionalFormatting>
  <conditionalFormatting sqref="E67">
    <cfRule type="notContainsBlanks" dxfId="301" priority="247" stopIfTrue="1">
      <formula>LEN(TRIM(E67))&gt;0</formula>
    </cfRule>
  </conditionalFormatting>
  <conditionalFormatting sqref="E67">
    <cfRule type="notContainsBlanks" dxfId="300" priority="246" stopIfTrue="1">
      <formula>LEN(TRIM(E67))&gt;0</formula>
    </cfRule>
  </conditionalFormatting>
  <conditionalFormatting sqref="E61:E67">
    <cfRule type="notContainsBlanks" dxfId="299" priority="245" stopIfTrue="1">
      <formula>LEN(TRIM(E61))&gt;0</formula>
    </cfRule>
  </conditionalFormatting>
  <conditionalFormatting sqref="E61:E67">
    <cfRule type="notContainsBlanks" dxfId="298" priority="244" stopIfTrue="1">
      <formula>LEN(TRIM(E61))&gt;0</formula>
    </cfRule>
  </conditionalFormatting>
  <conditionalFormatting sqref="A70:A76">
    <cfRule type="notContainsBlanks" dxfId="297" priority="243" stopIfTrue="1">
      <formula>LEN(TRIM(A70))&gt;0</formula>
    </cfRule>
  </conditionalFormatting>
  <conditionalFormatting sqref="A70:A73 A75">
    <cfRule type="notContainsBlanks" dxfId="296" priority="242" stopIfTrue="1">
      <formula>LEN(TRIM(A70))&gt;0</formula>
    </cfRule>
  </conditionalFormatting>
  <conditionalFormatting sqref="A70:A73 A75">
    <cfRule type="notContainsBlanks" dxfId="295" priority="241" stopIfTrue="1">
      <formula>LEN(TRIM(A70))&gt;0</formula>
    </cfRule>
  </conditionalFormatting>
  <conditionalFormatting sqref="A76">
    <cfRule type="notContainsBlanks" dxfId="294" priority="240" stopIfTrue="1">
      <formula>LEN(TRIM(A76))&gt;0</formula>
    </cfRule>
  </conditionalFormatting>
  <conditionalFormatting sqref="A76">
    <cfRule type="notContainsBlanks" dxfId="293" priority="239" stopIfTrue="1">
      <formula>LEN(TRIM(A76))&gt;0</formula>
    </cfRule>
  </conditionalFormatting>
  <conditionalFormatting sqref="A70:A73 A75">
    <cfRule type="notContainsBlanks" dxfId="292" priority="238" stopIfTrue="1">
      <formula>LEN(TRIM(A70))&gt;0</formula>
    </cfRule>
  </conditionalFormatting>
  <conditionalFormatting sqref="A70:A73 A75">
    <cfRule type="notContainsBlanks" dxfId="291" priority="237" stopIfTrue="1">
      <formula>LEN(TRIM(A70))&gt;0</formula>
    </cfRule>
  </conditionalFormatting>
  <conditionalFormatting sqref="A76">
    <cfRule type="notContainsBlanks" dxfId="290" priority="236" stopIfTrue="1">
      <formula>LEN(TRIM(A76))&gt;0</formula>
    </cfRule>
  </conditionalFormatting>
  <conditionalFormatting sqref="A76">
    <cfRule type="notContainsBlanks" dxfId="289" priority="235" stopIfTrue="1">
      <formula>LEN(TRIM(A76))&gt;0</formula>
    </cfRule>
  </conditionalFormatting>
  <conditionalFormatting sqref="A70:A76">
    <cfRule type="notContainsBlanks" dxfId="288" priority="234" stopIfTrue="1">
      <formula>LEN(TRIM(A70))&gt;0</formula>
    </cfRule>
  </conditionalFormatting>
  <conditionalFormatting sqref="A70:A76">
    <cfRule type="notContainsBlanks" dxfId="287" priority="233" stopIfTrue="1">
      <formula>LEN(TRIM(A70))&gt;0</formula>
    </cfRule>
  </conditionalFormatting>
  <conditionalFormatting sqref="E70:E76">
    <cfRule type="notContainsBlanks" dxfId="286" priority="232" stopIfTrue="1">
      <formula>LEN(TRIM(E70))&gt;0</formula>
    </cfRule>
  </conditionalFormatting>
  <conditionalFormatting sqref="E70:E73 E75">
    <cfRule type="notContainsBlanks" dxfId="285" priority="231" stopIfTrue="1">
      <formula>LEN(TRIM(E70))&gt;0</formula>
    </cfRule>
  </conditionalFormatting>
  <conditionalFormatting sqref="E70:E73 E75">
    <cfRule type="notContainsBlanks" dxfId="284" priority="230" stopIfTrue="1">
      <formula>LEN(TRIM(E70))&gt;0</formula>
    </cfRule>
  </conditionalFormatting>
  <conditionalFormatting sqref="E76">
    <cfRule type="notContainsBlanks" dxfId="283" priority="229" stopIfTrue="1">
      <formula>LEN(TRIM(E76))&gt;0</formula>
    </cfRule>
  </conditionalFormatting>
  <conditionalFormatting sqref="E76">
    <cfRule type="notContainsBlanks" dxfId="282" priority="228" stopIfTrue="1">
      <formula>LEN(TRIM(E76))&gt;0</formula>
    </cfRule>
  </conditionalFormatting>
  <conditionalFormatting sqref="E70:E73 E75">
    <cfRule type="notContainsBlanks" dxfId="281" priority="227" stopIfTrue="1">
      <formula>LEN(TRIM(E70))&gt;0</formula>
    </cfRule>
  </conditionalFormatting>
  <conditionalFormatting sqref="E70:E73 E75">
    <cfRule type="notContainsBlanks" dxfId="280" priority="226" stopIfTrue="1">
      <formula>LEN(TRIM(E70))&gt;0</formula>
    </cfRule>
  </conditionalFormatting>
  <conditionalFormatting sqref="E76">
    <cfRule type="notContainsBlanks" dxfId="279" priority="225" stopIfTrue="1">
      <formula>LEN(TRIM(E76))&gt;0</formula>
    </cfRule>
  </conditionalFormatting>
  <conditionalFormatting sqref="E76">
    <cfRule type="notContainsBlanks" dxfId="278" priority="224" stopIfTrue="1">
      <formula>LEN(TRIM(E76))&gt;0</formula>
    </cfRule>
  </conditionalFormatting>
  <conditionalFormatting sqref="E70:E76">
    <cfRule type="notContainsBlanks" dxfId="277" priority="223" stopIfTrue="1">
      <formula>LEN(TRIM(E70))&gt;0</formula>
    </cfRule>
  </conditionalFormatting>
  <conditionalFormatting sqref="E70:E76">
    <cfRule type="notContainsBlanks" dxfId="276" priority="222" stopIfTrue="1">
      <formula>LEN(TRIM(E70))&gt;0</formula>
    </cfRule>
  </conditionalFormatting>
  <conditionalFormatting sqref="A79:A85">
    <cfRule type="notContainsBlanks" dxfId="275" priority="221" stopIfTrue="1">
      <formula>LEN(TRIM(A79))&gt;0</formula>
    </cfRule>
  </conditionalFormatting>
  <conditionalFormatting sqref="A79:A82 A84">
    <cfRule type="notContainsBlanks" dxfId="274" priority="220" stopIfTrue="1">
      <formula>LEN(TRIM(A79))&gt;0</formula>
    </cfRule>
  </conditionalFormatting>
  <conditionalFormatting sqref="A79:A82 A84">
    <cfRule type="notContainsBlanks" dxfId="273" priority="219" stopIfTrue="1">
      <formula>LEN(TRIM(A79))&gt;0</formula>
    </cfRule>
  </conditionalFormatting>
  <conditionalFormatting sqref="A85">
    <cfRule type="notContainsBlanks" dxfId="272" priority="218" stopIfTrue="1">
      <formula>LEN(TRIM(A85))&gt;0</formula>
    </cfRule>
  </conditionalFormatting>
  <conditionalFormatting sqref="A85">
    <cfRule type="notContainsBlanks" dxfId="271" priority="217" stopIfTrue="1">
      <formula>LEN(TRIM(A85))&gt;0</formula>
    </cfRule>
  </conditionalFormatting>
  <conditionalFormatting sqref="A79:A82 A84">
    <cfRule type="notContainsBlanks" dxfId="270" priority="216" stopIfTrue="1">
      <formula>LEN(TRIM(A79))&gt;0</formula>
    </cfRule>
  </conditionalFormatting>
  <conditionalFormatting sqref="A79:A82 A84">
    <cfRule type="notContainsBlanks" dxfId="269" priority="215" stopIfTrue="1">
      <formula>LEN(TRIM(A79))&gt;0</formula>
    </cfRule>
  </conditionalFormatting>
  <conditionalFormatting sqref="A85">
    <cfRule type="notContainsBlanks" dxfId="268" priority="214" stopIfTrue="1">
      <formula>LEN(TRIM(A85))&gt;0</formula>
    </cfRule>
  </conditionalFormatting>
  <conditionalFormatting sqref="A85">
    <cfRule type="notContainsBlanks" dxfId="267" priority="213" stopIfTrue="1">
      <formula>LEN(TRIM(A85))&gt;0</formula>
    </cfRule>
  </conditionalFormatting>
  <conditionalFormatting sqref="A79:A85">
    <cfRule type="notContainsBlanks" dxfId="266" priority="212" stopIfTrue="1">
      <formula>LEN(TRIM(A79))&gt;0</formula>
    </cfRule>
  </conditionalFormatting>
  <conditionalFormatting sqref="A79:A85">
    <cfRule type="notContainsBlanks" dxfId="265" priority="211" stopIfTrue="1">
      <formula>LEN(TRIM(A79))&gt;0</formula>
    </cfRule>
  </conditionalFormatting>
  <conditionalFormatting sqref="E79:E85">
    <cfRule type="notContainsBlanks" dxfId="264" priority="210" stopIfTrue="1">
      <formula>LEN(TRIM(E79))&gt;0</formula>
    </cfRule>
  </conditionalFormatting>
  <conditionalFormatting sqref="E79:E82 E84">
    <cfRule type="notContainsBlanks" dxfId="263" priority="209" stopIfTrue="1">
      <formula>LEN(TRIM(E79))&gt;0</formula>
    </cfRule>
  </conditionalFormatting>
  <conditionalFormatting sqref="E79:E82 E84">
    <cfRule type="notContainsBlanks" dxfId="262" priority="208" stopIfTrue="1">
      <formula>LEN(TRIM(E79))&gt;0</formula>
    </cfRule>
  </conditionalFormatting>
  <conditionalFormatting sqref="E85">
    <cfRule type="notContainsBlanks" dxfId="261" priority="207" stopIfTrue="1">
      <formula>LEN(TRIM(E85))&gt;0</formula>
    </cfRule>
  </conditionalFormatting>
  <conditionalFormatting sqref="E85">
    <cfRule type="notContainsBlanks" dxfId="260" priority="206" stopIfTrue="1">
      <formula>LEN(TRIM(E85))&gt;0</formula>
    </cfRule>
  </conditionalFormatting>
  <conditionalFormatting sqref="E79:E82 E84">
    <cfRule type="notContainsBlanks" dxfId="259" priority="205" stopIfTrue="1">
      <formula>LEN(TRIM(E79))&gt;0</formula>
    </cfRule>
  </conditionalFormatting>
  <conditionalFormatting sqref="E79:E82 E84">
    <cfRule type="notContainsBlanks" dxfId="258" priority="204" stopIfTrue="1">
      <formula>LEN(TRIM(E79))&gt;0</formula>
    </cfRule>
  </conditionalFormatting>
  <conditionalFormatting sqref="E85">
    <cfRule type="notContainsBlanks" dxfId="257" priority="203" stopIfTrue="1">
      <formula>LEN(TRIM(E85))&gt;0</formula>
    </cfRule>
  </conditionalFormatting>
  <conditionalFormatting sqref="E85">
    <cfRule type="notContainsBlanks" dxfId="256" priority="202" stopIfTrue="1">
      <formula>LEN(TRIM(E85))&gt;0</formula>
    </cfRule>
  </conditionalFormatting>
  <conditionalFormatting sqref="E79:E85">
    <cfRule type="notContainsBlanks" dxfId="255" priority="201" stopIfTrue="1">
      <formula>LEN(TRIM(E79))&gt;0</formula>
    </cfRule>
  </conditionalFormatting>
  <conditionalFormatting sqref="E79:E85">
    <cfRule type="notContainsBlanks" dxfId="254" priority="200" stopIfTrue="1">
      <formula>LEN(TRIM(E79))&gt;0</formula>
    </cfRule>
  </conditionalFormatting>
  <conditionalFormatting sqref="A88:A94">
    <cfRule type="notContainsBlanks" dxfId="253" priority="199" stopIfTrue="1">
      <formula>LEN(TRIM(A88))&gt;0</formula>
    </cfRule>
  </conditionalFormatting>
  <conditionalFormatting sqref="A88:A91 A93">
    <cfRule type="notContainsBlanks" dxfId="252" priority="198" stopIfTrue="1">
      <formula>LEN(TRIM(A88))&gt;0</formula>
    </cfRule>
  </conditionalFormatting>
  <conditionalFormatting sqref="A88:A91 A93">
    <cfRule type="notContainsBlanks" dxfId="251" priority="197" stopIfTrue="1">
      <formula>LEN(TRIM(A88))&gt;0</formula>
    </cfRule>
  </conditionalFormatting>
  <conditionalFormatting sqref="A94">
    <cfRule type="notContainsBlanks" dxfId="250" priority="196" stopIfTrue="1">
      <formula>LEN(TRIM(A94))&gt;0</formula>
    </cfRule>
  </conditionalFormatting>
  <conditionalFormatting sqref="A94">
    <cfRule type="notContainsBlanks" dxfId="249" priority="195" stopIfTrue="1">
      <formula>LEN(TRIM(A94))&gt;0</formula>
    </cfRule>
  </conditionalFormatting>
  <conditionalFormatting sqref="A88:A91 A93">
    <cfRule type="notContainsBlanks" dxfId="248" priority="194" stopIfTrue="1">
      <formula>LEN(TRIM(A88))&gt;0</formula>
    </cfRule>
  </conditionalFormatting>
  <conditionalFormatting sqref="A88:A91 A93">
    <cfRule type="notContainsBlanks" dxfId="247" priority="193" stopIfTrue="1">
      <formula>LEN(TRIM(A88))&gt;0</formula>
    </cfRule>
  </conditionalFormatting>
  <conditionalFormatting sqref="A94">
    <cfRule type="notContainsBlanks" dxfId="246" priority="192" stopIfTrue="1">
      <formula>LEN(TRIM(A94))&gt;0</formula>
    </cfRule>
  </conditionalFormatting>
  <conditionalFormatting sqref="A94">
    <cfRule type="notContainsBlanks" dxfId="245" priority="191" stopIfTrue="1">
      <formula>LEN(TRIM(A94))&gt;0</formula>
    </cfRule>
  </conditionalFormatting>
  <conditionalFormatting sqref="A88:A94">
    <cfRule type="notContainsBlanks" dxfId="244" priority="190" stopIfTrue="1">
      <formula>LEN(TRIM(A88))&gt;0</formula>
    </cfRule>
  </conditionalFormatting>
  <conditionalFormatting sqref="A88:A94">
    <cfRule type="notContainsBlanks" dxfId="243" priority="189" stopIfTrue="1">
      <formula>LEN(TRIM(A88))&gt;0</formula>
    </cfRule>
  </conditionalFormatting>
  <conditionalFormatting sqref="E88:E94">
    <cfRule type="notContainsBlanks" dxfId="242" priority="188" stopIfTrue="1">
      <formula>LEN(TRIM(E88))&gt;0</formula>
    </cfRule>
  </conditionalFormatting>
  <conditionalFormatting sqref="E88:E91 E93">
    <cfRule type="notContainsBlanks" dxfId="241" priority="187" stopIfTrue="1">
      <formula>LEN(TRIM(E88))&gt;0</formula>
    </cfRule>
  </conditionalFormatting>
  <conditionalFormatting sqref="E88:E91 E93">
    <cfRule type="notContainsBlanks" dxfId="240" priority="186" stopIfTrue="1">
      <formula>LEN(TRIM(E88))&gt;0</formula>
    </cfRule>
  </conditionalFormatting>
  <conditionalFormatting sqref="E94">
    <cfRule type="notContainsBlanks" dxfId="239" priority="185" stopIfTrue="1">
      <formula>LEN(TRIM(E94))&gt;0</formula>
    </cfRule>
  </conditionalFormatting>
  <conditionalFormatting sqref="E94">
    <cfRule type="notContainsBlanks" dxfId="238" priority="184" stopIfTrue="1">
      <formula>LEN(TRIM(E94))&gt;0</formula>
    </cfRule>
  </conditionalFormatting>
  <conditionalFormatting sqref="E88:E91 E93">
    <cfRule type="notContainsBlanks" dxfId="237" priority="183" stopIfTrue="1">
      <formula>LEN(TRIM(E88))&gt;0</formula>
    </cfRule>
  </conditionalFormatting>
  <conditionalFormatting sqref="E88:E91 E93">
    <cfRule type="notContainsBlanks" dxfId="236" priority="182" stopIfTrue="1">
      <formula>LEN(TRIM(E88))&gt;0</formula>
    </cfRule>
  </conditionalFormatting>
  <conditionalFormatting sqref="E94">
    <cfRule type="notContainsBlanks" dxfId="235" priority="181" stopIfTrue="1">
      <formula>LEN(TRIM(E94))&gt;0</formula>
    </cfRule>
  </conditionalFormatting>
  <conditionalFormatting sqref="E94">
    <cfRule type="notContainsBlanks" dxfId="234" priority="180" stopIfTrue="1">
      <formula>LEN(TRIM(E94))&gt;0</formula>
    </cfRule>
  </conditionalFormatting>
  <conditionalFormatting sqref="E88:E94">
    <cfRule type="notContainsBlanks" dxfId="233" priority="179" stopIfTrue="1">
      <formula>LEN(TRIM(E88))&gt;0</formula>
    </cfRule>
  </conditionalFormatting>
  <conditionalFormatting sqref="E88:E94">
    <cfRule type="notContainsBlanks" dxfId="232" priority="178" stopIfTrue="1">
      <formula>LEN(TRIM(E88))&gt;0</formula>
    </cfRule>
  </conditionalFormatting>
  <conditionalFormatting sqref="A97:A103">
    <cfRule type="notContainsBlanks" dxfId="231" priority="177" stopIfTrue="1">
      <formula>LEN(TRIM(A97))&gt;0</formula>
    </cfRule>
  </conditionalFormatting>
  <conditionalFormatting sqref="A97:A100 A102">
    <cfRule type="notContainsBlanks" dxfId="230" priority="176" stopIfTrue="1">
      <formula>LEN(TRIM(A97))&gt;0</formula>
    </cfRule>
  </conditionalFormatting>
  <conditionalFormatting sqref="A97:A100 A102">
    <cfRule type="notContainsBlanks" dxfId="229" priority="175" stopIfTrue="1">
      <formula>LEN(TRIM(A97))&gt;0</formula>
    </cfRule>
  </conditionalFormatting>
  <conditionalFormatting sqref="A103">
    <cfRule type="notContainsBlanks" dxfId="228" priority="174" stopIfTrue="1">
      <formula>LEN(TRIM(A103))&gt;0</formula>
    </cfRule>
  </conditionalFormatting>
  <conditionalFormatting sqref="A103">
    <cfRule type="notContainsBlanks" dxfId="227" priority="173" stopIfTrue="1">
      <formula>LEN(TRIM(A103))&gt;0</formula>
    </cfRule>
  </conditionalFormatting>
  <conditionalFormatting sqref="A97:A100 A102">
    <cfRule type="notContainsBlanks" dxfId="226" priority="172" stopIfTrue="1">
      <formula>LEN(TRIM(A97))&gt;0</formula>
    </cfRule>
  </conditionalFormatting>
  <conditionalFormatting sqref="A97:A100 A102">
    <cfRule type="notContainsBlanks" dxfId="225" priority="171" stopIfTrue="1">
      <formula>LEN(TRIM(A97))&gt;0</formula>
    </cfRule>
  </conditionalFormatting>
  <conditionalFormatting sqref="A103">
    <cfRule type="notContainsBlanks" dxfId="224" priority="170" stopIfTrue="1">
      <formula>LEN(TRIM(A103))&gt;0</formula>
    </cfRule>
  </conditionalFormatting>
  <conditionalFormatting sqref="A103">
    <cfRule type="notContainsBlanks" dxfId="223" priority="169" stopIfTrue="1">
      <formula>LEN(TRIM(A103))&gt;0</formula>
    </cfRule>
  </conditionalFormatting>
  <conditionalFormatting sqref="A97:A103">
    <cfRule type="notContainsBlanks" dxfId="222" priority="168" stopIfTrue="1">
      <formula>LEN(TRIM(A97))&gt;0</formula>
    </cfRule>
  </conditionalFormatting>
  <conditionalFormatting sqref="A97:A103">
    <cfRule type="notContainsBlanks" dxfId="221" priority="167" stopIfTrue="1">
      <formula>LEN(TRIM(A97))&gt;0</formula>
    </cfRule>
  </conditionalFormatting>
  <conditionalFormatting sqref="E97:E103">
    <cfRule type="notContainsBlanks" dxfId="220" priority="166" stopIfTrue="1">
      <formula>LEN(TRIM(E97))&gt;0</formula>
    </cfRule>
  </conditionalFormatting>
  <conditionalFormatting sqref="E97:E100 E102">
    <cfRule type="notContainsBlanks" dxfId="219" priority="165" stopIfTrue="1">
      <formula>LEN(TRIM(E97))&gt;0</formula>
    </cfRule>
  </conditionalFormatting>
  <conditionalFormatting sqref="E97:E100 E102">
    <cfRule type="notContainsBlanks" dxfId="218" priority="164" stopIfTrue="1">
      <formula>LEN(TRIM(E97))&gt;0</formula>
    </cfRule>
  </conditionalFormatting>
  <conditionalFormatting sqref="E103">
    <cfRule type="notContainsBlanks" dxfId="217" priority="163" stopIfTrue="1">
      <formula>LEN(TRIM(E103))&gt;0</formula>
    </cfRule>
  </conditionalFormatting>
  <conditionalFormatting sqref="E103">
    <cfRule type="notContainsBlanks" dxfId="216" priority="162" stopIfTrue="1">
      <formula>LEN(TRIM(E103))&gt;0</formula>
    </cfRule>
  </conditionalFormatting>
  <conditionalFormatting sqref="E97:E100 E102">
    <cfRule type="notContainsBlanks" dxfId="215" priority="161" stopIfTrue="1">
      <formula>LEN(TRIM(E97))&gt;0</formula>
    </cfRule>
  </conditionalFormatting>
  <conditionalFormatting sqref="E97:E100 E102">
    <cfRule type="notContainsBlanks" dxfId="214" priority="160" stopIfTrue="1">
      <formula>LEN(TRIM(E97))&gt;0</formula>
    </cfRule>
  </conditionalFormatting>
  <conditionalFormatting sqref="E103">
    <cfRule type="notContainsBlanks" dxfId="213" priority="159" stopIfTrue="1">
      <formula>LEN(TRIM(E103))&gt;0</formula>
    </cfRule>
  </conditionalFormatting>
  <conditionalFormatting sqref="E103">
    <cfRule type="notContainsBlanks" dxfId="212" priority="158" stopIfTrue="1">
      <formula>LEN(TRIM(E103))&gt;0</formula>
    </cfRule>
  </conditionalFormatting>
  <conditionalFormatting sqref="E97:E103">
    <cfRule type="notContainsBlanks" dxfId="211" priority="157" stopIfTrue="1">
      <formula>LEN(TRIM(E97))&gt;0</formula>
    </cfRule>
  </conditionalFormatting>
  <conditionalFormatting sqref="E97:E103">
    <cfRule type="notContainsBlanks" dxfId="210" priority="156" stopIfTrue="1">
      <formula>LEN(TRIM(E97))&gt;0</formula>
    </cfRule>
  </conditionalFormatting>
  <conditionalFormatting sqref="A106:A112">
    <cfRule type="notContainsBlanks" dxfId="209" priority="155" stopIfTrue="1">
      <formula>LEN(TRIM(A106))&gt;0</formula>
    </cfRule>
  </conditionalFormatting>
  <conditionalFormatting sqref="A106:A109 A111">
    <cfRule type="notContainsBlanks" dxfId="208" priority="154" stopIfTrue="1">
      <formula>LEN(TRIM(A106))&gt;0</formula>
    </cfRule>
  </conditionalFormatting>
  <conditionalFormatting sqref="A106:A109 A111">
    <cfRule type="notContainsBlanks" dxfId="207" priority="153" stopIfTrue="1">
      <formula>LEN(TRIM(A106))&gt;0</formula>
    </cfRule>
  </conditionalFormatting>
  <conditionalFormatting sqref="A112">
    <cfRule type="notContainsBlanks" dxfId="206" priority="152" stopIfTrue="1">
      <formula>LEN(TRIM(A112))&gt;0</formula>
    </cfRule>
  </conditionalFormatting>
  <conditionalFormatting sqref="A112">
    <cfRule type="notContainsBlanks" dxfId="205" priority="151" stopIfTrue="1">
      <formula>LEN(TRIM(A112))&gt;0</formula>
    </cfRule>
  </conditionalFormatting>
  <conditionalFormatting sqref="A106:A109 A111">
    <cfRule type="notContainsBlanks" dxfId="204" priority="150" stopIfTrue="1">
      <formula>LEN(TRIM(A106))&gt;0</formula>
    </cfRule>
  </conditionalFormatting>
  <conditionalFormatting sqref="A106:A109 A111">
    <cfRule type="notContainsBlanks" dxfId="203" priority="149" stopIfTrue="1">
      <formula>LEN(TRIM(A106))&gt;0</formula>
    </cfRule>
  </conditionalFormatting>
  <conditionalFormatting sqref="A112">
    <cfRule type="notContainsBlanks" dxfId="202" priority="148" stopIfTrue="1">
      <formula>LEN(TRIM(A112))&gt;0</formula>
    </cfRule>
  </conditionalFormatting>
  <conditionalFormatting sqref="A112">
    <cfRule type="notContainsBlanks" dxfId="201" priority="147" stopIfTrue="1">
      <formula>LEN(TRIM(A112))&gt;0</formula>
    </cfRule>
  </conditionalFormatting>
  <conditionalFormatting sqref="A106:A112">
    <cfRule type="notContainsBlanks" dxfId="200" priority="146" stopIfTrue="1">
      <formula>LEN(TRIM(A106))&gt;0</formula>
    </cfRule>
  </conditionalFormatting>
  <conditionalFormatting sqref="A106:A112">
    <cfRule type="notContainsBlanks" dxfId="199" priority="145" stopIfTrue="1">
      <formula>LEN(TRIM(A106))&gt;0</formula>
    </cfRule>
  </conditionalFormatting>
  <conditionalFormatting sqref="E106:E112">
    <cfRule type="notContainsBlanks" dxfId="198" priority="144" stopIfTrue="1">
      <formula>LEN(TRIM(E106))&gt;0</formula>
    </cfRule>
  </conditionalFormatting>
  <conditionalFormatting sqref="E106:E109 E111">
    <cfRule type="notContainsBlanks" dxfId="197" priority="143" stopIfTrue="1">
      <formula>LEN(TRIM(E106))&gt;0</formula>
    </cfRule>
  </conditionalFormatting>
  <conditionalFormatting sqref="E106:E109 E111">
    <cfRule type="notContainsBlanks" dxfId="196" priority="142" stopIfTrue="1">
      <formula>LEN(TRIM(E106))&gt;0</formula>
    </cfRule>
  </conditionalFormatting>
  <conditionalFormatting sqref="E112">
    <cfRule type="notContainsBlanks" dxfId="195" priority="141" stopIfTrue="1">
      <formula>LEN(TRIM(E112))&gt;0</formula>
    </cfRule>
  </conditionalFormatting>
  <conditionalFormatting sqref="E112">
    <cfRule type="notContainsBlanks" dxfId="194" priority="140" stopIfTrue="1">
      <formula>LEN(TRIM(E112))&gt;0</formula>
    </cfRule>
  </conditionalFormatting>
  <conditionalFormatting sqref="E106:E109 E111">
    <cfRule type="notContainsBlanks" dxfId="193" priority="139" stopIfTrue="1">
      <formula>LEN(TRIM(E106))&gt;0</formula>
    </cfRule>
  </conditionalFormatting>
  <conditionalFormatting sqref="E106:E109 E111">
    <cfRule type="notContainsBlanks" dxfId="192" priority="138" stopIfTrue="1">
      <formula>LEN(TRIM(E106))&gt;0</formula>
    </cfRule>
  </conditionalFormatting>
  <conditionalFormatting sqref="E112">
    <cfRule type="notContainsBlanks" dxfId="191" priority="137" stopIfTrue="1">
      <formula>LEN(TRIM(E112))&gt;0</formula>
    </cfRule>
  </conditionalFormatting>
  <conditionalFormatting sqref="E112">
    <cfRule type="notContainsBlanks" dxfId="190" priority="136" stopIfTrue="1">
      <formula>LEN(TRIM(E112))&gt;0</formula>
    </cfRule>
  </conditionalFormatting>
  <conditionalFormatting sqref="E106:E112">
    <cfRule type="notContainsBlanks" dxfId="189" priority="135" stopIfTrue="1">
      <formula>LEN(TRIM(E106))&gt;0</formula>
    </cfRule>
  </conditionalFormatting>
  <conditionalFormatting sqref="E106:E112">
    <cfRule type="notContainsBlanks" dxfId="188" priority="134" stopIfTrue="1">
      <formula>LEN(TRIM(E106))&gt;0</formula>
    </cfRule>
  </conditionalFormatting>
  <conditionalFormatting sqref="A115:A121">
    <cfRule type="notContainsBlanks" dxfId="187" priority="133" stopIfTrue="1">
      <formula>LEN(TRIM(A115))&gt;0</formula>
    </cfRule>
  </conditionalFormatting>
  <conditionalFormatting sqref="A115:A118 A120">
    <cfRule type="notContainsBlanks" dxfId="186" priority="132" stopIfTrue="1">
      <formula>LEN(TRIM(A115))&gt;0</formula>
    </cfRule>
  </conditionalFormatting>
  <conditionalFormatting sqref="A115:A118 A120">
    <cfRule type="notContainsBlanks" dxfId="185" priority="131" stopIfTrue="1">
      <formula>LEN(TRIM(A115))&gt;0</formula>
    </cfRule>
  </conditionalFormatting>
  <conditionalFormatting sqref="A121">
    <cfRule type="notContainsBlanks" dxfId="184" priority="130" stopIfTrue="1">
      <formula>LEN(TRIM(A121))&gt;0</formula>
    </cfRule>
  </conditionalFormatting>
  <conditionalFormatting sqref="A121">
    <cfRule type="notContainsBlanks" dxfId="183" priority="129" stopIfTrue="1">
      <formula>LEN(TRIM(A121))&gt;0</formula>
    </cfRule>
  </conditionalFormatting>
  <conditionalFormatting sqref="A115:A118 A120">
    <cfRule type="notContainsBlanks" dxfId="182" priority="128" stopIfTrue="1">
      <formula>LEN(TRIM(A115))&gt;0</formula>
    </cfRule>
  </conditionalFormatting>
  <conditionalFormatting sqref="A115:A118 A120">
    <cfRule type="notContainsBlanks" dxfId="181" priority="127" stopIfTrue="1">
      <formula>LEN(TRIM(A115))&gt;0</formula>
    </cfRule>
  </conditionalFormatting>
  <conditionalFormatting sqref="A121">
    <cfRule type="notContainsBlanks" dxfId="180" priority="126" stopIfTrue="1">
      <formula>LEN(TRIM(A121))&gt;0</formula>
    </cfRule>
  </conditionalFormatting>
  <conditionalFormatting sqref="A121">
    <cfRule type="notContainsBlanks" dxfId="179" priority="125" stopIfTrue="1">
      <formula>LEN(TRIM(A121))&gt;0</formula>
    </cfRule>
  </conditionalFormatting>
  <conditionalFormatting sqref="A115:A121">
    <cfRule type="notContainsBlanks" dxfId="178" priority="124" stopIfTrue="1">
      <formula>LEN(TRIM(A115))&gt;0</formula>
    </cfRule>
  </conditionalFormatting>
  <conditionalFormatting sqref="A115:A121">
    <cfRule type="notContainsBlanks" dxfId="177" priority="123" stopIfTrue="1">
      <formula>LEN(TRIM(A115))&gt;0</formula>
    </cfRule>
  </conditionalFormatting>
  <conditionalFormatting sqref="E115:E121">
    <cfRule type="notContainsBlanks" dxfId="176" priority="122" stopIfTrue="1">
      <formula>LEN(TRIM(E115))&gt;0</formula>
    </cfRule>
  </conditionalFormatting>
  <conditionalFormatting sqref="E115:E118 E120">
    <cfRule type="notContainsBlanks" dxfId="175" priority="121" stopIfTrue="1">
      <formula>LEN(TRIM(E115))&gt;0</formula>
    </cfRule>
  </conditionalFormatting>
  <conditionalFormatting sqref="E115:E118 E120">
    <cfRule type="notContainsBlanks" dxfId="174" priority="120" stopIfTrue="1">
      <formula>LEN(TRIM(E115))&gt;0</formula>
    </cfRule>
  </conditionalFormatting>
  <conditionalFormatting sqref="E121">
    <cfRule type="notContainsBlanks" dxfId="173" priority="119" stopIfTrue="1">
      <formula>LEN(TRIM(E121))&gt;0</formula>
    </cfRule>
  </conditionalFormatting>
  <conditionalFormatting sqref="E121">
    <cfRule type="notContainsBlanks" dxfId="172" priority="118" stopIfTrue="1">
      <formula>LEN(TRIM(E121))&gt;0</formula>
    </cfRule>
  </conditionalFormatting>
  <conditionalFormatting sqref="E115:E118 E120">
    <cfRule type="notContainsBlanks" dxfId="171" priority="117" stopIfTrue="1">
      <formula>LEN(TRIM(E115))&gt;0</formula>
    </cfRule>
  </conditionalFormatting>
  <conditionalFormatting sqref="E115:E118 E120">
    <cfRule type="notContainsBlanks" dxfId="170" priority="116" stopIfTrue="1">
      <formula>LEN(TRIM(E115))&gt;0</formula>
    </cfRule>
  </conditionalFormatting>
  <conditionalFormatting sqref="E121">
    <cfRule type="notContainsBlanks" dxfId="169" priority="115" stopIfTrue="1">
      <formula>LEN(TRIM(E121))&gt;0</formula>
    </cfRule>
  </conditionalFormatting>
  <conditionalFormatting sqref="E121">
    <cfRule type="notContainsBlanks" dxfId="168" priority="114" stopIfTrue="1">
      <formula>LEN(TRIM(E121))&gt;0</formula>
    </cfRule>
  </conditionalFormatting>
  <conditionalFormatting sqref="E115:E121">
    <cfRule type="notContainsBlanks" dxfId="167" priority="113" stopIfTrue="1">
      <formula>LEN(TRIM(E115))&gt;0</formula>
    </cfRule>
  </conditionalFormatting>
  <conditionalFormatting sqref="E115:E121">
    <cfRule type="notContainsBlanks" dxfId="166" priority="112" stopIfTrue="1">
      <formula>LEN(TRIM(E115))&gt;0</formula>
    </cfRule>
  </conditionalFormatting>
  <conditionalFormatting sqref="A124:A130">
    <cfRule type="notContainsBlanks" dxfId="165" priority="111" stopIfTrue="1">
      <formula>LEN(TRIM(A124))&gt;0</formula>
    </cfRule>
  </conditionalFormatting>
  <conditionalFormatting sqref="A124:A127 A129">
    <cfRule type="notContainsBlanks" dxfId="164" priority="110" stopIfTrue="1">
      <formula>LEN(TRIM(A124))&gt;0</formula>
    </cfRule>
  </conditionalFormatting>
  <conditionalFormatting sqref="A124:A127 A129">
    <cfRule type="notContainsBlanks" dxfId="163" priority="109" stopIfTrue="1">
      <formula>LEN(TRIM(A124))&gt;0</formula>
    </cfRule>
  </conditionalFormatting>
  <conditionalFormatting sqref="A130">
    <cfRule type="notContainsBlanks" dxfId="162" priority="108" stopIfTrue="1">
      <formula>LEN(TRIM(A130))&gt;0</formula>
    </cfRule>
  </conditionalFormatting>
  <conditionalFormatting sqref="A130">
    <cfRule type="notContainsBlanks" dxfId="161" priority="107" stopIfTrue="1">
      <formula>LEN(TRIM(A130))&gt;0</formula>
    </cfRule>
  </conditionalFormatting>
  <conditionalFormatting sqref="A124:A127 A129">
    <cfRule type="notContainsBlanks" dxfId="160" priority="106" stopIfTrue="1">
      <formula>LEN(TRIM(A124))&gt;0</formula>
    </cfRule>
  </conditionalFormatting>
  <conditionalFormatting sqref="A124:A127 A129">
    <cfRule type="notContainsBlanks" dxfId="159" priority="105" stopIfTrue="1">
      <formula>LEN(TRIM(A124))&gt;0</formula>
    </cfRule>
  </conditionalFormatting>
  <conditionalFormatting sqref="A130">
    <cfRule type="notContainsBlanks" dxfId="158" priority="104" stopIfTrue="1">
      <formula>LEN(TRIM(A130))&gt;0</formula>
    </cfRule>
  </conditionalFormatting>
  <conditionalFormatting sqref="A130">
    <cfRule type="notContainsBlanks" dxfId="157" priority="103" stopIfTrue="1">
      <formula>LEN(TRIM(A130))&gt;0</formula>
    </cfRule>
  </conditionalFormatting>
  <conditionalFormatting sqref="A124:A130">
    <cfRule type="notContainsBlanks" dxfId="156" priority="102" stopIfTrue="1">
      <formula>LEN(TRIM(A124))&gt;0</formula>
    </cfRule>
  </conditionalFormatting>
  <conditionalFormatting sqref="A124:A130">
    <cfRule type="notContainsBlanks" dxfId="155" priority="101" stopIfTrue="1">
      <formula>LEN(TRIM(A124))&gt;0</formula>
    </cfRule>
  </conditionalFormatting>
  <conditionalFormatting sqref="E124:E130">
    <cfRule type="notContainsBlanks" dxfId="154" priority="100" stopIfTrue="1">
      <formula>LEN(TRIM(E124))&gt;0</formula>
    </cfRule>
  </conditionalFormatting>
  <conditionalFormatting sqref="E124:E127 E129">
    <cfRule type="notContainsBlanks" dxfId="153" priority="99" stopIfTrue="1">
      <formula>LEN(TRIM(E124))&gt;0</formula>
    </cfRule>
  </conditionalFormatting>
  <conditionalFormatting sqref="E124:E127 E129">
    <cfRule type="notContainsBlanks" dxfId="152" priority="98" stopIfTrue="1">
      <formula>LEN(TRIM(E124))&gt;0</formula>
    </cfRule>
  </conditionalFormatting>
  <conditionalFormatting sqref="E130">
    <cfRule type="notContainsBlanks" dxfId="151" priority="97" stopIfTrue="1">
      <formula>LEN(TRIM(E130))&gt;0</formula>
    </cfRule>
  </conditionalFormatting>
  <conditionalFormatting sqref="E130">
    <cfRule type="notContainsBlanks" dxfId="150" priority="96" stopIfTrue="1">
      <formula>LEN(TRIM(E130))&gt;0</formula>
    </cfRule>
  </conditionalFormatting>
  <conditionalFormatting sqref="E124:E127 E129">
    <cfRule type="notContainsBlanks" dxfId="149" priority="95" stopIfTrue="1">
      <formula>LEN(TRIM(E124))&gt;0</formula>
    </cfRule>
  </conditionalFormatting>
  <conditionalFormatting sqref="E124:E127 E129">
    <cfRule type="notContainsBlanks" dxfId="148" priority="94" stopIfTrue="1">
      <formula>LEN(TRIM(E124))&gt;0</formula>
    </cfRule>
  </conditionalFormatting>
  <conditionalFormatting sqref="E130">
    <cfRule type="notContainsBlanks" dxfId="147" priority="93" stopIfTrue="1">
      <formula>LEN(TRIM(E130))&gt;0</formula>
    </cfRule>
  </conditionalFormatting>
  <conditionalFormatting sqref="E130">
    <cfRule type="notContainsBlanks" dxfId="146" priority="92" stopIfTrue="1">
      <formula>LEN(TRIM(E130))&gt;0</formula>
    </cfRule>
  </conditionalFormatting>
  <conditionalFormatting sqref="E124:E130">
    <cfRule type="notContainsBlanks" dxfId="145" priority="91" stopIfTrue="1">
      <formula>LEN(TRIM(E124))&gt;0</formula>
    </cfRule>
  </conditionalFormatting>
  <conditionalFormatting sqref="E124:E130">
    <cfRule type="notContainsBlanks" dxfId="144" priority="90" stopIfTrue="1">
      <formula>LEN(TRIM(E124))&gt;0</formula>
    </cfRule>
  </conditionalFormatting>
  <conditionalFormatting sqref="A133:A139">
    <cfRule type="notContainsBlanks" dxfId="143" priority="89" stopIfTrue="1">
      <formula>LEN(TRIM(A133))&gt;0</formula>
    </cfRule>
  </conditionalFormatting>
  <conditionalFormatting sqref="A133:A136 A138">
    <cfRule type="notContainsBlanks" dxfId="142" priority="88" stopIfTrue="1">
      <formula>LEN(TRIM(A133))&gt;0</formula>
    </cfRule>
  </conditionalFormatting>
  <conditionalFormatting sqref="A133:A136 A138">
    <cfRule type="notContainsBlanks" dxfId="141" priority="87" stopIfTrue="1">
      <formula>LEN(TRIM(A133))&gt;0</formula>
    </cfRule>
  </conditionalFormatting>
  <conditionalFormatting sqref="A139">
    <cfRule type="notContainsBlanks" dxfId="140" priority="86" stopIfTrue="1">
      <formula>LEN(TRIM(A139))&gt;0</formula>
    </cfRule>
  </conditionalFormatting>
  <conditionalFormatting sqref="A139">
    <cfRule type="notContainsBlanks" dxfId="139" priority="85" stopIfTrue="1">
      <formula>LEN(TRIM(A139))&gt;0</formula>
    </cfRule>
  </conditionalFormatting>
  <conditionalFormatting sqref="A133:A136 A138">
    <cfRule type="notContainsBlanks" dxfId="138" priority="84" stopIfTrue="1">
      <formula>LEN(TRIM(A133))&gt;0</formula>
    </cfRule>
  </conditionalFormatting>
  <conditionalFormatting sqref="A133:A136 A138">
    <cfRule type="notContainsBlanks" dxfId="137" priority="83" stopIfTrue="1">
      <formula>LEN(TRIM(A133))&gt;0</formula>
    </cfRule>
  </conditionalFormatting>
  <conditionalFormatting sqref="A139">
    <cfRule type="notContainsBlanks" dxfId="136" priority="82" stopIfTrue="1">
      <formula>LEN(TRIM(A139))&gt;0</formula>
    </cfRule>
  </conditionalFormatting>
  <conditionalFormatting sqref="A139">
    <cfRule type="notContainsBlanks" dxfId="135" priority="81" stopIfTrue="1">
      <formula>LEN(TRIM(A139))&gt;0</formula>
    </cfRule>
  </conditionalFormatting>
  <conditionalFormatting sqref="A133:A139">
    <cfRule type="notContainsBlanks" dxfId="134" priority="80" stopIfTrue="1">
      <formula>LEN(TRIM(A133))&gt;0</formula>
    </cfRule>
  </conditionalFormatting>
  <conditionalFormatting sqref="A133:A139">
    <cfRule type="notContainsBlanks" dxfId="133" priority="79" stopIfTrue="1">
      <formula>LEN(TRIM(A133))&gt;0</formula>
    </cfRule>
  </conditionalFormatting>
  <conditionalFormatting sqref="E133:E139">
    <cfRule type="notContainsBlanks" dxfId="132" priority="78" stopIfTrue="1">
      <formula>LEN(TRIM(E133))&gt;0</formula>
    </cfRule>
  </conditionalFormatting>
  <conditionalFormatting sqref="E133:E136 E138">
    <cfRule type="notContainsBlanks" dxfId="131" priority="77" stopIfTrue="1">
      <formula>LEN(TRIM(E133))&gt;0</formula>
    </cfRule>
  </conditionalFormatting>
  <conditionalFormatting sqref="E133:E136 E138">
    <cfRule type="notContainsBlanks" dxfId="130" priority="76" stopIfTrue="1">
      <formula>LEN(TRIM(E133))&gt;0</formula>
    </cfRule>
  </conditionalFormatting>
  <conditionalFormatting sqref="E139">
    <cfRule type="notContainsBlanks" dxfId="129" priority="75" stopIfTrue="1">
      <formula>LEN(TRIM(E139))&gt;0</formula>
    </cfRule>
  </conditionalFormatting>
  <conditionalFormatting sqref="E139">
    <cfRule type="notContainsBlanks" dxfId="128" priority="74" stopIfTrue="1">
      <formula>LEN(TRIM(E139))&gt;0</formula>
    </cfRule>
  </conditionalFormatting>
  <conditionalFormatting sqref="E133:E136 E138">
    <cfRule type="notContainsBlanks" dxfId="127" priority="73" stopIfTrue="1">
      <formula>LEN(TRIM(E133))&gt;0</formula>
    </cfRule>
  </conditionalFormatting>
  <conditionalFormatting sqref="E133:E136 E138">
    <cfRule type="notContainsBlanks" dxfId="126" priority="72" stopIfTrue="1">
      <formula>LEN(TRIM(E133))&gt;0</formula>
    </cfRule>
  </conditionalFormatting>
  <conditionalFormatting sqref="E139">
    <cfRule type="notContainsBlanks" dxfId="125" priority="71" stopIfTrue="1">
      <formula>LEN(TRIM(E139))&gt;0</formula>
    </cfRule>
  </conditionalFormatting>
  <conditionalFormatting sqref="E139">
    <cfRule type="notContainsBlanks" dxfId="124" priority="70" stopIfTrue="1">
      <formula>LEN(TRIM(E139))&gt;0</formula>
    </cfRule>
  </conditionalFormatting>
  <conditionalFormatting sqref="E133:E139">
    <cfRule type="notContainsBlanks" dxfId="123" priority="69" stopIfTrue="1">
      <formula>LEN(TRIM(E133))&gt;0</formula>
    </cfRule>
  </conditionalFormatting>
  <conditionalFormatting sqref="E133:E139">
    <cfRule type="notContainsBlanks" dxfId="122" priority="68" stopIfTrue="1">
      <formula>LEN(TRIM(E133))&gt;0</formula>
    </cfRule>
  </conditionalFormatting>
  <conditionalFormatting sqref="A142:A148">
    <cfRule type="notContainsBlanks" dxfId="121" priority="67" stopIfTrue="1">
      <formula>LEN(TRIM(A142))&gt;0</formula>
    </cfRule>
  </conditionalFormatting>
  <conditionalFormatting sqref="A142:A145 A147">
    <cfRule type="notContainsBlanks" dxfId="120" priority="66" stopIfTrue="1">
      <formula>LEN(TRIM(A142))&gt;0</formula>
    </cfRule>
  </conditionalFormatting>
  <conditionalFormatting sqref="A142:A145 A147">
    <cfRule type="notContainsBlanks" dxfId="119" priority="65" stopIfTrue="1">
      <formula>LEN(TRIM(A142))&gt;0</formula>
    </cfRule>
  </conditionalFormatting>
  <conditionalFormatting sqref="A148">
    <cfRule type="notContainsBlanks" dxfId="118" priority="64" stopIfTrue="1">
      <formula>LEN(TRIM(A148))&gt;0</formula>
    </cfRule>
  </conditionalFormatting>
  <conditionalFormatting sqref="A148">
    <cfRule type="notContainsBlanks" dxfId="117" priority="63" stopIfTrue="1">
      <formula>LEN(TRIM(A148))&gt;0</formula>
    </cfRule>
  </conditionalFormatting>
  <conditionalFormatting sqref="A142:A145 A147">
    <cfRule type="notContainsBlanks" dxfId="116" priority="62" stopIfTrue="1">
      <formula>LEN(TRIM(A142))&gt;0</formula>
    </cfRule>
  </conditionalFormatting>
  <conditionalFormatting sqref="A142:A145 A147">
    <cfRule type="notContainsBlanks" dxfId="115" priority="61" stopIfTrue="1">
      <formula>LEN(TRIM(A142))&gt;0</formula>
    </cfRule>
  </conditionalFormatting>
  <conditionalFormatting sqref="A148">
    <cfRule type="notContainsBlanks" dxfId="114" priority="60" stopIfTrue="1">
      <formula>LEN(TRIM(A148))&gt;0</formula>
    </cfRule>
  </conditionalFormatting>
  <conditionalFormatting sqref="A148">
    <cfRule type="notContainsBlanks" dxfId="113" priority="59" stopIfTrue="1">
      <formula>LEN(TRIM(A148))&gt;0</formula>
    </cfRule>
  </conditionalFormatting>
  <conditionalFormatting sqref="A142:A148">
    <cfRule type="notContainsBlanks" dxfId="112" priority="58" stopIfTrue="1">
      <formula>LEN(TRIM(A142))&gt;0</formula>
    </cfRule>
  </conditionalFormatting>
  <conditionalFormatting sqref="A142:A148">
    <cfRule type="notContainsBlanks" dxfId="111" priority="57" stopIfTrue="1">
      <formula>LEN(TRIM(A142))&gt;0</formula>
    </cfRule>
  </conditionalFormatting>
  <conditionalFormatting sqref="E142:E148">
    <cfRule type="notContainsBlanks" dxfId="110" priority="56" stopIfTrue="1">
      <formula>LEN(TRIM(E142))&gt;0</formula>
    </cfRule>
  </conditionalFormatting>
  <conditionalFormatting sqref="E142:E145 E147">
    <cfRule type="notContainsBlanks" dxfId="109" priority="55" stopIfTrue="1">
      <formula>LEN(TRIM(E142))&gt;0</formula>
    </cfRule>
  </conditionalFormatting>
  <conditionalFormatting sqref="E142:E145 E147">
    <cfRule type="notContainsBlanks" dxfId="108" priority="54" stopIfTrue="1">
      <formula>LEN(TRIM(E142))&gt;0</formula>
    </cfRule>
  </conditionalFormatting>
  <conditionalFormatting sqref="E148">
    <cfRule type="notContainsBlanks" dxfId="107" priority="53" stopIfTrue="1">
      <formula>LEN(TRIM(E148))&gt;0</formula>
    </cfRule>
  </conditionalFormatting>
  <conditionalFormatting sqref="E148">
    <cfRule type="notContainsBlanks" dxfId="106" priority="52" stopIfTrue="1">
      <formula>LEN(TRIM(E148))&gt;0</formula>
    </cfRule>
  </conditionalFormatting>
  <conditionalFormatting sqref="E142:E145 E147">
    <cfRule type="notContainsBlanks" dxfId="105" priority="51" stopIfTrue="1">
      <formula>LEN(TRIM(E142))&gt;0</formula>
    </cfRule>
  </conditionalFormatting>
  <conditionalFormatting sqref="E142:E145 E147">
    <cfRule type="notContainsBlanks" dxfId="104" priority="50" stopIfTrue="1">
      <formula>LEN(TRIM(E142))&gt;0</formula>
    </cfRule>
  </conditionalFormatting>
  <conditionalFormatting sqref="E148">
    <cfRule type="notContainsBlanks" dxfId="103" priority="49" stopIfTrue="1">
      <formula>LEN(TRIM(E148))&gt;0</formula>
    </cfRule>
  </conditionalFormatting>
  <conditionalFormatting sqref="E148">
    <cfRule type="notContainsBlanks" dxfId="102" priority="48" stopIfTrue="1">
      <formula>LEN(TRIM(E148))&gt;0</formula>
    </cfRule>
  </conditionalFormatting>
  <conditionalFormatting sqref="E142:E148">
    <cfRule type="notContainsBlanks" dxfId="101" priority="47" stopIfTrue="1">
      <formula>LEN(TRIM(E142))&gt;0</formula>
    </cfRule>
  </conditionalFormatting>
  <conditionalFormatting sqref="E142:E148">
    <cfRule type="notContainsBlanks" dxfId="100" priority="46" stopIfTrue="1">
      <formula>LEN(TRIM(E142))&gt;0</formula>
    </cfRule>
  </conditionalFormatting>
  <conditionalFormatting sqref="A151:A157">
    <cfRule type="notContainsBlanks" dxfId="99" priority="45" stopIfTrue="1">
      <formula>LEN(TRIM(A151))&gt;0</formula>
    </cfRule>
  </conditionalFormatting>
  <conditionalFormatting sqref="A151:A154 A156">
    <cfRule type="notContainsBlanks" dxfId="98" priority="44" stopIfTrue="1">
      <formula>LEN(TRIM(A151))&gt;0</formula>
    </cfRule>
  </conditionalFormatting>
  <conditionalFormatting sqref="A151:A154 A156">
    <cfRule type="notContainsBlanks" dxfId="97" priority="43" stopIfTrue="1">
      <formula>LEN(TRIM(A151))&gt;0</formula>
    </cfRule>
  </conditionalFormatting>
  <conditionalFormatting sqref="A157">
    <cfRule type="notContainsBlanks" dxfId="96" priority="42" stopIfTrue="1">
      <formula>LEN(TRIM(A157))&gt;0</formula>
    </cfRule>
  </conditionalFormatting>
  <conditionalFormatting sqref="A157">
    <cfRule type="notContainsBlanks" dxfId="95" priority="41" stopIfTrue="1">
      <formula>LEN(TRIM(A157))&gt;0</formula>
    </cfRule>
  </conditionalFormatting>
  <conditionalFormatting sqref="A151:A154 A156">
    <cfRule type="notContainsBlanks" dxfId="94" priority="40" stopIfTrue="1">
      <formula>LEN(TRIM(A151))&gt;0</formula>
    </cfRule>
  </conditionalFormatting>
  <conditionalFormatting sqref="A151:A154 A156">
    <cfRule type="notContainsBlanks" dxfId="93" priority="39" stopIfTrue="1">
      <formula>LEN(TRIM(A151))&gt;0</formula>
    </cfRule>
  </conditionalFormatting>
  <conditionalFormatting sqref="A157">
    <cfRule type="notContainsBlanks" dxfId="92" priority="38" stopIfTrue="1">
      <formula>LEN(TRIM(A157))&gt;0</formula>
    </cfRule>
  </conditionalFormatting>
  <conditionalFormatting sqref="A157">
    <cfRule type="notContainsBlanks" dxfId="91" priority="37" stopIfTrue="1">
      <formula>LEN(TRIM(A157))&gt;0</formula>
    </cfRule>
  </conditionalFormatting>
  <conditionalFormatting sqref="A151:A157">
    <cfRule type="notContainsBlanks" dxfId="90" priority="36" stopIfTrue="1">
      <formula>LEN(TRIM(A151))&gt;0</formula>
    </cfRule>
  </conditionalFormatting>
  <conditionalFormatting sqref="A151:A157">
    <cfRule type="notContainsBlanks" dxfId="89" priority="35" stopIfTrue="1">
      <formula>LEN(TRIM(A151))&gt;0</formula>
    </cfRule>
  </conditionalFormatting>
  <conditionalFormatting sqref="A151:A154 A156:A157">
    <cfRule type="notContainsBlanks" dxfId="88" priority="34" stopIfTrue="1">
      <formula>LEN(TRIM(A151))&gt;0</formula>
    </cfRule>
  </conditionalFormatting>
  <conditionalFormatting sqref="A151:A154 A156:A157">
    <cfRule type="notContainsBlanks" dxfId="87" priority="33" stopIfTrue="1">
      <formula>LEN(TRIM(A151))&gt;0</formula>
    </cfRule>
  </conditionalFormatting>
  <conditionalFormatting sqref="A151:A154 A156:A157">
    <cfRule type="notContainsBlanks" dxfId="86" priority="32" stopIfTrue="1">
      <formula>LEN(TRIM(A151))&gt;0</formula>
    </cfRule>
  </conditionalFormatting>
  <conditionalFormatting sqref="A151:A154 A156:A157">
    <cfRule type="notContainsBlanks" dxfId="85" priority="31" stopIfTrue="1">
      <formula>LEN(TRIM(A151))&gt;0</formula>
    </cfRule>
  </conditionalFormatting>
  <conditionalFormatting sqref="A151:A157">
    <cfRule type="notContainsBlanks" dxfId="84" priority="30" stopIfTrue="1">
      <formula>LEN(TRIM(A151))&gt;0</formula>
    </cfRule>
  </conditionalFormatting>
  <conditionalFormatting sqref="A151:A157">
    <cfRule type="notContainsBlanks" dxfId="83" priority="29" stopIfTrue="1">
      <formula>LEN(TRIM(A151))&gt;0</formula>
    </cfRule>
  </conditionalFormatting>
  <conditionalFormatting sqref="A151:A157">
    <cfRule type="notContainsBlanks" dxfId="82" priority="28" stopIfTrue="1">
      <formula>LEN(TRIM(A151))&gt;0</formula>
    </cfRule>
  </conditionalFormatting>
  <conditionalFormatting sqref="A151:A154 A156:A157">
    <cfRule type="notContainsBlanks" dxfId="81" priority="27" stopIfTrue="1">
      <formula>LEN(TRIM(A151))&gt;0</formula>
    </cfRule>
  </conditionalFormatting>
  <conditionalFormatting sqref="A151:A154 A156:A157">
    <cfRule type="notContainsBlanks" dxfId="80" priority="26" stopIfTrue="1">
      <formula>LEN(TRIM(A151))&gt;0</formula>
    </cfRule>
  </conditionalFormatting>
  <conditionalFormatting sqref="A151:A154 A156:A157">
    <cfRule type="notContainsBlanks" dxfId="79" priority="25" stopIfTrue="1">
      <formula>LEN(TRIM(A151))&gt;0</formula>
    </cfRule>
  </conditionalFormatting>
  <conditionalFormatting sqref="A151:A154 A156:A157">
    <cfRule type="notContainsBlanks" dxfId="78" priority="24" stopIfTrue="1">
      <formula>LEN(TRIM(A151))&gt;0</formula>
    </cfRule>
  </conditionalFormatting>
  <conditionalFormatting sqref="A151:A157">
    <cfRule type="notContainsBlanks" dxfId="77" priority="23" stopIfTrue="1">
      <formula>LEN(TRIM(A151))&gt;0</formula>
    </cfRule>
  </conditionalFormatting>
  <conditionalFormatting sqref="A151:A157">
    <cfRule type="notContainsBlanks" dxfId="76" priority="22" stopIfTrue="1">
      <formula>LEN(TRIM(A151))&gt;0</formula>
    </cfRule>
  </conditionalFormatting>
  <conditionalFormatting sqref="E79:E82 E84">
    <cfRule type="notContainsBlanks" dxfId="75" priority="21" stopIfTrue="1">
      <formula>LEN(TRIM(E79))&gt;0</formula>
    </cfRule>
  </conditionalFormatting>
  <conditionalFormatting sqref="E79:E82 E84">
    <cfRule type="notContainsBlanks" dxfId="74" priority="20" stopIfTrue="1">
      <formula>LEN(TRIM(E79))&gt;0</formula>
    </cfRule>
  </conditionalFormatting>
  <conditionalFormatting sqref="E85">
    <cfRule type="notContainsBlanks" dxfId="73" priority="19" stopIfTrue="1">
      <formula>LEN(TRIM(E85))&gt;0</formula>
    </cfRule>
  </conditionalFormatting>
  <conditionalFormatting sqref="E85">
    <cfRule type="notContainsBlanks" dxfId="72" priority="18" stopIfTrue="1">
      <formula>LEN(TRIM(E85))&gt;0</formula>
    </cfRule>
  </conditionalFormatting>
  <conditionalFormatting sqref="E79:E82 E84">
    <cfRule type="notContainsBlanks" dxfId="71" priority="17" stopIfTrue="1">
      <formula>LEN(TRIM(E79))&gt;0</formula>
    </cfRule>
  </conditionalFormatting>
  <conditionalFormatting sqref="E79:E82 E84">
    <cfRule type="notContainsBlanks" dxfId="70" priority="16" stopIfTrue="1">
      <formula>LEN(TRIM(E79))&gt;0</formula>
    </cfRule>
  </conditionalFormatting>
  <conditionalFormatting sqref="E85">
    <cfRule type="notContainsBlanks" dxfId="69" priority="15" stopIfTrue="1">
      <formula>LEN(TRIM(E85))&gt;0</formula>
    </cfRule>
  </conditionalFormatting>
  <conditionalFormatting sqref="E85">
    <cfRule type="notContainsBlanks" dxfId="68" priority="14" stopIfTrue="1">
      <formula>LEN(TRIM(E85))&gt;0</formula>
    </cfRule>
  </conditionalFormatting>
  <conditionalFormatting sqref="E79:E85">
    <cfRule type="notContainsBlanks" dxfId="67" priority="13" stopIfTrue="1">
      <formula>LEN(TRIM(E79))&gt;0</formula>
    </cfRule>
  </conditionalFormatting>
  <conditionalFormatting sqref="E79:E85">
    <cfRule type="notContainsBlanks" dxfId="66" priority="12" stopIfTrue="1">
      <formula>LEN(TRIM(E79))&gt;0</formula>
    </cfRule>
  </conditionalFormatting>
  <conditionalFormatting sqref="E79:E85">
    <cfRule type="notContainsBlanks" dxfId="65" priority="11" stopIfTrue="1">
      <formula>LEN(TRIM(E79))&gt;0</formula>
    </cfRule>
  </conditionalFormatting>
  <conditionalFormatting sqref="E79:E82 E84">
    <cfRule type="notContainsBlanks" dxfId="64" priority="10" stopIfTrue="1">
      <formula>LEN(TRIM(E79))&gt;0</formula>
    </cfRule>
  </conditionalFormatting>
  <conditionalFormatting sqref="E79:E82 E84">
    <cfRule type="notContainsBlanks" dxfId="63" priority="9" stopIfTrue="1">
      <formula>LEN(TRIM(E79))&gt;0</formula>
    </cfRule>
  </conditionalFormatting>
  <conditionalFormatting sqref="E85">
    <cfRule type="notContainsBlanks" dxfId="62" priority="8" stopIfTrue="1">
      <formula>LEN(TRIM(E85))&gt;0</formula>
    </cfRule>
  </conditionalFormatting>
  <conditionalFormatting sqref="E85">
    <cfRule type="notContainsBlanks" dxfId="61" priority="7" stopIfTrue="1">
      <formula>LEN(TRIM(E85))&gt;0</formula>
    </cfRule>
  </conditionalFormatting>
  <conditionalFormatting sqref="E79:E82 E84">
    <cfRule type="notContainsBlanks" dxfId="60" priority="6" stopIfTrue="1">
      <formula>LEN(TRIM(E79))&gt;0</formula>
    </cfRule>
  </conditionalFormatting>
  <conditionalFormatting sqref="E79:E82 E84">
    <cfRule type="notContainsBlanks" dxfId="59" priority="5" stopIfTrue="1">
      <formula>LEN(TRIM(E79))&gt;0</formula>
    </cfRule>
  </conditionalFormatting>
  <conditionalFormatting sqref="E85">
    <cfRule type="notContainsBlanks" dxfId="58" priority="4" stopIfTrue="1">
      <formula>LEN(TRIM(E85))&gt;0</formula>
    </cfRule>
  </conditionalFormatting>
  <conditionalFormatting sqref="E85">
    <cfRule type="notContainsBlanks" dxfId="57" priority="3" stopIfTrue="1">
      <formula>LEN(TRIM(E85))&gt;0</formula>
    </cfRule>
  </conditionalFormatting>
  <conditionalFormatting sqref="E79:E85">
    <cfRule type="notContainsBlanks" dxfId="56" priority="2" stopIfTrue="1">
      <formula>LEN(TRIM(E79))&gt;0</formula>
    </cfRule>
  </conditionalFormatting>
  <conditionalFormatting sqref="E79:E85">
    <cfRule type="notContainsBlanks" dxfId="55" priority="1" stopIfTrue="1">
      <formula>LEN(TRIM(E79))&gt;0</formula>
    </cfRule>
  </conditionalFormatting>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N67"/>
  <sheetViews>
    <sheetView zoomScaleNormal="100" workbookViewId="0">
      <selection activeCell="A11" sqref="A11:XFD11"/>
    </sheetView>
  </sheetViews>
  <sheetFormatPr defaultRowHeight="12.75" x14ac:dyDescent="0.2"/>
  <cols>
    <col min="1" max="1" width="13.85546875" style="180" customWidth="1"/>
    <col min="2" max="2" width="11.7109375" style="180" customWidth="1"/>
    <col min="3" max="3" width="14.140625" style="180" customWidth="1"/>
    <col min="4" max="4" width="5.7109375" style="180" customWidth="1"/>
    <col min="5" max="5" width="12.42578125" style="180" customWidth="1"/>
    <col min="6" max="6" width="6" style="180" customWidth="1"/>
    <col min="7" max="7" width="13.140625" style="180" customWidth="1"/>
    <col min="8" max="8" width="6.42578125" style="180" customWidth="1"/>
    <col min="9" max="9" width="9.140625" style="180"/>
    <col min="10" max="10" width="16.140625" style="180" customWidth="1"/>
    <col min="11" max="11" width="10.85546875" style="180" customWidth="1"/>
    <col min="12" max="12" width="12.42578125" style="75" hidden="1" customWidth="1"/>
    <col min="13" max="14" width="0" style="75" hidden="1" customWidth="1"/>
    <col min="15" max="16384" width="9.140625" style="75"/>
  </cols>
  <sheetData>
    <row r="1" spans="1:14" x14ac:dyDescent="0.2">
      <c r="C1" s="181" t="s">
        <v>19</v>
      </c>
      <c r="E1" s="181" t="s">
        <v>20</v>
      </c>
      <c r="G1" s="181" t="s">
        <v>19</v>
      </c>
      <c r="I1" s="181"/>
    </row>
    <row r="2" spans="1:14" s="180" customFormat="1" x14ac:dyDescent="0.2">
      <c r="A2" s="181" t="s">
        <v>13</v>
      </c>
      <c r="B2" s="181" t="s">
        <v>14</v>
      </c>
      <c r="C2" s="181" t="s">
        <v>18</v>
      </c>
      <c r="E2" s="181" t="s">
        <v>18</v>
      </c>
      <c r="G2" s="181" t="s">
        <v>21</v>
      </c>
      <c r="I2" s="182" t="s">
        <v>6</v>
      </c>
      <c r="J2" s="183" t="s">
        <v>8</v>
      </c>
      <c r="K2" s="182" t="s">
        <v>7</v>
      </c>
      <c r="L2" s="180" t="str">
        <f>A2</f>
        <v>Concentration</v>
      </c>
      <c r="M2" s="180" t="str">
        <f t="shared" ref="M2:N2" si="0">B2</f>
        <v>Residue</v>
      </c>
      <c r="N2" s="180" t="str">
        <f t="shared" si="0"/>
        <v xml:space="preserve"> Intensity</v>
      </c>
    </row>
    <row r="3" spans="1:14" x14ac:dyDescent="0.2">
      <c r="L3" s="180"/>
    </row>
    <row r="4" spans="1:14" x14ac:dyDescent="0.2">
      <c r="A4" s="180">
        <f>IF(C4="","",' Principal'!$H$16)</f>
        <v>0</v>
      </c>
      <c r="B4" s="184">
        <f>IFERROR(ABS(C4-E4),"")</f>
        <v>736.04449940315544</v>
      </c>
      <c r="C4" s="185">
        <f>' Principal'!H8</f>
        <v>50.891428571428605</v>
      </c>
      <c r="E4" s="185">
        <f>IFERROR(' Principal'!$P$8+' Principal'!$P$7*Cálculos!A4,"")</f>
        <v>786.93592797458405</v>
      </c>
      <c r="G4" s="186">
        <f>IFERROR((C4-' Principal'!$P$8)/' Principal'!$P$7,"")</f>
        <v>-4.9657016271444942E-5</v>
      </c>
      <c r="I4" s="185">
        <f>IFERROR((G4-$G$55)^2,"")</f>
        <v>1.2714861559021633E-4</v>
      </c>
      <c r="J4" s="185">
        <f>IFERROR((E4-C4)^2,"")</f>
        <v>541761.50510164164</v>
      </c>
      <c r="K4" s="185">
        <f>IFERROR(A4^2,"")</f>
        <v>0</v>
      </c>
      <c r="L4" s="180">
        <f>IF(A4="",NA(),A4)</f>
        <v>0</v>
      </c>
      <c r="M4" s="180">
        <f t="shared" ref="M4:N19" si="1">IF(B4="",NA(),B4)</f>
        <v>736.04449940315544</v>
      </c>
      <c r="N4" s="180">
        <f t="shared" si="1"/>
        <v>50.891428571428605</v>
      </c>
    </row>
    <row r="5" spans="1:14" x14ac:dyDescent="0.2">
      <c r="A5" s="180">
        <f>IF(C5="","",' Principal'!$H$16)</f>
        <v>0</v>
      </c>
      <c r="B5" s="184">
        <f t="shared" ref="B5:B52" si="2">IFERROR(ABS(C5-E5),"")</f>
        <v>798.85449940315539</v>
      </c>
      <c r="C5" s="185">
        <f>' Principal'!H9</f>
        <v>-11.91857142857134</v>
      </c>
      <c r="E5" s="185">
        <f>IFERROR(' Principal'!$P$8+' Principal'!$P$7*Cálculos!A5,"")</f>
        <v>786.93592797458405</v>
      </c>
      <c r="G5" s="186">
        <f>IFERROR((C5-' Principal'!$P$8)/' Principal'!$P$7,"")</f>
        <v>-5.3894473646017484E-5</v>
      </c>
      <c r="I5" s="185">
        <f t="shared" ref="I5:I52" si="3">IFERROR((G5-$G$55)^2,"")</f>
        <v>1.272441968501681E-4</v>
      </c>
      <c r="J5" s="185">
        <f t="shared" ref="J5:J52" si="4">IFERROR((E5-C5)^2,"")</f>
        <v>638168.51121666597</v>
      </c>
      <c r="K5" s="185">
        <f t="shared" ref="K5:K52" si="5">IFERROR(A5^2,"")</f>
        <v>0</v>
      </c>
      <c r="L5" s="180">
        <f t="shared" ref="L5:L50" si="6">IF(A5="",NA(),A5)</f>
        <v>0</v>
      </c>
      <c r="M5" s="180">
        <f t="shared" si="1"/>
        <v>798.85449940315539</v>
      </c>
      <c r="N5" s="180">
        <f t="shared" si="1"/>
        <v>-11.91857142857134</v>
      </c>
    </row>
    <row r="6" spans="1:14" x14ac:dyDescent="0.2">
      <c r="A6" s="180">
        <f>IF(C6="","",' Principal'!$H$16)</f>
        <v>0</v>
      </c>
      <c r="B6" s="184">
        <f t="shared" si="2"/>
        <v>799.05449940315543</v>
      </c>
      <c r="C6" s="185">
        <f>' Principal'!H10</f>
        <v>-12.118571428571386</v>
      </c>
      <c r="E6" s="185">
        <f>IFERROR(' Principal'!$P$8+' Principal'!$P$7*Cálculos!A6,"")</f>
        <v>786.93592797458405</v>
      </c>
      <c r="G6" s="186">
        <f>IFERROR((C6-' Principal'!$P$8)/' Principal'!$P$7,"")</f>
        <v>-5.3907966584640544E-5</v>
      </c>
      <c r="I6" s="185">
        <f t="shared" si="3"/>
        <v>1.2724450125797953E-4</v>
      </c>
      <c r="J6" s="185">
        <f t="shared" si="4"/>
        <v>638488.09301642736</v>
      </c>
      <c r="K6" s="185">
        <f t="shared" si="5"/>
        <v>0</v>
      </c>
      <c r="L6" s="180">
        <f t="shared" si="6"/>
        <v>0</v>
      </c>
      <c r="M6" s="180">
        <f t="shared" si="1"/>
        <v>799.05449940315543</v>
      </c>
      <c r="N6" s="180">
        <f t="shared" si="1"/>
        <v>-12.118571428571386</v>
      </c>
    </row>
    <row r="7" spans="1:14" x14ac:dyDescent="0.2">
      <c r="A7" s="180">
        <f>IF(C7="","",' Principal'!$H$16)</f>
        <v>0</v>
      </c>
      <c r="B7" s="184">
        <f t="shared" si="2"/>
        <v>783.24449940315526</v>
      </c>
      <c r="C7" s="185">
        <f>' Principal'!H11</f>
        <v>3.6914285714287871</v>
      </c>
      <c r="E7" s="185">
        <f>IFERROR(' Principal'!$P$8+' Principal'!$P$7*Cálculos!A7,"")</f>
        <v>786.93592797458405</v>
      </c>
      <c r="G7" s="186">
        <f>IFERROR((C7-' Principal'!$P$8)/' Principal'!$P$7,"")</f>
        <v>-5.2841349786487506E-5</v>
      </c>
      <c r="I7" s="185">
        <f t="shared" si="3"/>
        <v>1.2722043894376737E-4</v>
      </c>
      <c r="J7" s="185">
        <f t="shared" si="4"/>
        <v>613471.94584529928</v>
      </c>
      <c r="K7" s="185">
        <f t="shared" si="5"/>
        <v>0</v>
      </c>
      <c r="L7" s="180">
        <f t="shared" si="6"/>
        <v>0</v>
      </c>
      <c r="M7" s="180">
        <f t="shared" si="1"/>
        <v>783.24449940315526</v>
      </c>
      <c r="N7" s="180">
        <f t="shared" si="1"/>
        <v>3.6914285714287871</v>
      </c>
    </row>
    <row r="8" spans="1:14" x14ac:dyDescent="0.2">
      <c r="A8" s="180">
        <f>IF(C8="","",' Principal'!$H$16)</f>
        <v>0</v>
      </c>
      <c r="B8" s="184">
        <f t="shared" si="2"/>
        <v>777.64449940315535</v>
      </c>
      <c r="C8" s="185">
        <f>' Principal'!H12</f>
        <v>9.2914285714286962</v>
      </c>
      <c r="E8" s="185">
        <f>IFERROR(' Principal'!$P$8+' Principal'!$P$7*Cálculos!A8,"")</f>
        <v>786.93592797458405</v>
      </c>
      <c r="G8" s="186">
        <f>IFERROR((C8-' Principal'!$P$8)/' Principal'!$P$7,"")</f>
        <v>-5.2463547505041781E-5</v>
      </c>
      <c r="I8" s="185">
        <f t="shared" si="3"/>
        <v>1.2721191646862537E-4</v>
      </c>
      <c r="J8" s="185">
        <f t="shared" si="4"/>
        <v>604730.96745198406</v>
      </c>
      <c r="K8" s="185">
        <f t="shared" si="5"/>
        <v>0</v>
      </c>
      <c r="L8" s="180">
        <f t="shared" si="6"/>
        <v>0</v>
      </c>
      <c r="M8" s="180">
        <f t="shared" si="1"/>
        <v>777.64449940315535</v>
      </c>
      <c r="N8" s="180">
        <f t="shared" si="1"/>
        <v>9.2914285714286962</v>
      </c>
    </row>
    <row r="9" spans="1:14" x14ac:dyDescent="0.2">
      <c r="A9" s="180">
        <f>IF(C9="","",' Principal'!$H$16)</f>
        <v>0</v>
      </c>
      <c r="B9" s="184">
        <f t="shared" si="2"/>
        <v>808.25449940315525</v>
      </c>
      <c r="C9" s="185">
        <f>' Principal'!H13</f>
        <v>-21.318571428571204</v>
      </c>
      <c r="E9" s="185">
        <f>IFERROR(' Principal'!$P$8+' Principal'!$P$7*Cálculos!A9,"")</f>
        <v>786.93592797458405</v>
      </c>
      <c r="G9" s="186">
        <f>IFERROR((C9-' Principal'!$P$8)/' Principal'!$P$7,"")</f>
        <v>-5.4528641761301372E-5</v>
      </c>
      <c r="I9" s="185">
        <f t="shared" si="3"/>
        <v>1.2725850441091667E-4</v>
      </c>
      <c r="J9" s="185">
        <f t="shared" si="4"/>
        <v>653275.33580544509</v>
      </c>
      <c r="K9" s="185">
        <f t="shared" si="5"/>
        <v>0</v>
      </c>
      <c r="L9" s="180">
        <f t="shared" si="6"/>
        <v>0</v>
      </c>
      <c r="M9" s="180">
        <f t="shared" si="1"/>
        <v>808.25449940315525</v>
      </c>
      <c r="N9" s="180">
        <f t="shared" si="1"/>
        <v>-21.318571428571204</v>
      </c>
    </row>
    <row r="10" spans="1:14" x14ac:dyDescent="0.2">
      <c r="A10" s="180">
        <f>IF(C10="","",' Principal'!$H$16)</f>
        <v>0</v>
      </c>
      <c r="B10" s="184">
        <f t="shared" si="2"/>
        <v>805.4544994031553</v>
      </c>
      <c r="C10" s="185">
        <f>' Principal'!H14</f>
        <v>-18.518571428571249</v>
      </c>
      <c r="E10" s="185">
        <f>IFERROR(' Principal'!$P$8+' Principal'!$P$7*Cálculos!A10,"")</f>
        <v>786.93592797458405</v>
      </c>
      <c r="G10" s="186">
        <f>IFERROR((C10-' Principal'!$P$8)/' Principal'!$P$7,"")</f>
        <v>-5.4339740620578513E-5</v>
      </c>
      <c r="I10" s="185">
        <f t="shared" si="3"/>
        <v>1.272542425001993E-4</v>
      </c>
      <c r="J10" s="185">
        <f t="shared" si="4"/>
        <v>648756.95060878748</v>
      </c>
      <c r="K10" s="185">
        <f t="shared" si="5"/>
        <v>0</v>
      </c>
      <c r="L10" s="180">
        <f t="shared" si="6"/>
        <v>0</v>
      </c>
      <c r="M10" s="180">
        <f t="shared" si="1"/>
        <v>805.4544994031553</v>
      </c>
      <c r="N10" s="180">
        <f t="shared" si="1"/>
        <v>-18.518571428571249</v>
      </c>
    </row>
    <row r="11" spans="1:14" x14ac:dyDescent="0.2">
      <c r="A11" s="185">
        <f>IF(C11="","",' Principal'!$I$16)</f>
        <v>5.0607198546863226E-3</v>
      </c>
      <c r="B11" s="184">
        <f t="shared" si="2"/>
        <v>2360.4685768648633</v>
      </c>
      <c r="C11" s="185">
        <f>' Principal'!$I$8</f>
        <v>73439.33142857143</v>
      </c>
      <c r="D11" s="188"/>
      <c r="E11" s="185">
        <f>IFERROR(' Principal'!$P$8+' Principal'!$P$7*Cálculos!A11,"")</f>
        <v>75799.800005436293</v>
      </c>
      <c r="G11" s="186">
        <f>IFERROR((C11-' Principal'!$P$8)/' Principal'!$P$7,"")</f>
        <v>4.9014715665398048E-3</v>
      </c>
      <c r="I11" s="185">
        <f t="shared" si="3"/>
        <v>4.0004245016645575E-5</v>
      </c>
      <c r="J11" s="185">
        <f t="shared" si="4"/>
        <v>5571811.9023664333</v>
      </c>
      <c r="K11" s="185">
        <f t="shared" si="5"/>
        <v>2.5610885447616355E-5</v>
      </c>
      <c r="L11" s="180">
        <f t="shared" si="6"/>
        <v>5.0607198546863226E-3</v>
      </c>
      <c r="M11" s="180">
        <f t="shared" si="1"/>
        <v>2360.4685768648633</v>
      </c>
      <c r="N11" s="180">
        <f t="shared" si="1"/>
        <v>73439.33142857143</v>
      </c>
    </row>
    <row r="12" spans="1:14" x14ac:dyDescent="0.2">
      <c r="A12" s="185">
        <f>IF(C12="","",' Principal'!$I$16)</f>
        <v>5.0607198546863226E-3</v>
      </c>
      <c r="B12" s="184">
        <f t="shared" si="2"/>
        <v>1090.228576864858</v>
      </c>
      <c r="C12" s="185">
        <f>' Principal'!$I$9</f>
        <v>74709.571428571435</v>
      </c>
      <c r="D12" s="188"/>
      <c r="E12" s="185">
        <f>IFERROR(' Principal'!$P$8+' Principal'!$P$7*Cálculos!A12,"")</f>
        <v>75799.800005436293</v>
      </c>
      <c r="G12" s="186">
        <f>IFERROR((C12-' Principal'!$P$8)/' Principal'!$P$7,"")</f>
        <v>4.9871679183225949E-3</v>
      </c>
      <c r="I12" s="185">
        <f t="shared" si="3"/>
        <v>3.8927548728623712E-5</v>
      </c>
      <c r="J12" s="185">
        <f t="shared" si="4"/>
        <v>1188598.3498127738</v>
      </c>
      <c r="K12" s="185">
        <f t="shared" si="5"/>
        <v>2.5610885447616355E-5</v>
      </c>
      <c r="L12" s="180">
        <f t="shared" si="6"/>
        <v>5.0607198546863226E-3</v>
      </c>
      <c r="M12" s="180">
        <f t="shared" si="1"/>
        <v>1090.228576864858</v>
      </c>
      <c r="N12" s="180">
        <f t="shared" si="1"/>
        <v>74709.571428571435</v>
      </c>
    </row>
    <row r="13" spans="1:14" x14ac:dyDescent="0.2">
      <c r="A13" s="185">
        <f>IF(C13="","",' Principal'!$I$16)</f>
        <v>5.0607198546863226E-3</v>
      </c>
      <c r="B13" s="184">
        <f t="shared" si="2"/>
        <v>415.80857686485979</v>
      </c>
      <c r="C13" s="185">
        <f>' Principal'!$I$10</f>
        <v>75383.991428571433</v>
      </c>
      <c r="D13" s="188"/>
      <c r="E13" s="185">
        <f>IFERROR(' Principal'!$P$8+' Principal'!$P$7*Cálculos!A13,"")</f>
        <v>75799.800005436293</v>
      </c>
      <c r="G13" s="186">
        <f>IFERROR((C13-' Principal'!$P$8)/' Principal'!$P$7,"")</f>
        <v>5.0326674566534219E-3</v>
      </c>
      <c r="I13" s="185">
        <f t="shared" si="3"/>
        <v>3.8361857992750443E-5</v>
      </c>
      <c r="J13" s="185">
        <f t="shared" si="4"/>
        <v>172896.77259438002</v>
      </c>
      <c r="K13" s="185">
        <f t="shared" si="5"/>
        <v>2.5610885447616355E-5</v>
      </c>
      <c r="L13" s="180">
        <f t="shared" si="6"/>
        <v>5.0607198546863226E-3</v>
      </c>
      <c r="M13" s="180">
        <f t="shared" si="1"/>
        <v>415.80857686485979</v>
      </c>
      <c r="N13" s="180">
        <f t="shared" si="1"/>
        <v>75383.991428571433</v>
      </c>
    </row>
    <row r="14" spans="1:14" x14ac:dyDescent="0.2">
      <c r="A14" s="185">
        <f>IF(C14="","",' Principal'!$I$16)</f>
        <v>5.0607198546863226E-3</v>
      </c>
      <c r="B14" s="184">
        <f t="shared" si="2"/>
        <v>285.48142313513381</v>
      </c>
      <c r="C14" s="185">
        <f>' Principal'!$I$11</f>
        <v>76085.281428571427</v>
      </c>
      <c r="D14" s="189"/>
      <c r="E14" s="185">
        <f>IFERROR(' Principal'!$P$8+' Principal'!$P$7*Cálculos!A14,"")</f>
        <v>75799.800005436293</v>
      </c>
      <c r="G14" s="186">
        <f>IFERROR((C14-' Principal'!$P$8)/' Principal'!$P$7,"")</f>
        <v>5.0799797712882564E-3</v>
      </c>
      <c r="I14" s="185">
        <f t="shared" si="3"/>
        <v>3.7778020352850939E-5</v>
      </c>
      <c r="J14" s="185">
        <f t="shared" si="4"/>
        <v>81499.642955261312</v>
      </c>
      <c r="K14" s="185">
        <f t="shared" si="5"/>
        <v>2.5610885447616355E-5</v>
      </c>
      <c r="L14" s="180">
        <f t="shared" si="6"/>
        <v>5.0607198546863226E-3</v>
      </c>
      <c r="M14" s="180">
        <f t="shared" si="1"/>
        <v>285.48142313513381</v>
      </c>
      <c r="N14" s="180">
        <f t="shared" si="1"/>
        <v>76085.281428571427</v>
      </c>
    </row>
    <row r="15" spans="1:14" x14ac:dyDescent="0.2">
      <c r="A15" s="185">
        <f>IF(C15="","",' Principal'!$I$16)</f>
        <v>5.0607198546863226E-3</v>
      </c>
      <c r="B15" s="184">
        <f t="shared" si="2"/>
        <v>961.20142313513497</v>
      </c>
      <c r="C15" s="185">
        <f>' Principal'!$I$12</f>
        <v>76761.001428571428</v>
      </c>
      <c r="D15" s="189"/>
      <c r="E15" s="185">
        <f>IFERROR(' Principal'!$P$8+' Principal'!$P$7*Cálculos!A15,"")</f>
        <v>75799.800005436293</v>
      </c>
      <c r="G15" s="186">
        <f>IFERROR((C15-' Principal'!$P$8)/' Principal'!$P$7,"")</f>
        <v>5.1255670137201328E-3</v>
      </c>
      <c r="I15" s="185">
        <f t="shared" si="3"/>
        <v>3.7219705272645376E-5</v>
      </c>
      <c r="J15" s="185">
        <f t="shared" si="4"/>
        <v>923908.17583700875</v>
      </c>
      <c r="K15" s="185">
        <f t="shared" si="5"/>
        <v>2.5610885447616355E-5</v>
      </c>
      <c r="L15" s="180">
        <f t="shared" si="6"/>
        <v>5.0607198546863226E-3</v>
      </c>
      <c r="M15" s="180">
        <f t="shared" si="1"/>
        <v>961.20142313513497</v>
      </c>
      <c r="N15" s="180">
        <f t="shared" si="1"/>
        <v>76761.001428571428</v>
      </c>
    </row>
    <row r="16" spans="1:14" x14ac:dyDescent="0.2">
      <c r="A16" s="185">
        <f>IF(C16="","",' Principal'!$I$16)</f>
        <v>5.0607198546863226E-3</v>
      </c>
      <c r="B16" s="184">
        <f t="shared" si="2"/>
        <v>716.52142313514196</v>
      </c>
      <c r="C16" s="185">
        <f>' Principal'!$I$13</f>
        <v>76516.321428571435</v>
      </c>
      <c r="D16" s="189"/>
      <c r="E16" s="185">
        <f>IFERROR(' Principal'!$P$8+' Principal'!$P$7*Cálculos!A16,"")</f>
        <v>75799.800005436293</v>
      </c>
      <c r="G16" s="186">
        <f>IFERROR((C16-' Principal'!$P$8)/' Principal'!$P$7,"")</f>
        <v>5.1090597526086794E-3</v>
      </c>
      <c r="I16" s="185">
        <f t="shared" si="3"/>
        <v>3.7421392609681819E-5</v>
      </c>
      <c r="J16" s="185">
        <f t="shared" si="4"/>
        <v>513402.94981160917</v>
      </c>
      <c r="K16" s="185">
        <f t="shared" si="5"/>
        <v>2.5610885447616355E-5</v>
      </c>
      <c r="L16" s="180">
        <f t="shared" si="6"/>
        <v>5.0607198546863226E-3</v>
      </c>
      <c r="M16" s="180">
        <f t="shared" si="1"/>
        <v>716.52142313514196</v>
      </c>
      <c r="N16" s="180">
        <f t="shared" si="1"/>
        <v>76516.321428571435</v>
      </c>
    </row>
    <row r="17" spans="1:14" x14ac:dyDescent="0.2">
      <c r="A17" s="185">
        <f>IF(C17="","",' Principal'!$I$16)</f>
        <v>5.0607198546863226E-3</v>
      </c>
      <c r="B17" s="184">
        <f t="shared" si="2"/>
        <v>267.73142313513381</v>
      </c>
      <c r="C17" s="185">
        <f>' Principal'!$I$14</f>
        <v>76067.531428571427</v>
      </c>
      <c r="D17" s="189"/>
      <c r="E17" s="185">
        <f>IFERROR(' Principal'!$P$8+' Principal'!$P$7*Cálculos!A17,"")</f>
        <v>75799.800005436293</v>
      </c>
      <c r="G17" s="186">
        <f>IFERROR((C17-' Principal'!$P$8)/' Principal'!$P$7,"")</f>
        <v>5.0787822729854593E-3</v>
      </c>
      <c r="I17" s="185">
        <f t="shared" si="3"/>
        <v>3.7792742352567601E-5</v>
      </c>
      <c r="J17" s="185">
        <f t="shared" si="4"/>
        <v>71680.114933964069</v>
      </c>
      <c r="K17" s="185">
        <f t="shared" si="5"/>
        <v>2.5610885447616355E-5</v>
      </c>
      <c r="L17" s="180">
        <f t="shared" si="6"/>
        <v>5.0607198546863226E-3</v>
      </c>
      <c r="M17" s="180">
        <f t="shared" si="1"/>
        <v>267.73142313513381</v>
      </c>
      <c r="N17" s="180">
        <f t="shared" si="1"/>
        <v>76067.531428571427</v>
      </c>
    </row>
    <row r="18" spans="1:14" x14ac:dyDescent="0.2">
      <c r="A18" s="185">
        <f>IF(C18="","",' Principal'!$J$16)</f>
        <v>7.6901959430766206E-3</v>
      </c>
      <c r="B18" s="184">
        <f t="shared" si="2"/>
        <v>352.43665070478164</v>
      </c>
      <c r="C18" s="185">
        <f>' Principal'!$J$8</f>
        <v>114422.95142857142</v>
      </c>
      <c r="D18" s="189"/>
      <c r="E18" s="185">
        <f>IFERROR(' Principal'!$P$8+' Principal'!$P$7*Cálculos!A18,"")</f>
        <v>114775.38807927621</v>
      </c>
      <c r="G18" s="186">
        <f>IFERROR((C18-' Principal'!$P$8)/' Principal'!$P$7,"")</f>
        <v>7.6664189125942349E-3</v>
      </c>
      <c r="I18" s="185">
        <f t="shared" si="3"/>
        <v>1.2673198174675426E-5</v>
      </c>
      <c r="J18" s="185">
        <f t="shared" si="4"/>
        <v>124211.59276000426</v>
      </c>
      <c r="K18" s="185">
        <f t="shared" si="5"/>
        <v>5.9139113642912115E-5</v>
      </c>
      <c r="L18" s="180">
        <f t="shared" si="6"/>
        <v>7.6901959430766206E-3</v>
      </c>
      <c r="M18" s="180">
        <f t="shared" si="1"/>
        <v>352.43665070478164</v>
      </c>
      <c r="N18" s="180">
        <f t="shared" si="1"/>
        <v>114422.95142857142</v>
      </c>
    </row>
    <row r="19" spans="1:14" x14ac:dyDescent="0.2">
      <c r="A19" s="185">
        <f>IF(C19="","",' Principal'!$J$16)</f>
        <v>7.6901959430766206E-3</v>
      </c>
      <c r="B19" s="184">
        <f t="shared" si="2"/>
        <v>79.813349295218359</v>
      </c>
      <c r="C19" s="185">
        <f>' Principal'!$J$9</f>
        <v>114855.20142857142</v>
      </c>
      <c r="D19" s="188"/>
      <c r="E19" s="185">
        <f>IFERROR(' Principal'!$P$8+' Principal'!$P$7*Cálculos!A19,"")</f>
        <v>114775.38807927621</v>
      </c>
      <c r="G19" s="186">
        <f>IFERROR((C19-' Principal'!$P$8)/' Principal'!$P$7,"")</f>
        <v>7.6955805261933272E-3</v>
      </c>
      <c r="I19" s="185">
        <f t="shared" si="3"/>
        <v>1.2466421177121561E-5</v>
      </c>
      <c r="J19" s="185">
        <f t="shared" si="4"/>
        <v>6370.1707257205326</v>
      </c>
      <c r="K19" s="185">
        <f t="shared" si="5"/>
        <v>5.9139113642912115E-5</v>
      </c>
      <c r="L19" s="180">
        <f t="shared" si="6"/>
        <v>7.6901959430766206E-3</v>
      </c>
      <c r="M19" s="180">
        <f t="shared" si="1"/>
        <v>79.813349295218359</v>
      </c>
      <c r="N19" s="180">
        <f t="shared" si="1"/>
        <v>114855.20142857142</v>
      </c>
    </row>
    <row r="20" spans="1:14" x14ac:dyDescent="0.2">
      <c r="A20" s="185">
        <f>IF(C20="","",' Principal'!$J$16)</f>
        <v>7.6901959430766206E-3</v>
      </c>
      <c r="B20" s="184">
        <f t="shared" si="2"/>
        <v>1358.8633492952213</v>
      </c>
      <c r="C20" s="185">
        <f>' Principal'!$J$10</f>
        <v>116134.25142857143</v>
      </c>
      <c r="D20" s="188"/>
      <c r="E20" s="185">
        <f>IFERROR(' Principal'!$P$8+' Principal'!$P$7*Cálculos!A20,"")</f>
        <v>114775.38807927621</v>
      </c>
      <c r="G20" s="186">
        <f>IFERROR((C20-' Principal'!$P$8)/' Principal'!$P$7,"")</f>
        <v>7.7818712419224631E-3</v>
      </c>
      <c r="I20" s="185">
        <f t="shared" si="3"/>
        <v>1.1864519861676944E-5</v>
      </c>
      <c r="J20" s="185">
        <f t="shared" si="4"/>
        <v>1846509.6020578265</v>
      </c>
      <c r="K20" s="185">
        <f t="shared" si="5"/>
        <v>5.9139113642912115E-5</v>
      </c>
      <c r="L20" s="180">
        <f t="shared" si="6"/>
        <v>7.6901959430766206E-3</v>
      </c>
      <c r="M20" s="180">
        <f t="shared" ref="M20:M50" si="7">IF(B20="",NA(),B20)</f>
        <v>1358.8633492952213</v>
      </c>
      <c r="N20" s="180">
        <f t="shared" ref="N20:N50" si="8">IF(C20="",NA(),C20)</f>
        <v>116134.25142857143</v>
      </c>
    </row>
    <row r="21" spans="1:14" x14ac:dyDescent="0.2">
      <c r="A21" s="185">
        <f>IF(C21="","",' Principal'!$J$16)</f>
        <v>7.6901959430766206E-3</v>
      </c>
      <c r="B21" s="184">
        <f t="shared" si="2"/>
        <v>2626.3433492952317</v>
      </c>
      <c r="C21" s="185">
        <f>' Principal'!$J$11</f>
        <v>117401.73142857144</v>
      </c>
      <c r="D21" s="188"/>
      <c r="E21" s="185">
        <f>IFERROR(' Principal'!$P$8+' Principal'!$P$7*Cálculos!A21,"")</f>
        <v>114775.38807927621</v>
      </c>
      <c r="G21" s="186">
        <f>IFERROR((C21-' Principal'!$P$8)/' Principal'!$P$7,"")</f>
        <v>7.8673813911522561E-3</v>
      </c>
      <c r="I21" s="185">
        <f t="shared" si="3"/>
        <v>1.1282753928403885E-5</v>
      </c>
      <c r="J21" s="185">
        <f t="shared" si="4"/>
        <v>6897679.3883872954</v>
      </c>
      <c r="K21" s="185">
        <f t="shared" si="5"/>
        <v>5.9139113642912115E-5</v>
      </c>
      <c r="L21" s="180">
        <f t="shared" si="6"/>
        <v>7.6901959430766206E-3</v>
      </c>
      <c r="M21" s="180">
        <f t="shared" si="7"/>
        <v>2626.3433492952317</v>
      </c>
      <c r="N21" s="180">
        <f t="shared" si="8"/>
        <v>117401.73142857144</v>
      </c>
    </row>
    <row r="22" spans="1:14" x14ac:dyDescent="0.2">
      <c r="A22" s="185">
        <f>IF(C22="","",' Principal'!$J$16)</f>
        <v>7.6901959430766206E-3</v>
      </c>
      <c r="B22" s="184">
        <f t="shared" si="2"/>
        <v>2493.2233492952219</v>
      </c>
      <c r="C22" s="185">
        <f>' Principal'!$J$12</f>
        <v>117268.61142857143</v>
      </c>
      <c r="D22" s="188"/>
      <c r="E22" s="185">
        <f>IFERROR(' Principal'!$P$8+' Principal'!$P$7*Cálculos!A22,"")</f>
        <v>114775.38807927621</v>
      </c>
      <c r="G22" s="186">
        <f>IFERROR((C22-' Principal'!$P$8)/' Principal'!$P$7,"")</f>
        <v>7.858400491204745E-3</v>
      </c>
      <c r="I22" s="185">
        <f t="shared" si="3"/>
        <v>1.1343167931065056E-5</v>
      </c>
      <c r="J22" s="185">
        <f t="shared" si="4"/>
        <v>6216162.6694708839</v>
      </c>
      <c r="K22" s="185">
        <f t="shared" si="5"/>
        <v>5.9139113642912115E-5</v>
      </c>
      <c r="L22" s="180">
        <f t="shared" si="6"/>
        <v>7.6901959430766206E-3</v>
      </c>
      <c r="M22" s="180">
        <f t="shared" si="7"/>
        <v>2493.2233492952219</v>
      </c>
      <c r="N22" s="180">
        <f t="shared" si="8"/>
        <v>117268.61142857143</v>
      </c>
    </row>
    <row r="23" spans="1:14" x14ac:dyDescent="0.2">
      <c r="A23" s="185">
        <f>IF(C23="","",' Principal'!$J$16)</f>
        <v>7.6901959430766206E-3</v>
      </c>
      <c r="B23" s="184">
        <f t="shared" si="2"/>
        <v>2958.2333492952312</v>
      </c>
      <c r="C23" s="185">
        <f>' Principal'!$J$13</f>
        <v>117733.62142857144</v>
      </c>
      <c r="D23" s="188"/>
      <c r="E23" s="185">
        <f>IFERROR(' Principal'!$P$8+' Principal'!$P$7*Cálculos!A23,"")</f>
        <v>114775.38807927621</v>
      </c>
      <c r="G23" s="186">
        <f>IFERROR((C23-' Principal'!$P$8)/' Principal'!$P$7,"")</f>
        <v>7.8897722481502952E-3</v>
      </c>
      <c r="I23" s="185">
        <f t="shared" si="3"/>
        <v>1.1132834348620844E-5</v>
      </c>
      <c r="J23" s="185">
        <f t="shared" si="4"/>
        <v>8751144.5488824807</v>
      </c>
      <c r="K23" s="185">
        <f t="shared" si="5"/>
        <v>5.9139113642912115E-5</v>
      </c>
      <c r="L23" s="180">
        <f t="shared" si="6"/>
        <v>7.6901959430766206E-3</v>
      </c>
      <c r="M23" s="180">
        <f t="shared" si="7"/>
        <v>2958.2333492952312</v>
      </c>
      <c r="N23" s="180">
        <f t="shared" si="8"/>
        <v>117733.62142857144</v>
      </c>
    </row>
    <row r="24" spans="1:14" x14ac:dyDescent="0.2">
      <c r="A24" s="185">
        <f>IF(C24="","",' Principal'!$J$16)</f>
        <v>7.6901959430766206E-3</v>
      </c>
      <c r="B24" s="184">
        <f t="shared" si="2"/>
        <v>882.19334929522302</v>
      </c>
      <c r="C24" s="185">
        <f>' Principal'!$J$14</f>
        <v>115657.58142857143</v>
      </c>
      <c r="D24" s="188"/>
      <c r="E24" s="185">
        <f>IFERROR(' Principal'!$P$8+' Principal'!$P$7*Cálculos!A24,"")</f>
        <v>114775.38807927621</v>
      </c>
      <c r="G24" s="186">
        <f>IFERROR((C24-' Principal'!$P$8)/' Principal'!$P$7,"")</f>
        <v>7.7497128466551893E-3</v>
      </c>
      <c r="I24" s="185">
        <f t="shared" si="3"/>
        <v>1.2087092645263732E-5</v>
      </c>
      <c r="J24" s="185">
        <f t="shared" si="4"/>
        <v>778265.10554072331</v>
      </c>
      <c r="K24" s="185">
        <f t="shared" si="5"/>
        <v>5.9139113642912115E-5</v>
      </c>
      <c r="L24" s="180">
        <f t="shared" si="6"/>
        <v>7.6901959430766206E-3</v>
      </c>
      <c r="M24" s="180">
        <f t="shared" si="7"/>
        <v>882.19334929522302</v>
      </c>
      <c r="N24" s="180">
        <f t="shared" si="8"/>
        <v>115657.58142857143</v>
      </c>
    </row>
    <row r="25" spans="1:14" x14ac:dyDescent="0.2">
      <c r="A25" s="185">
        <f>IF(C25="","",' Principal'!$K$16)</f>
        <v>9.4798151909143234E-3</v>
      </c>
      <c r="B25" s="184">
        <f t="shared" si="2"/>
        <v>3454.7696113820712</v>
      </c>
      <c r="C25" s="185">
        <f>' Principal'!$K$8</f>
        <v>137847.37142857144</v>
      </c>
      <c r="D25" s="188"/>
      <c r="E25" s="185">
        <f>IFERROR(' Principal'!$P$8+' Principal'!$P$7*Cálculos!A25,"")</f>
        <v>141302.14103995351</v>
      </c>
      <c r="G25" s="186">
        <f>IFERROR((C25-' Principal'!$P$8)/' Principal'!$P$7,"")</f>
        <v>9.2467402192983363E-3</v>
      </c>
      <c r="I25" s="185">
        <f t="shared" si="3"/>
        <v>3.9189042792515483E-6</v>
      </c>
      <c r="J25" s="185">
        <f t="shared" si="4"/>
        <v>11935433.067729026</v>
      </c>
      <c r="K25" s="185">
        <f t="shared" si="5"/>
        <v>8.9866896053889965E-5</v>
      </c>
      <c r="L25" s="180">
        <f t="shared" si="6"/>
        <v>9.4798151909143234E-3</v>
      </c>
      <c r="M25" s="180">
        <f t="shared" si="7"/>
        <v>3454.7696113820712</v>
      </c>
      <c r="N25" s="180">
        <f t="shared" si="8"/>
        <v>137847.37142857144</v>
      </c>
    </row>
    <row r="26" spans="1:14" x14ac:dyDescent="0.2">
      <c r="A26" s="185">
        <f>IF(C26="","",' Principal'!$K$16)</f>
        <v>9.4798151909143234E-3</v>
      </c>
      <c r="B26" s="184">
        <f t="shared" si="2"/>
        <v>4808.729611382063</v>
      </c>
      <c r="C26" s="185">
        <f>' Principal'!$K$9</f>
        <v>136493.41142857145</v>
      </c>
      <c r="D26" s="188"/>
      <c r="E26" s="185">
        <f>IFERROR(' Principal'!$P$8+' Principal'!$P$7*Cálculos!A26,"")</f>
        <v>141302.14103995351</v>
      </c>
      <c r="G26" s="186">
        <f>IFERROR((C26-' Principal'!$P$8)/' Principal'!$P$7,"")</f>
        <v>9.1553957234079344E-3</v>
      </c>
      <c r="I26" s="185">
        <f t="shared" si="3"/>
        <v>4.288903290365745E-6</v>
      </c>
      <c r="J26" s="185">
        <f t="shared" si="4"/>
        <v>23123880.475382686</v>
      </c>
      <c r="K26" s="185">
        <f t="shared" si="5"/>
        <v>8.9866896053889965E-5</v>
      </c>
      <c r="L26" s="180">
        <f t="shared" si="6"/>
        <v>9.4798151909143234E-3</v>
      </c>
      <c r="M26" s="180">
        <f t="shared" si="7"/>
        <v>4808.729611382063</v>
      </c>
      <c r="N26" s="180">
        <f t="shared" si="8"/>
        <v>136493.41142857145</v>
      </c>
    </row>
    <row r="27" spans="1:14" x14ac:dyDescent="0.2">
      <c r="A27" s="185">
        <f>IF(C27="","",' Principal'!$K$16)</f>
        <v>9.4798151909143234E-3</v>
      </c>
      <c r="B27" s="184">
        <f t="shared" si="2"/>
        <v>5481.5696113820886</v>
      </c>
      <c r="C27" s="185">
        <f>' Principal'!$K$10</f>
        <v>135820.57142857142</v>
      </c>
      <c r="D27" s="188"/>
      <c r="E27" s="185">
        <f>IFERROR(' Principal'!$P$8+' Principal'!$P$7*Cálculos!A27,"")</f>
        <v>141302.14103995351</v>
      </c>
      <c r="G27" s="186">
        <f>IFERROR((C27-' Principal'!$P$8)/' Principal'!$P$7,"")</f>
        <v>9.110002779292227E-3</v>
      </c>
      <c r="I27" s="185">
        <f t="shared" si="3"/>
        <v>4.4789783658735637E-6</v>
      </c>
      <c r="J27" s="185">
        <f t="shared" si="4"/>
        <v>30047605.404427581</v>
      </c>
      <c r="K27" s="185">
        <f t="shared" si="5"/>
        <v>8.9866896053889965E-5</v>
      </c>
      <c r="L27" s="180">
        <f t="shared" si="6"/>
        <v>9.4798151909143234E-3</v>
      </c>
      <c r="M27" s="180">
        <f t="shared" si="7"/>
        <v>5481.5696113820886</v>
      </c>
      <c r="N27" s="180">
        <f t="shared" si="8"/>
        <v>135820.57142857142</v>
      </c>
    </row>
    <row r="28" spans="1:14" x14ac:dyDescent="0.2">
      <c r="A28" s="185">
        <f>IF(C28="","",' Principal'!$K$16)</f>
        <v>9.4798151909143234E-3</v>
      </c>
      <c r="B28" s="184">
        <f t="shared" si="2"/>
        <v>5166.8796113820863</v>
      </c>
      <c r="C28" s="185">
        <f>' Principal'!$K$11</f>
        <v>136135.26142857142</v>
      </c>
      <c r="D28" s="188"/>
      <c r="E28" s="185">
        <f>IFERROR(' Principal'!$P$8+' Principal'!$P$7*Cálculos!A28,"")</f>
        <v>141302.14103995351</v>
      </c>
      <c r="G28" s="186">
        <f>IFERROR((C28-' Principal'!$P$8)/' Principal'!$P$7,"")</f>
        <v>9.1312332435686851E-3</v>
      </c>
      <c r="I28" s="185">
        <f t="shared" si="3"/>
        <v>4.3895665006125305E-6</v>
      </c>
      <c r="J28" s="185">
        <f t="shared" si="4"/>
        <v>26696644.918515898</v>
      </c>
      <c r="K28" s="185">
        <f t="shared" si="5"/>
        <v>8.9866896053889965E-5</v>
      </c>
      <c r="L28" s="180">
        <f t="shared" si="6"/>
        <v>9.4798151909143234E-3</v>
      </c>
      <c r="M28" s="180">
        <f t="shared" si="7"/>
        <v>5166.8796113820863</v>
      </c>
      <c r="N28" s="180">
        <f t="shared" si="8"/>
        <v>136135.26142857142</v>
      </c>
    </row>
    <row r="29" spans="1:14" x14ac:dyDescent="0.2">
      <c r="A29" s="185">
        <f>IF(C29="","",' Principal'!$K$16)</f>
        <v>9.4798151909143234E-3</v>
      </c>
      <c r="B29" s="184">
        <f t="shared" si="2"/>
        <v>3453.7496113820816</v>
      </c>
      <c r="C29" s="185">
        <f>' Principal'!$K$12</f>
        <v>137848.39142857143</v>
      </c>
      <c r="D29" s="188"/>
      <c r="E29" s="185">
        <f>IFERROR(' Principal'!$P$8+' Principal'!$P$7*Cálculos!A29,"")</f>
        <v>141302.14103995351</v>
      </c>
      <c r="G29" s="186">
        <f>IFERROR((C29-' Principal'!$P$8)/' Principal'!$P$7,"")</f>
        <v>9.2468090332853137E-3</v>
      </c>
      <c r="I29" s="185">
        <f t="shared" si="3"/>
        <v>3.9186318325865266E-6</v>
      </c>
      <c r="J29" s="185">
        <f t="shared" si="4"/>
        <v>11928386.378121881</v>
      </c>
      <c r="K29" s="185">
        <f t="shared" si="5"/>
        <v>8.9866896053889965E-5</v>
      </c>
      <c r="L29" s="180">
        <f t="shared" si="6"/>
        <v>9.4798151909143234E-3</v>
      </c>
      <c r="M29" s="180">
        <f t="shared" si="7"/>
        <v>3453.7496113820816</v>
      </c>
      <c r="N29" s="180">
        <f t="shared" si="8"/>
        <v>137848.39142857143</v>
      </c>
    </row>
    <row r="30" spans="1:14" x14ac:dyDescent="0.2">
      <c r="A30" s="185">
        <f>IF(C30="","",' Principal'!$K$16)</f>
        <v>9.4798151909143234E-3</v>
      </c>
      <c r="B30" s="184">
        <f t="shared" si="2"/>
        <v>2490.54961138207</v>
      </c>
      <c r="C30" s="185">
        <f>' Principal'!$K$13</f>
        <v>138811.59142857144</v>
      </c>
      <c r="D30" s="188"/>
      <c r="E30" s="185">
        <f>IFERROR(' Principal'!$P$8+' Principal'!$P$7*Cálculos!A30,"")</f>
        <v>141302.14103995351</v>
      </c>
      <c r="G30" s="186">
        <f>IFERROR((C30-' Principal'!$P$8)/' Principal'!$P$7,"")</f>
        <v>9.3117910256939797E-3</v>
      </c>
      <c r="I30" s="185">
        <f t="shared" si="3"/>
        <v>3.6655838383491035E-6</v>
      </c>
      <c r="J30" s="185">
        <f t="shared" si="4"/>
        <v>6202837.3667553803</v>
      </c>
      <c r="K30" s="185">
        <f t="shared" si="5"/>
        <v>8.9866896053889965E-5</v>
      </c>
      <c r="L30" s="180">
        <f t="shared" si="6"/>
        <v>9.4798151909143234E-3</v>
      </c>
      <c r="M30" s="180">
        <f t="shared" si="7"/>
        <v>2490.54961138207</v>
      </c>
      <c r="N30" s="180">
        <f t="shared" si="8"/>
        <v>138811.59142857144</v>
      </c>
    </row>
    <row r="31" spans="1:14" x14ac:dyDescent="0.2">
      <c r="A31" s="185">
        <f>IF(C31="","",' Principal'!$K$16)</f>
        <v>9.4798151909143234E-3</v>
      </c>
      <c r="B31" s="184">
        <f t="shared" si="2"/>
        <v>3117.0596113820793</v>
      </c>
      <c r="C31" s="185">
        <f>' Principal'!$K$14</f>
        <v>138185.08142857143</v>
      </c>
      <c r="D31" s="188"/>
      <c r="E31" s="185">
        <f>IFERROR(' Principal'!$P$8+' Principal'!$P$7*Cálculos!A31,"")</f>
        <v>141302.14103995351</v>
      </c>
      <c r="G31" s="186">
        <f>IFERROR((C31-' Principal'!$P$8)/' Principal'!$P$7,"")</f>
        <v>9.2695237208103073E-3</v>
      </c>
      <c r="I31" s="185">
        <f t="shared" si="3"/>
        <v>3.8292179138350421E-6</v>
      </c>
      <c r="J31" s="185">
        <f t="shared" si="4"/>
        <v>9716060.6209093984</v>
      </c>
      <c r="K31" s="185">
        <f t="shared" si="5"/>
        <v>8.9866896053889965E-5</v>
      </c>
      <c r="L31" s="180">
        <f t="shared" si="6"/>
        <v>9.4798151909143234E-3</v>
      </c>
      <c r="M31" s="180">
        <f t="shared" si="7"/>
        <v>3117.0596113820793</v>
      </c>
      <c r="N31" s="180">
        <f t="shared" si="8"/>
        <v>138185.08142857143</v>
      </c>
    </row>
    <row r="32" spans="1:14" x14ac:dyDescent="0.2">
      <c r="A32" s="185">
        <f>IF(C32="","",' Principal'!$L$16)</f>
        <v>1.1634202105838006E-2</v>
      </c>
      <c r="B32" s="184">
        <f t="shared" si="2"/>
        <v>4457.7961146095768</v>
      </c>
      <c r="C32" s="185">
        <f>' Principal'!$L$8</f>
        <v>168777.89142857143</v>
      </c>
      <c r="D32" s="188"/>
      <c r="E32" s="185">
        <f>IFERROR(' Principal'!$P$8+' Principal'!$P$7*Cálculos!A32,"")</f>
        <v>173235.687543181</v>
      </c>
      <c r="G32" s="186">
        <f>IFERROR((C32-' Principal'!$P$8)/' Principal'!$P$7,"")</f>
        <v>1.1333458258995255E-2</v>
      </c>
      <c r="I32" s="185">
        <f t="shared" si="3"/>
        <v>1.1469506734124657E-8</v>
      </c>
      <c r="J32" s="185">
        <f t="shared" si="4"/>
        <v>19871946.199428238</v>
      </c>
      <c r="K32" s="185">
        <f t="shared" si="5"/>
        <v>1.353546586394855E-4</v>
      </c>
      <c r="L32" s="180">
        <f t="shared" si="6"/>
        <v>1.1634202105838006E-2</v>
      </c>
      <c r="M32" s="180">
        <f t="shared" si="7"/>
        <v>4457.7961146095768</v>
      </c>
      <c r="N32" s="180">
        <f t="shared" si="8"/>
        <v>168777.89142857143</v>
      </c>
    </row>
    <row r="33" spans="1:14" x14ac:dyDescent="0.2">
      <c r="A33" s="185">
        <f>IF(C33="","",' Principal'!$L$16)</f>
        <v>1.1634202105838006E-2</v>
      </c>
      <c r="B33" s="184">
        <f t="shared" si="2"/>
        <v>1206.7261146095698</v>
      </c>
      <c r="C33" s="185">
        <f>' Principal'!$L$9</f>
        <v>172028.96142857143</v>
      </c>
      <c r="D33" s="188"/>
      <c r="E33" s="185">
        <f>IFERROR(' Principal'!$P$8+' Principal'!$P$7*Cálculos!A33,"")</f>
        <v>173235.687543181</v>
      </c>
      <c r="G33" s="186">
        <f>IFERROR((C33-' Principal'!$P$8)/' Principal'!$P$7,"")</f>
        <v>1.1552790698841643E-2</v>
      </c>
      <c r="I33" s="185">
        <f t="shared" si="3"/>
        <v>1.0655538466376721E-7</v>
      </c>
      <c r="J33" s="185">
        <f t="shared" si="4"/>
        <v>1456187.9156807086</v>
      </c>
      <c r="K33" s="185">
        <f t="shared" si="5"/>
        <v>1.353546586394855E-4</v>
      </c>
      <c r="L33" s="180">
        <f t="shared" si="6"/>
        <v>1.1634202105838006E-2</v>
      </c>
      <c r="M33" s="180">
        <f t="shared" si="7"/>
        <v>1206.7261146095698</v>
      </c>
      <c r="N33" s="180">
        <f t="shared" si="8"/>
        <v>172028.96142857143</v>
      </c>
    </row>
    <row r="34" spans="1:14" x14ac:dyDescent="0.2">
      <c r="A34" s="185">
        <f>IF(C34="","",' Principal'!$L$16)</f>
        <v>1.1634202105838006E-2</v>
      </c>
      <c r="B34" s="184">
        <f t="shared" si="2"/>
        <v>1146.1861146095616</v>
      </c>
      <c r="C34" s="185">
        <f>' Principal'!$L$10</f>
        <v>172089.50142857144</v>
      </c>
      <c r="D34" s="188"/>
      <c r="E34" s="185">
        <f>IFERROR(' Principal'!$P$8+' Principal'!$P$7*Cálculos!A34,"")</f>
        <v>173235.687543181</v>
      </c>
      <c r="G34" s="186">
        <f>IFERROR((C34-' Principal'!$P$8)/' Principal'!$P$7,"")</f>
        <v>1.1556875011362844E-2</v>
      </c>
      <c r="I34" s="185">
        <f t="shared" si="3"/>
        <v>1.092385360281419E-7</v>
      </c>
      <c r="J34" s="185">
        <f t="shared" si="4"/>
        <v>1313742.6093237631</v>
      </c>
      <c r="K34" s="185">
        <f t="shared" si="5"/>
        <v>1.353546586394855E-4</v>
      </c>
      <c r="L34" s="180">
        <f t="shared" si="6"/>
        <v>1.1634202105838006E-2</v>
      </c>
      <c r="M34" s="180">
        <f t="shared" si="7"/>
        <v>1146.1861146095616</v>
      </c>
      <c r="N34" s="180">
        <f t="shared" si="8"/>
        <v>172089.50142857144</v>
      </c>
    </row>
    <row r="35" spans="1:14" x14ac:dyDescent="0.2">
      <c r="A35" s="185">
        <f>IF(C35="","",' Principal'!$L$16)</f>
        <v>1.1634202105838006E-2</v>
      </c>
      <c r="B35" s="184">
        <f t="shared" si="2"/>
        <v>713.12388539043604</v>
      </c>
      <c r="C35" s="185">
        <f>' Principal'!$L$11</f>
        <v>173948.81142857144</v>
      </c>
      <c r="D35" s="188"/>
      <c r="E35" s="185">
        <f>IFERROR(' Principal'!$P$8+' Principal'!$P$7*Cálculos!A35,"")</f>
        <v>173235.687543181</v>
      </c>
      <c r="G35" s="186">
        <f>IFERROR((C35-' Principal'!$P$8)/' Principal'!$P$7,"")</f>
        <v>1.168231278991907E-2</v>
      </c>
      <c r="I35" s="185">
        <f t="shared" si="3"/>
        <v>2.078906887576099E-7</v>
      </c>
      <c r="J35" s="185">
        <f t="shared" si="4"/>
        <v>508545.67591435177</v>
      </c>
      <c r="K35" s="185">
        <f t="shared" si="5"/>
        <v>1.353546586394855E-4</v>
      </c>
      <c r="L35" s="180">
        <f t="shared" si="6"/>
        <v>1.1634202105838006E-2</v>
      </c>
      <c r="M35" s="180">
        <f t="shared" si="7"/>
        <v>713.12388539043604</v>
      </c>
      <c r="N35" s="180">
        <f t="shared" si="8"/>
        <v>173948.81142857144</v>
      </c>
    </row>
    <row r="36" spans="1:14" x14ac:dyDescent="0.2">
      <c r="A36" s="185">
        <f>IF(C36="","",' Principal'!$L$16)</f>
        <v>1.1634202105838006E-2</v>
      </c>
      <c r="B36" s="184">
        <f t="shared" si="2"/>
        <v>2000.4438853904139</v>
      </c>
      <c r="C36" s="185">
        <f>' Principal'!$L$12</f>
        <v>175236.13142857142</v>
      </c>
      <c r="D36" s="188"/>
      <c r="E36" s="185">
        <f>IFERROR(' Principal'!$P$8+' Principal'!$P$7*Cálculos!A36,"")</f>
        <v>173235.687543181</v>
      </c>
      <c r="G36" s="186">
        <f>IFERROR((C36-' Principal'!$P$8)/' Principal'!$P$7,"")</f>
        <v>1.1769161438660266E-2</v>
      </c>
      <c r="I36" s="185">
        <f t="shared" si="3"/>
        <v>2.946307138587656E-7</v>
      </c>
      <c r="J36" s="185">
        <f t="shared" si="4"/>
        <v>4001775.7385958955</v>
      </c>
      <c r="K36" s="185">
        <f t="shared" si="5"/>
        <v>1.353546586394855E-4</v>
      </c>
      <c r="L36" s="180">
        <f t="shared" si="6"/>
        <v>1.1634202105838006E-2</v>
      </c>
      <c r="M36" s="180">
        <f t="shared" si="7"/>
        <v>2000.4438853904139</v>
      </c>
      <c r="N36" s="180">
        <f t="shared" si="8"/>
        <v>175236.13142857142</v>
      </c>
    </row>
    <row r="37" spans="1:14" x14ac:dyDescent="0.2">
      <c r="A37" s="185">
        <f>IF(C37="","",' Principal'!$L$16)</f>
        <v>1.1634202105838006E-2</v>
      </c>
      <c r="B37" s="184">
        <f t="shared" si="2"/>
        <v>1899.7138853904326</v>
      </c>
      <c r="C37" s="185">
        <f>' Principal'!$L$13</f>
        <v>175135.40142857144</v>
      </c>
      <c r="D37" s="188"/>
      <c r="E37" s="185">
        <f>IFERROR(' Principal'!$P$8+' Principal'!$P$7*Cálculos!A37,"")</f>
        <v>173235.687543181</v>
      </c>
      <c r="G37" s="186">
        <f>IFERROR((C37-' Principal'!$P$8)/' Principal'!$P$7,"")</f>
        <v>1.1762365720122764E-2</v>
      </c>
      <c r="I37" s="185">
        <f t="shared" si="3"/>
        <v>2.8729947770391042E-7</v>
      </c>
      <c r="J37" s="185">
        <f t="shared" si="4"/>
        <v>3608912.8463452137</v>
      </c>
      <c r="K37" s="185">
        <f t="shared" si="5"/>
        <v>1.353546586394855E-4</v>
      </c>
      <c r="L37" s="180">
        <f t="shared" si="6"/>
        <v>1.1634202105838006E-2</v>
      </c>
      <c r="M37" s="180">
        <f t="shared" si="7"/>
        <v>1899.7138853904326</v>
      </c>
      <c r="N37" s="180">
        <f t="shared" si="8"/>
        <v>175135.40142857144</v>
      </c>
    </row>
    <row r="38" spans="1:14" x14ac:dyDescent="0.2">
      <c r="A38" s="185">
        <f>IF(C38="","",' Principal'!$L$16)</f>
        <v>1.1634202105838006E-2</v>
      </c>
      <c r="B38" s="184">
        <f t="shared" si="2"/>
        <v>2138.2838853904395</v>
      </c>
      <c r="C38" s="185">
        <f>' Principal'!$L$14</f>
        <v>175373.97142857144</v>
      </c>
      <c r="D38" s="188"/>
      <c r="E38" s="185">
        <f>IFERROR(' Principal'!$P$8+' Principal'!$P$7*Cálculos!A38,"")</f>
        <v>173235.687543181</v>
      </c>
      <c r="G38" s="186">
        <f>IFERROR((C38-' Principal'!$P$8)/' Principal'!$P$7,"")</f>
        <v>1.1778460771959282E-2</v>
      </c>
      <c r="I38" s="185">
        <f t="shared" si="3"/>
        <v>3.048125283947398E-7</v>
      </c>
      <c r="J38" s="185">
        <f t="shared" si="4"/>
        <v>4572257.9745204346</v>
      </c>
      <c r="K38" s="185">
        <f t="shared" si="5"/>
        <v>1.353546586394855E-4</v>
      </c>
      <c r="L38" s="180">
        <f t="shared" si="6"/>
        <v>1.1634202105838006E-2</v>
      </c>
      <c r="M38" s="180">
        <f t="shared" si="7"/>
        <v>2138.2838853904395</v>
      </c>
      <c r="N38" s="180">
        <f t="shared" si="8"/>
        <v>175373.97142857144</v>
      </c>
    </row>
    <row r="39" spans="1:14" x14ac:dyDescent="0.2">
      <c r="A39" s="185">
        <f>IF(C39="","",' Principal'!$M$16)</f>
        <v>1.4498360072169121E-2</v>
      </c>
      <c r="B39" s="184">
        <f t="shared" si="2"/>
        <v>3382.3577219299914</v>
      </c>
      <c r="C39" s="185">
        <f>' Principal'!$M$8</f>
        <v>219072.22142857144</v>
      </c>
      <c r="D39" s="188"/>
      <c r="E39" s="185">
        <f>IFERROR(' Principal'!$P$8+' Principal'!$P$7*Cálculos!A39,"")</f>
        <v>215689.86370664145</v>
      </c>
      <c r="G39" s="186">
        <f>IFERROR((C39-' Principal'!$P$8)/' Principal'!$P$7,"")</f>
        <v>1.4726549797885324E-2</v>
      </c>
      <c r="I39" s="185">
        <f t="shared" si="3"/>
        <v>1.225131128824616E-5</v>
      </c>
      <c r="J39" s="185">
        <f t="shared" si="4"/>
        <v>11440343.759099441</v>
      </c>
      <c r="K39" s="185">
        <f t="shared" si="5"/>
        <v>2.1020244478226781E-4</v>
      </c>
      <c r="L39" s="180">
        <f t="shared" si="6"/>
        <v>1.4498360072169121E-2</v>
      </c>
      <c r="M39" s="180">
        <f t="shared" si="7"/>
        <v>3382.3577219299914</v>
      </c>
      <c r="N39" s="180">
        <f t="shared" si="8"/>
        <v>219072.22142857144</v>
      </c>
    </row>
    <row r="40" spans="1:14" x14ac:dyDescent="0.2">
      <c r="A40" s="185">
        <f>IF(C40="","",' Principal'!$M$16)</f>
        <v>1.4498360072169121E-2</v>
      </c>
      <c r="B40" s="184">
        <f t="shared" si="2"/>
        <v>6954.1877219299786</v>
      </c>
      <c r="C40" s="185">
        <f>' Principal'!$M$9</f>
        <v>222644.05142857143</v>
      </c>
      <c r="D40" s="188"/>
      <c r="E40" s="185">
        <f>IFERROR(' Principal'!$P$8+' Principal'!$P$7*Cálculos!A40,"")</f>
        <v>215689.86370664145</v>
      </c>
      <c r="G40" s="186">
        <f>IFERROR((C40-' Principal'!$P$8)/' Principal'!$P$7,"")</f>
        <v>1.4967522212695376E-2</v>
      </c>
      <c r="I40" s="185">
        <f t="shared" si="3"/>
        <v>1.3996276175427221E-5</v>
      </c>
      <c r="J40" s="185">
        <f t="shared" si="4"/>
        <v>48360726.871841662</v>
      </c>
      <c r="K40" s="185">
        <f t="shared" si="5"/>
        <v>2.1020244478226781E-4</v>
      </c>
      <c r="L40" s="180">
        <f t="shared" si="6"/>
        <v>1.4498360072169121E-2</v>
      </c>
      <c r="M40" s="180">
        <f t="shared" si="7"/>
        <v>6954.1877219299786</v>
      </c>
      <c r="N40" s="180">
        <f t="shared" si="8"/>
        <v>222644.05142857143</v>
      </c>
    </row>
    <row r="41" spans="1:14" x14ac:dyDescent="0.2">
      <c r="A41" s="185">
        <f>IF(C41="","",' Principal'!$M$16)</f>
        <v>1.4498360072169121E-2</v>
      </c>
      <c r="B41" s="184">
        <f t="shared" si="2"/>
        <v>6748.6277219299809</v>
      </c>
      <c r="C41" s="185">
        <f>' Principal'!$M$10</f>
        <v>222438.49142857143</v>
      </c>
      <c r="D41" s="188"/>
      <c r="E41" s="185">
        <f>IFERROR(' Principal'!$P$8+' Principal'!$P$7*Cálculos!A41,"")</f>
        <v>215689.86370664145</v>
      </c>
      <c r="G41" s="186">
        <f>IFERROR((C41-' Principal'!$P$8)/' Principal'!$P$7,"")</f>
        <v>1.4953654170378593E-2</v>
      </c>
      <c r="I41" s="185">
        <f t="shared" si="3"/>
        <v>1.3892703374940416E-5</v>
      </c>
      <c r="J41" s="185">
        <f t="shared" si="4"/>
        <v>45543976.129201844</v>
      </c>
      <c r="K41" s="185">
        <f t="shared" si="5"/>
        <v>2.1020244478226781E-4</v>
      </c>
      <c r="L41" s="180">
        <f t="shared" si="6"/>
        <v>1.4498360072169121E-2</v>
      </c>
      <c r="M41" s="180">
        <f t="shared" si="7"/>
        <v>6748.6277219299809</v>
      </c>
      <c r="N41" s="180">
        <f t="shared" si="8"/>
        <v>222438.49142857143</v>
      </c>
    </row>
    <row r="42" spans="1:14" x14ac:dyDescent="0.2">
      <c r="A42" s="185">
        <f>IF(C42="","",' Principal'!$M$16)</f>
        <v>1.4498360072169121E-2</v>
      </c>
      <c r="B42" s="184">
        <f t="shared" si="2"/>
        <v>7848.4377219299786</v>
      </c>
      <c r="C42" s="185">
        <f>' Principal'!$M$11</f>
        <v>223538.30142857143</v>
      </c>
      <c r="D42" s="188"/>
      <c r="E42" s="185">
        <f>IFERROR(' Principal'!$P$8+' Principal'!$P$7*Cálculos!A42,"")</f>
        <v>215689.86370664145</v>
      </c>
      <c r="G42" s="186">
        <f>IFERROR((C42-' Principal'!$P$8)/' Principal'!$P$7,"")</f>
        <v>1.502785251451374E-2</v>
      </c>
      <c r="I42" s="185">
        <f t="shared" si="3"/>
        <v>1.4451326512875107E-5</v>
      </c>
      <c r="J42" s="185">
        <f t="shared" si="4"/>
        <v>61597974.67501343</v>
      </c>
      <c r="K42" s="185">
        <f t="shared" si="5"/>
        <v>2.1020244478226781E-4</v>
      </c>
      <c r="L42" s="180">
        <f t="shared" si="6"/>
        <v>1.4498360072169121E-2</v>
      </c>
      <c r="M42" s="180">
        <f t="shared" si="7"/>
        <v>7848.4377219299786</v>
      </c>
      <c r="N42" s="180">
        <f t="shared" si="8"/>
        <v>223538.30142857143</v>
      </c>
    </row>
    <row r="43" spans="1:14" x14ac:dyDescent="0.2">
      <c r="A43" s="185">
        <f>IF(C43="","",' Principal'!$M$16)</f>
        <v>1.4498360072169121E-2</v>
      </c>
      <c r="B43" s="184">
        <f t="shared" si="2"/>
        <v>4503.0777219299925</v>
      </c>
      <c r="C43" s="185">
        <f>' Principal'!$M$12</f>
        <v>220192.94142857144</v>
      </c>
      <c r="D43" s="188"/>
      <c r="E43" s="185">
        <f>IFERROR(' Principal'!$P$8+' Principal'!$P$7*Cálculos!A43,"")</f>
        <v>215689.86370664145</v>
      </c>
      <c r="G43" s="186">
        <f>IFERROR((C43-' Principal'!$P$8)/' Principal'!$P$7,"")</f>
        <v>1.4802158828753513E-2</v>
      </c>
      <c r="I43" s="185">
        <f t="shared" si="3"/>
        <v>1.2786319556323852E-5</v>
      </c>
      <c r="J43" s="185">
        <f t="shared" si="4"/>
        <v>20277708.969742212</v>
      </c>
      <c r="K43" s="185">
        <f t="shared" si="5"/>
        <v>2.1020244478226781E-4</v>
      </c>
      <c r="L43" s="180">
        <f t="shared" si="6"/>
        <v>1.4498360072169121E-2</v>
      </c>
      <c r="M43" s="180">
        <f t="shared" si="7"/>
        <v>4503.0777219299925</v>
      </c>
      <c r="N43" s="180">
        <f t="shared" si="8"/>
        <v>220192.94142857144</v>
      </c>
    </row>
    <row r="44" spans="1:14" x14ac:dyDescent="0.2">
      <c r="A44" s="187">
        <f>IF(C44="","",' Principal'!$M$16)</f>
        <v>1.4498360072169121E-2</v>
      </c>
      <c r="B44" s="184">
        <f t="shared" si="2"/>
        <v>4604.2977219299937</v>
      </c>
      <c r="C44" s="185">
        <f>' Principal'!$M$13</f>
        <v>220294.16142857145</v>
      </c>
      <c r="D44" s="188"/>
      <c r="E44" s="185">
        <f>IFERROR(' Principal'!$P$8+' Principal'!$P$7*Cálculos!A44,"")</f>
        <v>215689.86370664145</v>
      </c>
      <c r="G44" s="186">
        <f>IFERROR((C44-' Principal'!$P$8)/' Principal'!$P$7,"")</f>
        <v>1.4808987604990644E-2</v>
      </c>
      <c r="I44" s="185">
        <f t="shared" si="3"/>
        <v>1.2835202814833673E-5</v>
      </c>
      <c r="J44" s="185">
        <f t="shared" si="4"/>
        <v>21199557.51216973</v>
      </c>
      <c r="K44" s="185">
        <f t="shared" si="5"/>
        <v>2.1020244478226781E-4</v>
      </c>
      <c r="L44" s="180">
        <f t="shared" si="6"/>
        <v>1.4498360072169121E-2</v>
      </c>
      <c r="M44" s="180">
        <f t="shared" si="7"/>
        <v>4604.2977219299937</v>
      </c>
      <c r="N44" s="180">
        <f t="shared" si="8"/>
        <v>220294.16142857145</v>
      </c>
    </row>
    <row r="45" spans="1:14" x14ac:dyDescent="0.2">
      <c r="A45" s="187">
        <f>IF(C45="","",' Principal'!$M$16)</f>
        <v>1.4498360072169121E-2</v>
      </c>
      <c r="B45" s="184">
        <f t="shared" si="2"/>
        <v>5061.2377219299669</v>
      </c>
      <c r="C45" s="185">
        <f>' Principal'!$M$14</f>
        <v>220751.10142857142</v>
      </c>
      <c r="D45" s="188"/>
      <c r="E45" s="185">
        <f>IFERROR(' Principal'!$P$8+' Principal'!$P$7*Cálculos!A45,"")</f>
        <v>215689.86370664145</v>
      </c>
      <c r="G45" s="186">
        <f>IFERROR((C45-' Principal'!$P$8)/' Principal'!$P$7,"")</f>
        <v>1.4839814921862751E-2</v>
      </c>
      <c r="I45" s="185">
        <f t="shared" si="3"/>
        <v>1.3057038578469587E-5</v>
      </c>
      <c r="J45" s="185">
        <f t="shared" si="4"/>
        <v>25616127.277886841</v>
      </c>
      <c r="K45" s="185">
        <f t="shared" si="5"/>
        <v>2.1020244478226781E-4</v>
      </c>
      <c r="L45" s="180">
        <f t="shared" si="6"/>
        <v>1.4498360072169121E-2</v>
      </c>
      <c r="M45" s="180">
        <f t="shared" si="7"/>
        <v>5061.2377219299669</v>
      </c>
      <c r="N45" s="180">
        <f t="shared" si="8"/>
        <v>220751.10142857142</v>
      </c>
    </row>
    <row r="46" spans="1:14" x14ac:dyDescent="0.2">
      <c r="A46" s="187">
        <f>IF(C46="","",' Principal'!$N$16)</f>
        <v>1.8994881689350367E-2</v>
      </c>
      <c r="B46" s="184">
        <f t="shared" si="2"/>
        <v>688.9196255109855</v>
      </c>
      <c r="C46" s="185">
        <f>' Principal'!$N$8</f>
        <v>281650.94142857142</v>
      </c>
      <c r="D46" s="188"/>
      <c r="E46" s="185">
        <f>IFERROR(' Principal'!$P$8+' Principal'!$P$7*Cálculos!A46,"")</f>
        <v>282339.8610540824</v>
      </c>
      <c r="G46" s="186">
        <f>IFERROR((C46-' Principal'!$P$8)/' Principal'!$P$7,"")</f>
        <v>1.8948403938234156E-2</v>
      </c>
      <c r="I46" s="185">
        <f t="shared" si="3"/>
        <v>5.9629924344373864E-5</v>
      </c>
      <c r="J46" s="185">
        <f t="shared" si="4"/>
        <v>474610.25041419652</v>
      </c>
      <c r="K46" s="185">
        <f t="shared" si="5"/>
        <v>3.6080553039241782E-4</v>
      </c>
      <c r="L46" s="180">
        <f t="shared" si="6"/>
        <v>1.8994881689350367E-2</v>
      </c>
      <c r="M46" s="180">
        <f t="shared" si="7"/>
        <v>688.9196255109855</v>
      </c>
      <c r="N46" s="180">
        <f t="shared" si="8"/>
        <v>281650.94142857142</v>
      </c>
    </row>
    <row r="47" spans="1:14" x14ac:dyDescent="0.2">
      <c r="A47" s="187">
        <f>IF(C47="","",' Principal'!$N$16)</f>
        <v>1.8994881689350367E-2</v>
      </c>
      <c r="B47" s="184">
        <f t="shared" si="2"/>
        <v>6274.8496255109785</v>
      </c>
      <c r="C47" s="185">
        <f>' Principal'!$N$9</f>
        <v>276065.01142857142</v>
      </c>
      <c r="D47" s="188"/>
      <c r="E47" s="185">
        <f>IFERROR(' Principal'!$P$8+' Principal'!$P$7*Cálculos!A47,"")</f>
        <v>282339.8610540824</v>
      </c>
      <c r="G47" s="186">
        <f>IFERROR((C47-' Principal'!$P$8)/' Principal'!$P$7,"")</f>
        <v>1.8571550885020559E-2</v>
      </c>
      <c r="I47" s="185">
        <f t="shared" si="3"/>
        <v>5.3951792763924784E-5</v>
      </c>
      <c r="J47" s="185">
        <f t="shared" si="4"/>
        <v>39373737.822775267</v>
      </c>
      <c r="K47" s="185">
        <f t="shared" si="5"/>
        <v>3.6080553039241782E-4</v>
      </c>
      <c r="L47" s="180">
        <f t="shared" si="6"/>
        <v>1.8994881689350367E-2</v>
      </c>
      <c r="M47" s="180">
        <f t="shared" si="7"/>
        <v>6274.8496255109785</v>
      </c>
      <c r="N47" s="180">
        <f t="shared" si="8"/>
        <v>276065.01142857142</v>
      </c>
    </row>
    <row r="48" spans="1:14" x14ac:dyDescent="0.2">
      <c r="A48" s="187">
        <f>IF(C48="","",' Principal'!$N$16)</f>
        <v>1.8994881689350367E-2</v>
      </c>
      <c r="B48" s="184">
        <f t="shared" si="2"/>
        <v>4754.8196255109506</v>
      </c>
      <c r="C48" s="185">
        <f>' Principal'!$N$10</f>
        <v>277585.04142857145</v>
      </c>
      <c r="D48" s="188"/>
      <c r="E48" s="185">
        <f>IFERROR(' Principal'!$P$8+' Principal'!$P$7*Cálculos!A48,"")</f>
        <v>282339.8610540824</v>
      </c>
      <c r="G48" s="186">
        <f>IFERROR((C48-' Principal'!$P$8)/' Principal'!$P$7,"")</f>
        <v>1.8674099242496627E-2</v>
      </c>
      <c r="I48" s="185">
        <f t="shared" si="3"/>
        <v>5.5468782942939246E-5</v>
      </c>
      <c r="J48" s="185">
        <f t="shared" si="4"/>
        <v>22608309.671144098</v>
      </c>
      <c r="K48" s="185">
        <f t="shared" si="5"/>
        <v>3.6080553039241782E-4</v>
      </c>
      <c r="L48" s="180">
        <f t="shared" si="6"/>
        <v>1.8994881689350367E-2</v>
      </c>
      <c r="M48" s="180">
        <f t="shared" si="7"/>
        <v>4754.8196255109506</v>
      </c>
      <c r="N48" s="180">
        <f t="shared" si="8"/>
        <v>277585.04142857145</v>
      </c>
    </row>
    <row r="49" spans="1:14" x14ac:dyDescent="0.2">
      <c r="A49" s="187">
        <f>IF(C49="","",' Principal'!$N$16)</f>
        <v>1.8994881689350367E-2</v>
      </c>
      <c r="B49" s="184">
        <f t="shared" si="2"/>
        <v>3709.0296255109715</v>
      </c>
      <c r="C49" s="185">
        <f>' Principal'!$N$11</f>
        <v>278630.83142857143</v>
      </c>
      <c r="D49" s="188"/>
      <c r="E49" s="185">
        <f>IFERROR(' Principal'!$P$8+' Principal'!$P$7*Cálculos!A49,"")</f>
        <v>282339.8610540824</v>
      </c>
      <c r="G49" s="186">
        <f>IFERROR((C49-' Principal'!$P$8)/' Principal'!$P$7,"")</f>
        <v>1.8744653143909683E-2</v>
      </c>
      <c r="I49" s="185">
        <f t="shared" si="3"/>
        <v>5.6524694567090626E-5</v>
      </c>
      <c r="J49" s="185">
        <f t="shared" si="4"/>
        <v>13756900.762918057</v>
      </c>
      <c r="K49" s="185">
        <f t="shared" si="5"/>
        <v>3.6080553039241782E-4</v>
      </c>
      <c r="L49" s="180">
        <f t="shared" si="6"/>
        <v>1.8994881689350367E-2</v>
      </c>
      <c r="M49" s="180">
        <f t="shared" si="7"/>
        <v>3709.0296255109715</v>
      </c>
      <c r="N49" s="180">
        <f t="shared" si="8"/>
        <v>278630.83142857143</v>
      </c>
    </row>
    <row r="50" spans="1:14" x14ac:dyDescent="0.2">
      <c r="A50" s="187">
        <f>IF(C50="","",' Principal'!$N$16)</f>
        <v>1.8994881689350367E-2</v>
      </c>
      <c r="B50" s="184">
        <f t="shared" si="2"/>
        <v>1017.2896255109808</v>
      </c>
      <c r="C50" s="185">
        <f>' Principal'!$N$12</f>
        <v>281322.57142857142</v>
      </c>
      <c r="D50" s="188"/>
      <c r="E50" s="185">
        <f>IFERROR(' Principal'!$P$8+' Principal'!$P$7*Cálculos!A50,"")</f>
        <v>282339.8610540824</v>
      </c>
      <c r="G50" s="186">
        <f>IFERROR((C50-' Principal'!$P$8)/' Principal'!$P$7,"")</f>
        <v>1.8926250556955883E-2</v>
      </c>
      <c r="I50" s="185">
        <f t="shared" si="3"/>
        <v>5.9288276459157161E-5</v>
      </c>
      <c r="J50" s="185">
        <f t="shared" si="4"/>
        <v>1034878.1821722717</v>
      </c>
      <c r="K50" s="185">
        <f t="shared" si="5"/>
        <v>3.6080553039241782E-4</v>
      </c>
      <c r="L50" s="180">
        <f t="shared" si="6"/>
        <v>1.8994881689350367E-2</v>
      </c>
      <c r="M50" s="180">
        <f t="shared" si="7"/>
        <v>1017.2896255109808</v>
      </c>
      <c r="N50" s="180">
        <f t="shared" si="8"/>
        <v>281322.57142857142</v>
      </c>
    </row>
    <row r="51" spans="1:14" x14ac:dyDescent="0.2">
      <c r="A51" s="187">
        <f>IF(C51="","",' Principal'!$N$16)</f>
        <v>1.8994881689350367E-2</v>
      </c>
      <c r="B51" s="184">
        <f t="shared" si="2"/>
        <v>1986.8796255109482</v>
      </c>
      <c r="C51" s="185">
        <f>' Principal'!$N$13</f>
        <v>280352.98142857145</v>
      </c>
      <c r="D51" s="188"/>
      <c r="E51" s="185">
        <f>IFERROR(' Principal'!$P$8+' Principal'!$P$7*Cálculos!A51,"")</f>
        <v>282339.8610540824</v>
      </c>
      <c r="G51" s="186">
        <f>IFERROR((C51-' Principal'!$P$8)/' Principal'!$P$7,"")</f>
        <v>1.8860837465158212E-2</v>
      </c>
      <c r="I51" s="185">
        <f t="shared" si="3"/>
        <v>5.8285208359993743E-5</v>
      </c>
      <c r="J51" s="185">
        <f t="shared" si="4"/>
        <v>3947690.6462705261</v>
      </c>
      <c r="K51" s="185">
        <f t="shared" si="5"/>
        <v>3.6080553039241782E-4</v>
      </c>
    </row>
    <row r="52" spans="1:14" x14ac:dyDescent="0.2">
      <c r="A52" s="187">
        <f>IF(C52="","",' Principal'!$N$16)</f>
        <v>1.8994881689350367E-2</v>
      </c>
      <c r="B52" s="184">
        <f t="shared" si="2"/>
        <v>1048.6496255109669</v>
      </c>
      <c r="C52" s="185">
        <f>' Principal'!$N$14</f>
        <v>281291.21142857143</v>
      </c>
      <c r="D52" s="188"/>
      <c r="E52" s="185">
        <f>IFERROR(' Principal'!$P$8+' Principal'!$P$7*Cálculos!A52,"")</f>
        <v>282339.8610540824</v>
      </c>
      <c r="G52" s="186">
        <f>IFERROR((C52-' Principal'!$P$8)/' Principal'!$P$7,"")</f>
        <v>1.8924134864179789E-2</v>
      </c>
      <c r="I52" s="185">
        <f t="shared" si="3"/>
        <v>5.9255699740133893E-5</v>
      </c>
      <c r="J52" s="185">
        <f t="shared" si="4"/>
        <v>1099666.037084291</v>
      </c>
      <c r="K52" s="185">
        <f t="shared" si="5"/>
        <v>3.6080553039241782E-4</v>
      </c>
    </row>
    <row r="53" spans="1:14" x14ac:dyDescent="0.2">
      <c r="A53" s="190"/>
      <c r="B53" s="191"/>
      <c r="C53" s="191"/>
      <c r="D53" s="191"/>
      <c r="E53" s="191"/>
      <c r="H53" s="191"/>
      <c r="I53" s="191"/>
      <c r="J53" s="191"/>
      <c r="K53" s="191"/>
    </row>
    <row r="54" spans="1:14" x14ac:dyDescent="0.2">
      <c r="A54" s="190"/>
      <c r="B54" s="192"/>
      <c r="C54" s="191"/>
      <c r="D54" s="191"/>
      <c r="E54" s="191"/>
      <c r="F54" s="191"/>
      <c r="G54" s="191"/>
      <c r="H54" s="193"/>
      <c r="I54" s="191"/>
      <c r="J54" s="191"/>
      <c r="K54" s="188"/>
    </row>
    <row r="55" spans="1:14" x14ac:dyDescent="0.2">
      <c r="A55" s="190"/>
      <c r="B55" s="194"/>
      <c r="C55" s="191"/>
      <c r="D55" s="191"/>
      <c r="E55" s="191"/>
      <c r="F55" s="191" t="s">
        <v>16</v>
      </c>
      <c r="G55" s="193">
        <f>AVERAGE(G11:G52)</f>
        <v>1.1226362476005799E-2</v>
      </c>
      <c r="H55" s="195"/>
      <c r="I55" s="191"/>
      <c r="J55" s="191"/>
      <c r="K55" s="191"/>
    </row>
    <row r="56" spans="1:14" x14ac:dyDescent="0.2">
      <c r="A56" s="191"/>
      <c r="B56" s="191"/>
      <c r="C56" s="191"/>
      <c r="D56" s="191"/>
      <c r="E56" s="191"/>
      <c r="F56" s="191"/>
      <c r="G56" s="191"/>
      <c r="H56" s="191"/>
      <c r="I56" s="191"/>
      <c r="J56" s="191"/>
      <c r="K56" s="191"/>
    </row>
    <row r="57" spans="1:14" x14ac:dyDescent="0.2">
      <c r="A57" s="196"/>
      <c r="B57" s="191"/>
      <c r="C57" s="191"/>
      <c r="D57" s="191"/>
      <c r="E57" s="191"/>
      <c r="F57" s="191"/>
      <c r="G57" s="191"/>
      <c r="H57" s="192"/>
      <c r="I57" s="191"/>
      <c r="J57" s="191"/>
      <c r="K57" s="191"/>
    </row>
    <row r="58" spans="1:14" x14ac:dyDescent="0.2">
      <c r="A58" s="196"/>
      <c r="B58" s="191"/>
      <c r="C58" s="191"/>
      <c r="D58" s="191"/>
      <c r="E58" s="191"/>
      <c r="F58" s="191"/>
      <c r="G58" s="584"/>
      <c r="H58" s="584"/>
      <c r="I58" s="191"/>
      <c r="J58" s="584"/>
      <c r="K58" s="584"/>
    </row>
    <row r="59" spans="1:14" x14ac:dyDescent="0.2">
      <c r="A59" s="196"/>
      <c r="B59" s="191"/>
      <c r="C59" s="191"/>
      <c r="D59" s="191"/>
      <c r="E59" s="191"/>
      <c r="F59" s="191"/>
      <c r="G59" s="191"/>
      <c r="H59" s="188"/>
      <c r="I59" s="191"/>
      <c r="J59" s="191"/>
      <c r="K59" s="188"/>
    </row>
    <row r="60" spans="1:14" x14ac:dyDescent="0.2">
      <c r="A60" s="191"/>
      <c r="B60" s="191"/>
      <c r="C60" s="191"/>
      <c r="D60" s="191"/>
      <c r="E60" s="191"/>
      <c r="F60" s="191"/>
      <c r="G60" s="191"/>
      <c r="H60" s="191"/>
      <c r="I60" s="191"/>
      <c r="J60" s="191"/>
      <c r="K60" s="191"/>
    </row>
    <row r="61" spans="1:14" x14ac:dyDescent="0.2">
      <c r="A61" s="191"/>
      <c r="B61" s="191"/>
      <c r="C61" s="191"/>
      <c r="D61" s="191"/>
      <c r="E61" s="191"/>
      <c r="F61" s="191"/>
      <c r="G61" s="191"/>
      <c r="H61" s="191"/>
      <c r="I61" s="191"/>
      <c r="J61" s="191"/>
      <c r="K61" s="191"/>
    </row>
    <row r="62" spans="1:14" x14ac:dyDescent="0.2">
      <c r="A62" s="191"/>
      <c r="B62" s="191"/>
      <c r="C62" s="191"/>
      <c r="D62" s="191"/>
      <c r="E62" s="191"/>
      <c r="F62" s="191"/>
      <c r="G62" s="191"/>
      <c r="H62" s="191"/>
      <c r="I62" s="191"/>
      <c r="J62" s="191"/>
      <c r="K62" s="191"/>
    </row>
    <row r="63" spans="1:14" x14ac:dyDescent="0.2">
      <c r="A63" s="191"/>
      <c r="B63" s="191"/>
      <c r="C63" s="191"/>
      <c r="D63" s="191"/>
      <c r="E63" s="191"/>
      <c r="F63" s="191"/>
      <c r="G63" s="191"/>
      <c r="H63" s="191"/>
      <c r="I63" s="191"/>
      <c r="J63" s="191"/>
      <c r="K63" s="191"/>
    </row>
    <row r="64" spans="1:14" x14ac:dyDescent="0.2">
      <c r="A64" s="191"/>
      <c r="B64" s="191"/>
      <c r="C64" s="191"/>
      <c r="D64" s="191"/>
      <c r="E64" s="191"/>
      <c r="F64" s="191"/>
      <c r="G64" s="191"/>
      <c r="H64" s="191"/>
      <c r="I64" s="191"/>
      <c r="J64" s="191"/>
      <c r="K64" s="191"/>
    </row>
    <row r="65" spans="1:11" x14ac:dyDescent="0.2">
      <c r="A65" s="191"/>
      <c r="B65" s="191"/>
      <c r="C65" s="191"/>
      <c r="D65" s="191"/>
      <c r="E65" s="191"/>
      <c r="F65" s="191"/>
      <c r="G65" s="191"/>
      <c r="H65" s="191"/>
      <c r="I65" s="191"/>
      <c r="J65" s="191"/>
      <c r="K65" s="191"/>
    </row>
    <row r="66" spans="1:11" x14ac:dyDescent="0.2">
      <c r="A66" s="191"/>
      <c r="B66" s="191"/>
      <c r="C66" s="191"/>
      <c r="D66" s="191"/>
      <c r="E66" s="191"/>
      <c r="F66" s="191"/>
      <c r="G66" s="191"/>
      <c r="H66" s="191"/>
      <c r="I66" s="191"/>
      <c r="J66" s="191"/>
      <c r="K66" s="191"/>
    </row>
    <row r="67" spans="1:11" x14ac:dyDescent="0.2">
      <c r="A67" s="191"/>
    </row>
  </sheetData>
  <sheetProtection password="C7DA" sheet="1" objects="1" scenarios="1"/>
  <mergeCells count="2">
    <mergeCell ref="G58:H58"/>
    <mergeCell ref="J58:K58"/>
  </mergeCells>
  <phoneticPr fontId="0" type="noConversion"/>
  <pageMargins left="0.78740157499999996" right="0.78740157499999996" top="0.984251969" bottom="0.984251969" header="0.49212598499999999" footer="0.49212598499999999"/>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A1:IL476"/>
  <sheetViews>
    <sheetView topLeftCell="C22" zoomScale="80" zoomScaleNormal="80" zoomScaleSheetLayoutView="100" workbookViewId="0">
      <selection activeCell="I16" sqref="I16"/>
    </sheetView>
  </sheetViews>
  <sheetFormatPr defaultRowHeight="12.75" x14ac:dyDescent="0.2"/>
  <cols>
    <col min="1" max="1" width="48.85546875" style="198" customWidth="1"/>
    <col min="2" max="2" width="16.28515625" style="198" bestFit="1" customWidth="1"/>
    <col min="3" max="3" width="12.85546875" style="198" customWidth="1"/>
    <col min="4" max="4" width="22.7109375" style="198" customWidth="1"/>
    <col min="5" max="5" width="17.7109375" style="198" customWidth="1"/>
    <col min="6" max="6" width="5.7109375" style="198" customWidth="1"/>
    <col min="7" max="7" width="26.85546875" style="97" bestFit="1" customWidth="1"/>
    <col min="8" max="8" width="30" style="198" customWidth="1"/>
    <col min="9" max="9" width="16.140625" style="198" customWidth="1"/>
    <col min="10" max="10" width="19.140625" style="198" customWidth="1"/>
    <col min="11" max="11" width="13" style="198" bestFit="1" customWidth="1"/>
    <col min="12" max="12" width="14.85546875" style="198" bestFit="1" customWidth="1"/>
    <col min="13" max="13" width="16" style="198" customWidth="1"/>
    <col min="14" max="14" width="14.28515625" style="198" bestFit="1" customWidth="1"/>
    <col min="15" max="15" width="14.5703125" style="198" customWidth="1"/>
    <col min="16" max="16" width="16.28515625" style="198" customWidth="1"/>
    <col min="17" max="17" width="10.7109375" style="198" bestFit="1" customWidth="1"/>
    <col min="18" max="18" width="42.140625" style="198" bestFit="1" customWidth="1"/>
    <col min="19" max="19" width="15.28515625" style="198" bestFit="1" customWidth="1"/>
    <col min="20" max="20" width="20.7109375" style="198" bestFit="1" customWidth="1"/>
    <col min="21" max="21" width="42.140625" style="198" bestFit="1" customWidth="1"/>
    <col min="22" max="22" width="16" style="198" bestFit="1" customWidth="1"/>
    <col min="23" max="23" width="20.85546875" style="198" customWidth="1"/>
    <col min="24" max="24" width="42.140625" style="198" bestFit="1" customWidth="1"/>
    <col min="25" max="25" width="15.28515625" style="198" bestFit="1" customWidth="1"/>
    <col min="26" max="26" width="20.85546875" style="198" customWidth="1"/>
    <col min="27" max="27" width="42.140625" style="198" bestFit="1" customWidth="1"/>
    <col min="28" max="28" width="15.28515625" style="198" bestFit="1" customWidth="1"/>
    <col min="29" max="29" width="20.85546875" style="198" customWidth="1"/>
    <col min="30" max="30" width="42.140625" style="198" bestFit="1" customWidth="1"/>
    <col min="31" max="31" width="15.28515625" style="198" bestFit="1" customWidth="1"/>
    <col min="32" max="32" width="20.85546875" style="198" customWidth="1"/>
    <col min="33" max="35" width="9.140625" style="199"/>
    <col min="36" max="36" width="36.7109375" style="199" bestFit="1" customWidth="1"/>
    <col min="37" max="37" width="6.7109375" style="199" bestFit="1" customWidth="1"/>
    <col min="38" max="39" width="9.140625" style="199"/>
    <col min="40" max="16384" width="9.140625" style="198"/>
  </cols>
  <sheetData>
    <row r="1" spans="1:246" ht="35.25" thickBot="1" x14ac:dyDescent="0.5">
      <c r="A1" s="197" t="s">
        <v>29</v>
      </c>
      <c r="B1" s="587"/>
      <c r="C1" s="588"/>
    </row>
    <row r="2" spans="1:246" ht="35.25" thickBot="1" x14ac:dyDescent="0.25">
      <c r="A2" s="200" t="s">
        <v>109</v>
      </c>
      <c r="B2" s="589"/>
      <c r="C2" s="588"/>
      <c r="D2" s="585" t="s">
        <v>208</v>
      </c>
      <c r="E2" s="586"/>
    </row>
    <row r="3" spans="1:246" ht="13.5" thickBot="1" x14ac:dyDescent="0.25">
      <c r="A3" s="201" t="s">
        <v>67</v>
      </c>
      <c r="B3" s="275" t="s">
        <v>28</v>
      </c>
      <c r="C3" s="276"/>
      <c r="D3" s="202"/>
      <c r="E3" s="203"/>
      <c r="F3" s="203"/>
      <c r="G3" s="203"/>
      <c r="H3" s="203"/>
      <c r="I3" s="203"/>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A3" s="203"/>
      <c r="BB3" s="203"/>
      <c r="BC3" s="203"/>
      <c r="BD3" s="203"/>
      <c r="BE3" s="203"/>
      <c r="BF3" s="203"/>
      <c r="BG3" s="203"/>
      <c r="BH3" s="203"/>
      <c r="BI3" s="203"/>
      <c r="BJ3" s="203"/>
      <c r="BK3" s="203"/>
      <c r="BL3" s="203"/>
      <c r="BM3" s="203"/>
      <c r="BN3" s="203"/>
      <c r="BO3" s="203"/>
      <c r="BP3" s="203"/>
      <c r="BQ3" s="203"/>
      <c r="BR3" s="203"/>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c r="DA3" s="203"/>
      <c r="DB3" s="203"/>
      <c r="DC3" s="203"/>
      <c r="DD3" s="203"/>
      <c r="DE3" s="203"/>
      <c r="DF3" s="203"/>
      <c r="DG3" s="203"/>
      <c r="DH3" s="203"/>
      <c r="DI3" s="203"/>
      <c r="DJ3" s="203"/>
      <c r="DK3" s="203"/>
      <c r="DL3" s="203"/>
      <c r="DM3" s="203"/>
      <c r="DN3" s="203"/>
      <c r="DO3" s="203"/>
      <c r="DP3" s="203"/>
      <c r="DQ3" s="203"/>
      <c r="DR3" s="203"/>
      <c r="DS3" s="203"/>
      <c r="DT3" s="203"/>
      <c r="DU3" s="203"/>
      <c r="DV3" s="203"/>
      <c r="DW3" s="203"/>
      <c r="DX3" s="203"/>
      <c r="DY3" s="203"/>
      <c r="DZ3" s="203"/>
      <c r="EA3" s="203"/>
      <c r="EB3" s="203"/>
      <c r="EC3" s="203"/>
      <c r="ED3" s="203"/>
      <c r="EE3" s="203"/>
      <c r="EF3" s="203"/>
      <c r="EG3" s="203"/>
      <c r="EH3" s="203"/>
      <c r="EI3" s="203"/>
      <c r="EJ3" s="203"/>
      <c r="EK3" s="203"/>
      <c r="EL3" s="203"/>
      <c r="EM3" s="203"/>
      <c r="EN3" s="203"/>
      <c r="EO3" s="203"/>
      <c r="EP3" s="203"/>
      <c r="EQ3" s="203"/>
      <c r="ER3" s="203"/>
      <c r="ES3" s="203"/>
      <c r="ET3" s="203"/>
      <c r="EU3" s="203"/>
      <c r="EV3" s="203"/>
      <c r="EW3" s="203"/>
      <c r="EX3" s="203"/>
      <c r="EY3" s="203"/>
      <c r="EZ3" s="203"/>
      <c r="FA3" s="203"/>
      <c r="FB3" s="203"/>
      <c r="FC3" s="203"/>
      <c r="FD3" s="203"/>
      <c r="FE3" s="203"/>
      <c r="FF3" s="203"/>
      <c r="FG3" s="203"/>
      <c r="FH3" s="203"/>
      <c r="FI3" s="203"/>
      <c r="FJ3" s="203"/>
      <c r="FK3" s="203"/>
      <c r="FL3" s="203"/>
      <c r="FM3" s="203"/>
      <c r="FN3" s="203"/>
      <c r="FO3" s="203"/>
      <c r="FP3" s="203"/>
      <c r="FQ3" s="203"/>
      <c r="FR3" s="203"/>
      <c r="FS3" s="203"/>
      <c r="FT3" s="203"/>
      <c r="FU3" s="203"/>
      <c r="FV3" s="203"/>
      <c r="FW3" s="203"/>
      <c r="FX3" s="203"/>
      <c r="FY3" s="203"/>
      <c r="FZ3" s="203"/>
      <c r="GA3" s="203"/>
      <c r="GB3" s="203"/>
      <c r="GC3" s="203"/>
      <c r="GD3" s="203"/>
      <c r="GE3" s="203"/>
      <c r="GF3" s="203"/>
      <c r="GG3" s="203"/>
      <c r="GH3" s="203"/>
      <c r="GI3" s="203"/>
      <c r="GJ3" s="203"/>
      <c r="GK3" s="203"/>
      <c r="GL3" s="203"/>
      <c r="GM3" s="203"/>
      <c r="GN3" s="203"/>
      <c r="GO3" s="203"/>
      <c r="GP3" s="203"/>
      <c r="GQ3" s="203"/>
      <c r="GR3" s="203"/>
      <c r="GS3" s="203"/>
      <c r="GT3" s="203"/>
      <c r="GU3" s="203"/>
      <c r="GV3" s="203"/>
      <c r="GW3" s="203"/>
      <c r="GX3" s="203"/>
      <c r="GY3" s="203"/>
      <c r="GZ3" s="203"/>
      <c r="HA3" s="203"/>
      <c r="HB3" s="203"/>
      <c r="HC3" s="203"/>
      <c r="HD3" s="203"/>
      <c r="HE3" s="203"/>
      <c r="HF3" s="203"/>
      <c r="HG3" s="203"/>
      <c r="HH3" s="203"/>
      <c r="HI3" s="203"/>
      <c r="HJ3" s="203"/>
      <c r="HK3" s="203"/>
      <c r="HL3" s="203"/>
      <c r="HM3" s="203"/>
      <c r="HN3" s="203"/>
      <c r="HO3" s="203"/>
      <c r="HP3" s="203"/>
      <c r="HQ3" s="203"/>
      <c r="HR3" s="203"/>
      <c r="HS3" s="203"/>
      <c r="HT3" s="203"/>
      <c r="HU3" s="203"/>
      <c r="HV3" s="203"/>
      <c r="HW3" s="203"/>
      <c r="HX3" s="203"/>
      <c r="HY3" s="203"/>
      <c r="HZ3" s="203"/>
      <c r="IA3" s="203"/>
      <c r="IB3" s="203"/>
      <c r="IC3" s="203"/>
      <c r="ID3" s="203"/>
      <c r="IE3" s="203"/>
      <c r="IF3" s="203"/>
      <c r="IG3" s="203"/>
      <c r="IH3" s="203"/>
      <c r="II3" s="203"/>
      <c r="IJ3" s="203"/>
      <c r="IK3" s="203"/>
      <c r="IL3" s="203"/>
    </row>
    <row r="4" spans="1:246" x14ac:dyDescent="0.2">
      <c r="A4" s="581" t="s">
        <v>30</v>
      </c>
      <c r="B4" s="582"/>
      <c r="C4" s="582"/>
      <c r="D4" s="581"/>
      <c r="E4" s="581"/>
      <c r="F4" s="141"/>
      <c r="G4" s="167"/>
      <c r="H4" s="581" t="s">
        <v>31</v>
      </c>
      <c r="I4" s="581"/>
      <c r="J4" s="581"/>
      <c r="K4" s="581"/>
      <c r="L4" s="581"/>
      <c r="M4" s="581"/>
      <c r="N4" s="581"/>
      <c r="O4" s="581"/>
      <c r="P4" s="581"/>
      <c r="Q4" s="141"/>
      <c r="R4" s="141"/>
      <c r="S4" s="141"/>
      <c r="T4" s="141"/>
      <c r="U4" s="141"/>
      <c r="V4" s="141"/>
      <c r="W4" s="141"/>
      <c r="X4" s="141"/>
      <c r="Y4" s="141"/>
      <c r="Z4" s="141"/>
      <c r="AA4" s="141"/>
      <c r="AB4" s="141"/>
      <c r="AC4" s="141"/>
      <c r="AD4" s="141"/>
      <c r="AE4" s="141"/>
      <c r="AF4" s="141"/>
    </row>
    <row r="5" spans="1:246" x14ac:dyDescent="0.2">
      <c r="A5" s="303" t="s">
        <v>163</v>
      </c>
      <c r="B5" s="599" t="s">
        <v>251</v>
      </c>
      <c r="C5" s="599"/>
      <c r="D5" s="301" t="s">
        <v>91</v>
      </c>
      <c r="E5" s="301" t="str">
        <f>IFERROR(VLOOKUP(B5,'[1]MRC - Calibração'!$C$4:$M$100,10,),"")</f>
        <v/>
      </c>
      <c r="F5" s="204"/>
      <c r="G5" s="141"/>
      <c r="H5" s="141"/>
      <c r="I5" s="141"/>
      <c r="J5" s="141"/>
      <c r="K5" s="141"/>
      <c r="L5" s="141"/>
      <c r="M5" s="141"/>
      <c r="N5" s="141"/>
      <c r="O5" s="141"/>
      <c r="P5" s="141"/>
      <c r="Q5" s="141"/>
      <c r="R5" s="590"/>
      <c r="S5" s="591"/>
      <c r="T5" s="591"/>
      <c r="U5" s="591"/>
      <c r="V5" s="141"/>
      <c r="W5" s="141"/>
      <c r="X5" s="141"/>
      <c r="Y5" s="141"/>
      <c r="Z5" s="141"/>
      <c r="AA5" s="199"/>
      <c r="AB5" s="199"/>
      <c r="AC5" s="199"/>
      <c r="AD5" s="199"/>
      <c r="AE5" s="141"/>
      <c r="AF5" s="199"/>
      <c r="AJ5" s="198"/>
      <c r="AK5" s="198"/>
      <c r="AL5" s="198"/>
      <c r="AM5" s="141"/>
      <c r="AN5" s="141"/>
      <c r="AO5" s="141"/>
      <c r="AP5" s="141"/>
      <c r="AQ5" s="199"/>
      <c r="AR5" s="199"/>
      <c r="AS5" s="199"/>
      <c r="AT5" s="199"/>
      <c r="AU5" s="199"/>
      <c r="AV5" s="199"/>
      <c r="AW5" s="199"/>
      <c r="AX5" s="199"/>
      <c r="AY5" s="199"/>
      <c r="AZ5" s="199"/>
      <c r="BA5" s="199"/>
    </row>
    <row r="6" spans="1:246" x14ac:dyDescent="0.2">
      <c r="A6" s="312" t="s">
        <v>90</v>
      </c>
      <c r="B6" s="581" t="str">
        <f>IFERROR(VLOOKUP(B5,'[1]MRC - Calibração'!$C$4:$M$100,9,),"")</f>
        <v/>
      </c>
      <c r="C6" s="581"/>
      <c r="D6" s="301" t="s">
        <v>165</v>
      </c>
      <c r="E6" s="313" t="str">
        <f>IFERROR(IF((VLOOKUP(B5,'[1]MRC - Calibração'!$C$4:$M$100,11,))&gt;$C$3,(VLOOKUP(B5,'[1]MRC - Calibração'!$C$4:$M$100,11,)),"FORA DE USO"),"")</f>
        <v/>
      </c>
      <c r="F6" s="204"/>
      <c r="G6" s="170"/>
      <c r="H6" s="581" t="s">
        <v>41</v>
      </c>
      <c r="I6" s="581"/>
      <c r="J6" s="581"/>
      <c r="K6" s="581"/>
      <c r="L6" s="581"/>
      <c r="M6" s="581"/>
      <c r="N6" s="581"/>
      <c r="O6" s="141"/>
      <c r="P6" s="141"/>
      <c r="Q6" s="205"/>
      <c r="R6" s="205"/>
      <c r="S6" s="141"/>
      <c r="T6" s="141"/>
      <c r="U6" s="205"/>
      <c r="V6" s="141"/>
      <c r="W6" s="141"/>
      <c r="X6" s="205"/>
      <c r="Y6" s="141"/>
      <c r="Z6" s="141"/>
      <c r="AA6" s="205"/>
      <c r="AB6" s="141"/>
      <c r="AC6" s="141"/>
      <c r="AD6" s="205"/>
      <c r="AE6" s="141"/>
      <c r="AF6" s="141"/>
      <c r="AJ6" s="198"/>
      <c r="AK6" s="198"/>
      <c r="AL6" s="198"/>
      <c r="AM6" s="205"/>
      <c r="AN6" s="205"/>
      <c r="AO6" s="205"/>
      <c r="AP6" s="205"/>
      <c r="AQ6" s="205"/>
      <c r="AR6" s="199"/>
      <c r="AS6" s="199"/>
      <c r="AT6" s="199"/>
      <c r="AU6" s="199"/>
      <c r="AV6" s="199"/>
      <c r="AW6" s="199"/>
      <c r="AX6" s="199"/>
      <c r="AY6" s="199"/>
      <c r="AZ6" s="199"/>
      <c r="BA6" s="199"/>
    </row>
    <row r="7" spans="1:246" x14ac:dyDescent="0.2">
      <c r="A7" s="301" t="s">
        <v>164</v>
      </c>
      <c r="B7" s="597" t="s">
        <v>252</v>
      </c>
      <c r="C7" s="597"/>
      <c r="D7" s="597"/>
      <c r="E7" s="597"/>
      <c r="F7" s="141"/>
      <c r="G7" s="168" t="str">
        <f>'Entrada das intensidades'!A14</f>
        <v>Replicatas</v>
      </c>
      <c r="H7" s="167" t="str">
        <f>'Entrada das intensidades'!B14</f>
        <v>Branco</v>
      </c>
      <c r="I7" s="167" t="str">
        <f>'Entrada das intensidades'!C14</f>
        <v>Padrão 1</v>
      </c>
      <c r="J7" s="167" t="str">
        <f>'Entrada das intensidades'!D14</f>
        <v>Padrão 2</v>
      </c>
      <c r="K7" s="167" t="str">
        <f>'Entrada das intensidades'!E14</f>
        <v>Padrão 3</v>
      </c>
      <c r="L7" s="167" t="str">
        <f>'Entrada das intensidades'!F14</f>
        <v>Padrão 4</v>
      </c>
      <c r="M7" s="167" t="str">
        <f>'Entrada das intensidades'!G14</f>
        <v>Padrão 5</v>
      </c>
      <c r="N7" s="167" t="str">
        <f>'Entrada das intensidades'!H14</f>
        <v>Padrão 6</v>
      </c>
      <c r="O7" s="206" t="s">
        <v>1</v>
      </c>
      <c r="P7" s="207">
        <f>IFERROR(SLOPE(Cálculos!C11:C52,Cálculos!A11:A52),"")</f>
        <v>14822567.980718864</v>
      </c>
      <c r="Q7" s="208"/>
      <c r="R7" s="205"/>
      <c r="S7" s="209"/>
      <c r="T7" s="209"/>
      <c r="U7" s="205"/>
      <c r="V7" s="209"/>
      <c r="W7" s="209"/>
      <c r="X7" s="205"/>
      <c r="Y7" s="209"/>
      <c r="Z7" s="209"/>
      <c r="AA7" s="205"/>
      <c r="AB7" s="209"/>
      <c r="AC7" s="209"/>
      <c r="AD7" s="205"/>
      <c r="AE7" s="209"/>
      <c r="AF7" s="209"/>
      <c r="AG7" s="141"/>
      <c r="AH7" s="141"/>
      <c r="AJ7" s="198"/>
      <c r="AK7" s="198"/>
      <c r="AL7" s="198"/>
      <c r="AM7" s="205"/>
      <c r="AN7" s="205"/>
      <c r="AO7" s="205"/>
      <c r="AP7" s="205"/>
      <c r="AQ7" s="205"/>
      <c r="AR7" s="199"/>
      <c r="AS7" s="199"/>
      <c r="AT7" s="199"/>
      <c r="AU7" s="199"/>
      <c r="AV7" s="199"/>
      <c r="AW7" s="199"/>
      <c r="AX7" s="199"/>
      <c r="AY7" s="199"/>
      <c r="AZ7" s="199"/>
      <c r="BA7" s="199"/>
    </row>
    <row r="8" spans="1:246" x14ac:dyDescent="0.2">
      <c r="A8" s="210"/>
      <c r="B8" s="302" t="s">
        <v>42</v>
      </c>
      <c r="C8" s="302" t="s">
        <v>43</v>
      </c>
      <c r="D8" s="97"/>
      <c r="E8" s="301" t="s">
        <v>42</v>
      </c>
      <c r="F8" s="141"/>
      <c r="G8" s="168">
        <f>'Entrada das intensidades'!A15</f>
        <v>1</v>
      </c>
      <c r="H8" s="168">
        <f>'Entrada das intensidades'!B15</f>
        <v>50.891428571428605</v>
      </c>
      <c r="I8" s="168">
        <f>'Entrada das intensidades'!C15</f>
        <v>73439.33142857143</v>
      </c>
      <c r="J8" s="168">
        <f>'Entrada das intensidades'!D15</f>
        <v>114422.95142857142</v>
      </c>
      <c r="K8" s="168">
        <f>'Entrada das intensidades'!E15</f>
        <v>137847.37142857144</v>
      </c>
      <c r="L8" s="168">
        <f>'Entrada das intensidades'!F15</f>
        <v>168777.89142857143</v>
      </c>
      <c r="M8" s="168">
        <f>'Entrada das intensidades'!G15</f>
        <v>219072.22142857144</v>
      </c>
      <c r="N8" s="168">
        <f>'Entrada das intensidades'!H15</f>
        <v>281650.94142857142</v>
      </c>
      <c r="O8" s="206" t="s">
        <v>2</v>
      </c>
      <c r="P8" s="207">
        <f>IFERROR(INTERCEPT(Cálculos!C11:C52,Cálculos!A11:A52),"")</f>
        <v>786.93592797458405</v>
      </c>
      <c r="Q8" s="205"/>
      <c r="R8" s="205"/>
      <c r="S8" s="209"/>
      <c r="T8" s="209"/>
      <c r="U8" s="205"/>
      <c r="V8" s="209"/>
      <c r="W8" s="209"/>
      <c r="X8" s="205"/>
      <c r="Y8" s="209"/>
      <c r="Z8" s="209"/>
      <c r="AA8" s="205"/>
      <c r="AB8" s="209"/>
      <c r="AC8" s="209"/>
      <c r="AD8" s="205"/>
      <c r="AE8" s="209"/>
      <c r="AF8" s="209"/>
      <c r="AG8" s="205"/>
      <c r="AH8" s="205"/>
      <c r="AJ8" s="198"/>
      <c r="AK8" s="198"/>
      <c r="AL8" s="198"/>
      <c r="AN8" s="199"/>
      <c r="AO8" s="199"/>
      <c r="AP8" s="199"/>
      <c r="AQ8" s="212"/>
      <c r="AR8" s="199"/>
      <c r="AS8" s="199"/>
      <c r="AT8" s="199"/>
      <c r="AU8" s="199"/>
      <c r="AV8" s="199"/>
      <c r="AW8" s="199"/>
      <c r="AX8" s="199"/>
      <c r="AY8" s="199"/>
      <c r="AZ8" s="199"/>
      <c r="BA8" s="199"/>
    </row>
    <row r="9" spans="1:246" ht="14.25" x14ac:dyDescent="0.2">
      <c r="A9" s="210" t="s">
        <v>127</v>
      </c>
      <c r="B9" s="301">
        <v>10005</v>
      </c>
      <c r="C9" s="301">
        <v>24</v>
      </c>
      <c r="D9" s="210" t="s">
        <v>46</v>
      </c>
      <c r="E9" s="287">
        <v>6</v>
      </c>
      <c r="F9" s="213"/>
      <c r="G9" s="168">
        <f>'Entrada das intensidades'!A16</f>
        <v>2</v>
      </c>
      <c r="H9" s="168">
        <f>'Entrada das intensidades'!B16</f>
        <v>-11.91857142857134</v>
      </c>
      <c r="I9" s="168">
        <f>'Entrada das intensidades'!C16</f>
        <v>74709.571428571435</v>
      </c>
      <c r="J9" s="168">
        <f>'Entrada das intensidades'!D16</f>
        <v>114855.20142857142</v>
      </c>
      <c r="K9" s="168">
        <f>'Entrada das intensidades'!E16</f>
        <v>136493.41142857145</v>
      </c>
      <c r="L9" s="168">
        <f>'Entrada das intensidades'!F16</f>
        <v>172028.96142857143</v>
      </c>
      <c r="M9" s="168">
        <f>'Entrada das intensidades'!G16</f>
        <v>222644.05142857143</v>
      </c>
      <c r="N9" s="168">
        <f>'Entrada das intensidades'!H16</f>
        <v>276065.01142857142</v>
      </c>
      <c r="O9" s="206" t="s">
        <v>3</v>
      </c>
      <c r="P9" s="207">
        <f>IFERROR(CORREL(Cálculos!A11:A52,Cálculos!C11:C52),"")</f>
        <v>0.99868837527024124</v>
      </c>
      <c r="Q9" s="205"/>
      <c r="R9" s="205"/>
      <c r="S9" s="209"/>
      <c r="T9" s="209"/>
      <c r="U9" s="205"/>
      <c r="V9" s="209"/>
      <c r="W9" s="209"/>
      <c r="X9" s="205"/>
      <c r="Y9" s="209"/>
      <c r="Z9" s="209"/>
      <c r="AA9" s="205"/>
      <c r="AB9" s="209"/>
      <c r="AC9" s="209"/>
      <c r="AD9" s="205"/>
      <c r="AE9" s="209"/>
      <c r="AF9" s="209"/>
      <c r="AG9" s="213"/>
      <c r="AH9" s="205"/>
      <c r="AJ9" s="198"/>
      <c r="AK9" s="198"/>
      <c r="AL9" s="198"/>
      <c r="AN9" s="199"/>
      <c r="AO9" s="199"/>
      <c r="AP9" s="199"/>
      <c r="AQ9" s="212"/>
      <c r="AR9" s="199"/>
      <c r="AS9" s="199"/>
      <c r="AT9" s="199"/>
      <c r="AU9" s="199"/>
      <c r="AV9" s="199"/>
      <c r="AW9" s="199"/>
      <c r="AX9" s="199"/>
      <c r="AY9" s="199"/>
      <c r="AZ9" s="199"/>
      <c r="BA9" s="199"/>
    </row>
    <row r="10" spans="1:246" ht="14.25" x14ac:dyDescent="0.25">
      <c r="A10" s="210" t="s">
        <v>39</v>
      </c>
      <c r="B10" s="301" t="str">
        <f>IFERROR(VLOOKUP(B5,'[1]MRC - Calibração'!$C$4:$M$100,5,),"")</f>
        <v/>
      </c>
      <c r="C10" s="301"/>
      <c r="D10" s="210" t="s">
        <v>47</v>
      </c>
      <c r="E10" s="286">
        <f>IF(E9="","",E9*E11)</f>
        <v>42</v>
      </c>
      <c r="F10" s="213"/>
      <c r="G10" s="168">
        <f>'Entrada das intensidades'!A17</f>
        <v>3</v>
      </c>
      <c r="H10" s="168">
        <f>'Entrada das intensidades'!B17</f>
        <v>-12.118571428571386</v>
      </c>
      <c r="I10" s="168">
        <f>'Entrada das intensidades'!C17</f>
        <v>75383.991428571433</v>
      </c>
      <c r="J10" s="168">
        <f>'Entrada das intensidades'!D17</f>
        <v>116134.25142857143</v>
      </c>
      <c r="K10" s="168">
        <f>'Entrada das intensidades'!E17</f>
        <v>135820.57142857142</v>
      </c>
      <c r="L10" s="168">
        <f>'Entrada das intensidades'!F17</f>
        <v>172089.50142857144</v>
      </c>
      <c r="M10" s="168">
        <f>'Entrada das intensidades'!G17</f>
        <v>222438.49142857143</v>
      </c>
      <c r="N10" s="168">
        <f>'Entrada das intensidades'!H17</f>
        <v>277585.04142857145</v>
      </c>
      <c r="O10" s="206" t="s">
        <v>4</v>
      </c>
      <c r="P10" s="207">
        <f>IFERROR(((SUMXMY2(Cálculos!C11:C52,Cálculos!E11:E52))/(E10-2))^0.5,"")</f>
        <v>3551.269374271405</v>
      </c>
      <c r="Q10" s="214"/>
      <c r="R10" s="205"/>
      <c r="S10" s="209"/>
      <c r="T10" s="209"/>
      <c r="U10" s="205"/>
      <c r="V10" s="209"/>
      <c r="W10" s="209"/>
      <c r="X10" s="205"/>
      <c r="Y10" s="209"/>
      <c r="Z10" s="209"/>
      <c r="AA10" s="205"/>
      <c r="AB10" s="209"/>
      <c r="AC10" s="209"/>
      <c r="AD10" s="205"/>
      <c r="AE10" s="209"/>
      <c r="AF10" s="209"/>
      <c r="AG10" s="215"/>
      <c r="AH10" s="216"/>
      <c r="AJ10" s="198"/>
      <c r="AK10" s="198"/>
      <c r="AL10" s="198"/>
      <c r="AN10" s="199"/>
      <c r="AO10" s="199"/>
      <c r="AP10" s="199"/>
      <c r="AQ10" s="212"/>
      <c r="AR10" s="199"/>
      <c r="AS10" s="199"/>
      <c r="AT10" s="199"/>
      <c r="AU10" s="199"/>
      <c r="AV10" s="199"/>
      <c r="AW10" s="199"/>
      <c r="AX10" s="199"/>
      <c r="AY10" s="199"/>
      <c r="AZ10" s="199"/>
      <c r="BA10" s="199"/>
    </row>
    <row r="11" spans="1:246" x14ac:dyDescent="0.2">
      <c r="A11" s="210" t="str">
        <f>'Massas Corrigidas'!D28</f>
        <v>Alíquota da Solução Estoque(g)</v>
      </c>
      <c r="B11" s="217">
        <f>IF('Massas Corrigidas'!E28=0,"",'Massas Corrigidas'!E28)</f>
        <v>0.66219867559999734</v>
      </c>
      <c r="C11" s="112">
        <f>IF(B11="","",'Massas Corrigidas'!F28)</f>
        <v>1.4142135623730951E-5</v>
      </c>
      <c r="D11" s="218" t="s">
        <v>48</v>
      </c>
      <c r="E11" s="287">
        <v>7</v>
      </c>
      <c r="F11" s="213"/>
      <c r="G11" s="168">
        <f>'Entrada das intensidades'!A18</f>
        <v>4</v>
      </c>
      <c r="H11" s="168">
        <f>'Entrada das intensidades'!B18</f>
        <v>3.6914285714287871</v>
      </c>
      <c r="I11" s="168">
        <f>'Entrada das intensidades'!C18</f>
        <v>76085.281428571427</v>
      </c>
      <c r="J11" s="168">
        <f>'Entrada das intensidades'!D18</f>
        <v>117401.73142857144</v>
      </c>
      <c r="K11" s="168">
        <f>'Entrada das intensidades'!E18</f>
        <v>136135.26142857142</v>
      </c>
      <c r="L11" s="168">
        <f>'Entrada das intensidades'!F18</f>
        <v>173948.81142857144</v>
      </c>
      <c r="M11" s="168">
        <f>'Entrada das intensidades'!G18</f>
        <v>223538.30142857143</v>
      </c>
      <c r="N11" s="168">
        <f>'Entrada das intensidades'!H18</f>
        <v>278630.83142857143</v>
      </c>
      <c r="O11" s="206" t="s">
        <v>9</v>
      </c>
      <c r="P11" s="219">
        <f>IFERROR(3*(STDEV(H8:H14))/P7,"")</f>
        <v>5.0775143699841117E-6</v>
      </c>
      <c r="Q11" s="214"/>
      <c r="R11" s="205"/>
      <c r="S11" s="209"/>
      <c r="T11" s="209"/>
      <c r="U11" s="205"/>
      <c r="V11" s="209"/>
      <c r="W11" s="209"/>
      <c r="X11" s="205"/>
      <c r="Y11" s="209"/>
      <c r="Z11" s="209"/>
      <c r="AA11" s="205"/>
      <c r="AB11" s="209"/>
      <c r="AC11" s="209"/>
      <c r="AD11" s="205"/>
      <c r="AE11" s="209"/>
      <c r="AF11" s="209"/>
      <c r="AG11" s="220"/>
      <c r="AJ11" s="198"/>
      <c r="AK11" s="198"/>
      <c r="AL11" s="198"/>
      <c r="AN11" s="199"/>
      <c r="AO11" s="199"/>
      <c r="AP11" s="199"/>
      <c r="AQ11" s="212"/>
      <c r="AR11" s="199"/>
      <c r="AS11" s="199"/>
      <c r="AT11" s="199"/>
      <c r="AU11" s="199"/>
      <c r="AV11" s="199"/>
      <c r="AW11" s="199"/>
      <c r="AX11" s="199"/>
      <c r="AY11" s="199"/>
      <c r="AZ11" s="199"/>
      <c r="BA11" s="199"/>
    </row>
    <row r="12" spans="1:246" x14ac:dyDescent="0.2">
      <c r="A12" s="210" t="str">
        <f>'Massas Corrigidas'!D29</f>
        <v>Massa total da solução Intermediária 1 (g)</v>
      </c>
      <c r="B12" s="217">
        <f>IF('Massas Corrigidas'!E29=0,"",'Massas Corrigidas'!E29)</f>
        <v>49.833525104430009</v>
      </c>
      <c r="C12" s="112">
        <f>IF(B12="","",'Massas Corrigidas'!F29)</f>
        <v>2.6925824035672523E-5</v>
      </c>
      <c r="D12" s="218" t="s">
        <v>49</v>
      </c>
      <c r="E12" s="287">
        <v>7</v>
      </c>
      <c r="F12" s="213"/>
      <c r="G12" s="168">
        <f>'Entrada das intensidades'!A19</f>
        <v>5</v>
      </c>
      <c r="H12" s="168">
        <f>'Entrada das intensidades'!B19</f>
        <v>9.2914285714286962</v>
      </c>
      <c r="I12" s="168">
        <f>'Entrada das intensidades'!C19</f>
        <v>76761.001428571428</v>
      </c>
      <c r="J12" s="168">
        <f>'Entrada das intensidades'!D19</f>
        <v>117268.61142857143</v>
      </c>
      <c r="K12" s="168">
        <f>'Entrada das intensidades'!E19</f>
        <v>137848.39142857143</v>
      </c>
      <c r="L12" s="168">
        <f>'Entrada das intensidades'!F19</f>
        <v>175236.13142857142</v>
      </c>
      <c r="M12" s="168">
        <f>'Entrada das intensidades'!G19</f>
        <v>220192.94142857144</v>
      </c>
      <c r="N12" s="168">
        <f>'Entrada das intensidades'!H19</f>
        <v>281322.57142857142</v>
      </c>
      <c r="O12" s="206" t="s">
        <v>10</v>
      </c>
      <c r="P12" s="207">
        <f>IFERROR(10*(STDEV(H8:H14))/P7,"")</f>
        <v>1.6925047899947038E-5</v>
      </c>
      <c r="Q12" s="214"/>
      <c r="R12" s="205"/>
      <c r="S12" s="209"/>
      <c r="T12" s="209"/>
      <c r="U12" s="205"/>
      <c r="V12" s="209"/>
      <c r="W12" s="209"/>
      <c r="X12" s="205"/>
      <c r="Y12" s="209"/>
      <c r="Z12" s="209"/>
      <c r="AA12" s="205"/>
      <c r="AB12" s="209"/>
      <c r="AC12" s="209"/>
      <c r="AD12" s="205"/>
      <c r="AE12" s="209"/>
      <c r="AF12" s="209"/>
      <c r="AG12" s="215"/>
      <c r="AH12" s="221"/>
      <c r="AI12" s="222"/>
      <c r="AJ12" s="198"/>
      <c r="AK12" s="198"/>
      <c r="AL12" s="198"/>
      <c r="AN12" s="199"/>
      <c r="AO12" s="199"/>
      <c r="AP12" s="199"/>
      <c r="AQ12" s="212"/>
      <c r="AR12" s="199"/>
      <c r="AS12" s="199"/>
      <c r="AT12" s="199"/>
      <c r="AU12" s="199"/>
      <c r="AV12" s="199"/>
      <c r="AW12" s="199"/>
      <c r="AX12" s="199"/>
      <c r="AY12" s="199"/>
      <c r="AZ12" s="199"/>
      <c r="BA12" s="199"/>
    </row>
    <row r="13" spans="1:246" x14ac:dyDescent="0.2">
      <c r="A13" s="223" t="str">
        <f>'Massas Corrigidas'!D33</f>
        <v>Alíquota da solução intermediária 1 (g) ; mf</v>
      </c>
      <c r="B13" s="217">
        <f>IF('Massas Corrigidas'!E33=0,"",'Massas Corrigidas'!E33)</f>
        <v>0.19972960054000133</v>
      </c>
      <c r="C13" s="112">
        <f>IF(B13="","",'Massas Corrigidas'!F33)</f>
        <v>1.4142135623730951E-5</v>
      </c>
      <c r="D13" s="224" t="s">
        <v>15</v>
      </c>
      <c r="E13" s="288">
        <f>'Massas Corrigidas'!F4</f>
        <v>2</v>
      </c>
      <c r="F13" s="213"/>
      <c r="G13" s="168">
        <f>'Entrada das intensidades'!A20</f>
        <v>6</v>
      </c>
      <c r="H13" s="168">
        <f>'Entrada das intensidades'!B20</f>
        <v>-21.318571428571204</v>
      </c>
      <c r="I13" s="168">
        <f>'Entrada das intensidades'!C20</f>
        <v>76516.321428571435</v>
      </c>
      <c r="J13" s="168">
        <f>'Entrada das intensidades'!D20</f>
        <v>117733.62142857144</v>
      </c>
      <c r="K13" s="168">
        <f>'Entrada das intensidades'!E20</f>
        <v>138811.59142857144</v>
      </c>
      <c r="L13" s="168">
        <f>'Entrada das intensidades'!F20</f>
        <v>175135.40142857144</v>
      </c>
      <c r="M13" s="168">
        <f>'Entrada das intensidades'!G20</f>
        <v>220294.16142857145</v>
      </c>
      <c r="N13" s="168">
        <f>'Entrada das intensidades'!H20</f>
        <v>280352.98142857145</v>
      </c>
      <c r="O13" s="225"/>
      <c r="P13" s="225"/>
      <c r="Q13" s="214"/>
      <c r="R13" s="205"/>
      <c r="S13" s="209"/>
      <c r="T13" s="209"/>
      <c r="U13" s="205"/>
      <c r="V13" s="209"/>
      <c r="W13" s="209"/>
      <c r="X13" s="205"/>
      <c r="Y13" s="209"/>
      <c r="Z13" s="209"/>
      <c r="AA13" s="205"/>
      <c r="AB13" s="209"/>
      <c r="AC13" s="209"/>
      <c r="AD13" s="205"/>
      <c r="AE13" s="209"/>
      <c r="AF13" s="209"/>
      <c r="AG13" s="215"/>
      <c r="AH13" s="221"/>
      <c r="AJ13" s="198"/>
      <c r="AK13" s="198"/>
      <c r="AL13" s="198"/>
      <c r="AM13" s="226"/>
      <c r="AN13" s="226"/>
      <c r="AO13" s="226"/>
      <c r="AP13" s="226"/>
      <c r="AQ13" s="226"/>
      <c r="AR13" s="199"/>
      <c r="AS13" s="199"/>
      <c r="AT13" s="199"/>
      <c r="AU13" s="199"/>
      <c r="AV13" s="199"/>
      <c r="AW13" s="199"/>
      <c r="AX13" s="199"/>
      <c r="AY13" s="199"/>
      <c r="AZ13" s="199"/>
      <c r="BA13" s="199"/>
    </row>
    <row r="14" spans="1:246" x14ac:dyDescent="0.2">
      <c r="A14" s="223" t="str">
        <f>'Massas Corrigidas'!D34</f>
        <v>Massa total da solução intermediária 2 (g)</v>
      </c>
      <c r="B14" s="217">
        <f>IF('Massas Corrigidas'!E34=0,"",'Massas Corrigidas'!E34)</f>
        <v>50.931125616160003</v>
      </c>
      <c r="C14" s="112">
        <f>IF(B14="","",'Massas Corrigidas'!F34)</f>
        <v>2.6925824035672523E-5</v>
      </c>
      <c r="G14" s="168">
        <f>'Entrada das intensidades'!A21</f>
        <v>7</v>
      </c>
      <c r="H14" s="168">
        <f>'Entrada das intensidades'!B21</f>
        <v>-18.518571428571249</v>
      </c>
      <c r="I14" s="168">
        <f>'Entrada das intensidades'!C21</f>
        <v>76067.531428571427</v>
      </c>
      <c r="J14" s="168">
        <f>'Entrada das intensidades'!D21</f>
        <v>115657.58142857143</v>
      </c>
      <c r="K14" s="168">
        <f>'Entrada das intensidades'!E21</f>
        <v>138185.08142857143</v>
      </c>
      <c r="L14" s="168">
        <f>'Entrada das intensidades'!F21</f>
        <v>175373.97142857144</v>
      </c>
      <c r="M14" s="168">
        <f>'Entrada das intensidades'!G21</f>
        <v>220751.10142857142</v>
      </c>
      <c r="N14" s="168">
        <f>'Entrada das intensidades'!H21</f>
        <v>281291.21142857143</v>
      </c>
      <c r="O14" s="225"/>
      <c r="P14" s="225"/>
      <c r="R14" s="205"/>
      <c r="S14" s="227"/>
      <c r="T14" s="220"/>
      <c r="U14" s="205"/>
      <c r="V14" s="227"/>
      <c r="W14" s="220"/>
      <c r="X14" s="205"/>
      <c r="Y14" s="227"/>
      <c r="Z14" s="220"/>
      <c r="AA14" s="205"/>
      <c r="AB14" s="227"/>
      <c r="AC14" s="220"/>
      <c r="AD14" s="205"/>
      <c r="AE14" s="227"/>
      <c r="AF14" s="220"/>
      <c r="AG14" s="209"/>
      <c r="AH14" s="205"/>
      <c r="AJ14" s="198"/>
      <c r="AK14" s="198"/>
      <c r="AL14" s="198"/>
      <c r="AM14" s="226"/>
      <c r="AN14" s="205"/>
      <c r="AO14" s="205"/>
      <c r="AP14" s="226"/>
      <c r="AQ14" s="199"/>
      <c r="AR14" s="199"/>
      <c r="AS14" s="199"/>
      <c r="AT14" s="199"/>
      <c r="AU14" s="199"/>
      <c r="AV14" s="199"/>
      <c r="AW14" s="199"/>
      <c r="AX14" s="199"/>
      <c r="AY14" s="199"/>
      <c r="AZ14" s="199"/>
      <c r="BA14" s="199"/>
    </row>
    <row r="15" spans="1:246" x14ac:dyDescent="0.2">
      <c r="A15" s="223" t="str">
        <f>'Massas Corrigidas'!D38</f>
        <v>Alíquota da solução intermediária 2 (g) ; mf</v>
      </c>
      <c r="B15" s="217" t="str">
        <f>IF('Massas Corrigidas'!E38=0,"",'Massas Corrigidas'!E38)</f>
        <v/>
      </c>
      <c r="C15" s="112" t="str">
        <f>IF(B15="","",'Massas Corrigidas'!F38)</f>
        <v/>
      </c>
      <c r="G15" s="228"/>
      <c r="H15" s="228"/>
      <c r="I15" s="229"/>
      <c r="J15" s="228"/>
      <c r="K15" s="228"/>
      <c r="L15" s="228"/>
      <c r="M15" s="228"/>
      <c r="N15" s="228"/>
      <c r="O15" s="228"/>
      <c r="P15" s="228"/>
      <c r="R15" s="205"/>
      <c r="S15" s="216"/>
      <c r="T15" s="216"/>
      <c r="U15" s="205"/>
      <c r="V15" s="216"/>
      <c r="W15" s="216"/>
      <c r="X15" s="205"/>
      <c r="Y15" s="216"/>
      <c r="Z15" s="216"/>
      <c r="AA15" s="205"/>
      <c r="AB15" s="216"/>
      <c r="AC15" s="216"/>
      <c r="AD15" s="205"/>
      <c r="AE15" s="216"/>
      <c r="AF15" s="216"/>
    </row>
    <row r="16" spans="1:246" ht="14.25" x14ac:dyDescent="0.2">
      <c r="A16" s="223" t="str">
        <f>'Massas Corrigidas'!D39</f>
        <v>Massa total da solução intermediária 3 (g)</v>
      </c>
      <c r="B16" s="217" t="str">
        <f>IF('Massas Corrigidas'!E39=0,"",'Massas Corrigidas'!E39)</f>
        <v/>
      </c>
      <c r="C16" s="112" t="str">
        <f>IF(B16="","",'Massas Corrigidas'!F39)</f>
        <v/>
      </c>
      <c r="G16" s="297" t="s">
        <v>150</v>
      </c>
      <c r="H16" s="230">
        <v>0</v>
      </c>
      <c r="I16" s="230">
        <f>B47</f>
        <v>5.0607198546863226E-3</v>
      </c>
      <c r="J16" s="230">
        <f>B50</f>
        <v>7.6901959430766206E-3</v>
      </c>
      <c r="K16" s="230">
        <f>B53</f>
        <v>9.4798151909143234E-3</v>
      </c>
      <c r="L16" s="230">
        <f>B56</f>
        <v>1.1634202105838006E-2</v>
      </c>
      <c r="M16" s="230">
        <f>IFERROR(B59,"")</f>
        <v>1.4498360072169121E-2</v>
      </c>
      <c r="N16" s="230">
        <f>IFERROR(B62,"")</f>
        <v>1.8994881689350367E-2</v>
      </c>
      <c r="O16" s="167" t="s">
        <v>38</v>
      </c>
      <c r="P16" s="225">
        <f>IFERROR(AVERAGE(I16:N16),"")</f>
        <v>1.1226362476005794E-2</v>
      </c>
      <c r="R16" s="205"/>
      <c r="S16" s="205"/>
      <c r="T16" s="205"/>
      <c r="U16" s="205"/>
      <c r="V16" s="205"/>
      <c r="W16" s="205"/>
      <c r="X16" s="205"/>
      <c r="Y16" s="205"/>
      <c r="Z16" s="205"/>
      <c r="AA16" s="205"/>
      <c r="AB16" s="205"/>
      <c r="AC16" s="205"/>
      <c r="AD16" s="205"/>
      <c r="AE16" s="205"/>
      <c r="AF16" s="205"/>
    </row>
    <row r="17" spans="1:32" ht="14.25" x14ac:dyDescent="0.25">
      <c r="A17" s="210" t="str">
        <f>'Massas Corrigidas'!D43</f>
        <v>Alíquota da solução intermediária (g) ; mws1</v>
      </c>
      <c r="B17" s="217">
        <f>IF('Massas Corrigidas'!E43=0,"",'Massas Corrigidas'!E43)</f>
        <v>0.48523902952000064</v>
      </c>
      <c r="C17" s="112">
        <f>IF(B17="","",'Massas Corrigidas'!F43)</f>
        <v>1.4142135623730951E-5</v>
      </c>
      <c r="G17" s="167" t="s">
        <v>11</v>
      </c>
      <c r="H17" s="225">
        <f>IFERROR($P$8+($P$7*H16),"")</f>
        <v>786.93592797458405</v>
      </c>
      <c r="I17" s="225">
        <f>IFERROR($P$8+($P$7*I16),"")</f>
        <v>75799.800005436293</v>
      </c>
      <c r="J17" s="225">
        <f t="shared" ref="J17:N17" si="0">IFERROR($P$8+($P$7*J16),"")</f>
        <v>114775.38807927621</v>
      </c>
      <c r="K17" s="225">
        <f t="shared" si="0"/>
        <v>141302.14103995351</v>
      </c>
      <c r="L17" s="225">
        <f t="shared" si="0"/>
        <v>173235.687543181</v>
      </c>
      <c r="M17" s="225">
        <f t="shared" si="0"/>
        <v>215689.86370664145</v>
      </c>
      <c r="N17" s="225">
        <f t="shared" si="0"/>
        <v>282339.8610540824</v>
      </c>
      <c r="O17" s="596"/>
      <c r="P17" s="596"/>
      <c r="R17" s="590"/>
      <c r="S17" s="590"/>
      <c r="T17" s="205"/>
      <c r="U17" s="590"/>
      <c r="V17" s="590"/>
      <c r="W17" s="205"/>
      <c r="X17" s="590"/>
      <c r="Y17" s="590"/>
      <c r="Z17" s="205"/>
      <c r="AA17" s="590"/>
      <c r="AB17" s="590"/>
      <c r="AC17" s="205"/>
      <c r="AD17" s="590"/>
      <c r="AE17" s="590"/>
      <c r="AF17" s="205"/>
    </row>
    <row r="18" spans="1:32" ht="13.5" customHeight="1" x14ac:dyDescent="0.3">
      <c r="A18" s="210" t="str">
        <f>'Massas Corrigidas'!D44</f>
        <v>Massa total do padrão 1 (g) ; mf1</v>
      </c>
      <c r="B18" s="217">
        <f>IF('Massas Corrigidas'!E44=0,"",'Massas Corrigidas'!E44)</f>
        <v>49.990373219990005</v>
      </c>
      <c r="C18" s="112">
        <f>IF(B18="","",'Massas Corrigidas'!F44)</f>
        <v>2.6925824035672523E-5</v>
      </c>
      <c r="G18" s="167" t="s">
        <v>5</v>
      </c>
      <c r="H18" s="225">
        <f>IFERROR((H16-$P$16)^2,"")</f>
        <v>1.2603121444267095E-4</v>
      </c>
      <c r="I18" s="225">
        <f t="shared" ref="I18:N18" si="1">IFERROR((I16-$P$16)^2,"")</f>
        <v>3.8015148933831245E-5</v>
      </c>
      <c r="J18" s="225">
        <f t="shared" si="1"/>
        <v>1.250447374860833E-5</v>
      </c>
      <c r="K18" s="225">
        <f t="shared" si="1"/>
        <v>3.0504274190603868E-6</v>
      </c>
      <c r="L18" s="225">
        <f t="shared" si="1"/>
        <v>1.6633316366167617E-7</v>
      </c>
      <c r="M18" s="225">
        <f t="shared" si="1"/>
        <v>1.0705968269298594E-5</v>
      </c>
      <c r="N18" s="225">
        <f t="shared" si="1"/>
        <v>6.0349890768103777E-5</v>
      </c>
      <c r="O18" s="168" t="s">
        <v>17</v>
      </c>
      <c r="P18" s="225">
        <f>IFERROR(SUM(Cálculos!I11:I52),"")</f>
        <v>8.7584174072833742E-4</v>
      </c>
      <c r="R18" s="590"/>
      <c r="S18" s="590"/>
      <c r="T18" s="205"/>
      <c r="U18" s="590"/>
      <c r="V18" s="590"/>
      <c r="W18" s="205"/>
      <c r="X18" s="590"/>
      <c r="Y18" s="590"/>
      <c r="Z18" s="205"/>
      <c r="AA18" s="590"/>
      <c r="AB18" s="590"/>
      <c r="AC18" s="205"/>
      <c r="AD18" s="590"/>
      <c r="AE18" s="590"/>
      <c r="AF18" s="205"/>
    </row>
    <row r="19" spans="1:32" x14ac:dyDescent="0.2">
      <c r="A19" s="210" t="str">
        <f>'Massas Corrigidas'!D48</f>
        <v>Alíquota da solução intermediária (g) ; mws2</v>
      </c>
      <c r="B19" s="217">
        <f>IF('Massas Corrigidas'!E48=0,"",'Massas Corrigidas'!E48)</f>
        <v>0.73654852690000006</v>
      </c>
      <c r="C19" s="112">
        <f>IF(B19="","",'Massas Corrigidas'!F48)</f>
        <v>1.4142135623730951E-5</v>
      </c>
      <c r="G19" s="198"/>
      <c r="I19" s="231"/>
      <c r="J19" s="231"/>
      <c r="K19" s="231"/>
      <c r="L19" s="231"/>
      <c r="M19" s="231"/>
      <c r="N19" s="231"/>
      <c r="R19" s="220"/>
      <c r="S19" s="220"/>
      <c r="T19" s="205"/>
      <c r="U19" s="220"/>
      <c r="V19" s="220"/>
      <c r="W19" s="205"/>
      <c r="X19" s="220"/>
      <c r="Y19" s="220"/>
      <c r="Z19" s="205"/>
      <c r="AA19" s="220"/>
      <c r="AB19" s="220"/>
      <c r="AC19" s="205"/>
      <c r="AD19" s="220"/>
      <c r="AE19" s="220"/>
      <c r="AF19" s="205"/>
    </row>
    <row r="20" spans="1:32" x14ac:dyDescent="0.2">
      <c r="A20" s="210" t="str">
        <f>'Massas Corrigidas'!D49</f>
        <v>Massa total do padrão 2 (g) ; mf2</v>
      </c>
      <c r="B20" s="217">
        <f>IF('Massas Corrigidas'!E49=0,"",'Massas Corrigidas'!E49)</f>
        <v>49.935213396159995</v>
      </c>
      <c r="C20" s="112">
        <f>IF(B20="","",'Massas Corrigidas'!F49)</f>
        <v>2.6925824035672523E-5</v>
      </c>
      <c r="G20" s="232"/>
      <c r="J20" s="232"/>
      <c r="N20" s="232"/>
      <c r="P20" s="97"/>
      <c r="R20" s="220"/>
      <c r="S20" s="220"/>
      <c r="T20" s="205"/>
      <c r="U20" s="220"/>
      <c r="V20" s="220"/>
      <c r="W20" s="205"/>
      <c r="X20" s="220"/>
      <c r="Y20" s="220"/>
      <c r="Z20" s="205"/>
      <c r="AA20" s="220"/>
      <c r="AB20" s="220"/>
      <c r="AC20" s="205"/>
      <c r="AD20" s="220"/>
      <c r="AE20" s="220"/>
      <c r="AF20" s="205"/>
    </row>
    <row r="21" spans="1:32" x14ac:dyDescent="0.2">
      <c r="A21" s="210" t="str">
        <f>'Massas Corrigidas'!D53</f>
        <v>Alíquota da solução intermediária (g) ; mws3</v>
      </c>
      <c r="B21" s="217">
        <f>IF('Massas Corrigidas'!E53=0,"",'Massas Corrigidas'!E53)</f>
        <v>0.90852818294000137</v>
      </c>
      <c r="C21" s="112">
        <f>IF(B21="","",'Massas Corrigidas'!F53)</f>
        <v>1.4142135623730951E-5</v>
      </c>
      <c r="G21" s="198"/>
      <c r="R21" s="220"/>
      <c r="S21" s="220"/>
      <c r="T21" s="205"/>
      <c r="U21" s="220"/>
      <c r="V21" s="220"/>
      <c r="W21" s="205"/>
      <c r="X21" s="220"/>
      <c r="Y21" s="220"/>
      <c r="Z21" s="205"/>
      <c r="AA21" s="220"/>
      <c r="AB21" s="220"/>
      <c r="AC21" s="205"/>
      <c r="AD21" s="220"/>
      <c r="AE21" s="220"/>
      <c r="AF21" s="205"/>
    </row>
    <row r="22" spans="1:32" x14ac:dyDescent="0.2">
      <c r="A22" s="210" t="str">
        <f>'Massas Corrigidas'!D54</f>
        <v>Massa total do padrão 3 (g) ; mf3</v>
      </c>
      <c r="B22" s="217">
        <f>IF('Massas Corrigidas'!E54=0,"",'Massas Corrigidas'!E54)</f>
        <v>49.966793842370009</v>
      </c>
      <c r="C22" s="112">
        <f>IF(B22="","",'Massas Corrigidas'!F54)</f>
        <v>2.6925824035672523E-5</v>
      </c>
      <c r="G22" s="198"/>
      <c r="R22" s="220"/>
      <c r="S22" s="220"/>
      <c r="T22" s="205"/>
      <c r="U22" s="220"/>
      <c r="V22" s="220"/>
      <c r="W22" s="205"/>
      <c r="X22" s="220"/>
      <c r="Y22" s="220"/>
      <c r="Z22" s="205"/>
      <c r="AA22" s="220"/>
      <c r="AB22" s="220"/>
      <c r="AC22" s="205"/>
      <c r="AD22" s="220"/>
      <c r="AE22" s="220"/>
      <c r="AF22" s="205"/>
    </row>
    <row r="23" spans="1:32" x14ac:dyDescent="0.2">
      <c r="A23" s="210" t="str">
        <f>'Massas Corrigidas'!D58</f>
        <v>Alíquota da solução intermediária (g) ; mws4</v>
      </c>
      <c r="B23" s="217">
        <f>IF('Massas Corrigidas'!E58=0,"",'Massas Corrigidas'!E58)</f>
        <v>1.1231277537400004</v>
      </c>
      <c r="C23" s="112">
        <f>IF(B23="","",'Massas Corrigidas'!F58)</f>
        <v>1.4142135623730951E-5</v>
      </c>
      <c r="G23" s="198"/>
      <c r="R23" s="220"/>
      <c r="S23" s="220"/>
      <c r="T23" s="205"/>
      <c r="U23" s="220"/>
      <c r="V23" s="220"/>
      <c r="W23" s="205"/>
      <c r="X23" s="220"/>
      <c r="Y23" s="220"/>
      <c r="Z23" s="205"/>
      <c r="AA23" s="220"/>
      <c r="AB23" s="220"/>
      <c r="AC23" s="205"/>
      <c r="AD23" s="220"/>
      <c r="AE23" s="220"/>
      <c r="AF23" s="205"/>
    </row>
    <row r="24" spans="1:32" x14ac:dyDescent="0.2">
      <c r="A24" s="210" t="str">
        <f>'Massas Corrigidas'!D59</f>
        <v>Massa total do padrão 4 (g) ; mf4</v>
      </c>
      <c r="B24" s="217">
        <f>IF('Massas Corrigidas'!E59=0,"",'Massas Corrigidas'!E59)</f>
        <v>50.330993806250007</v>
      </c>
      <c r="C24" s="112">
        <f>IF(B24="","",'Massas Corrigidas'!F59)</f>
        <v>2.6925824035672523E-5</v>
      </c>
      <c r="G24" s="198"/>
      <c r="R24" s="220"/>
      <c r="S24" s="220"/>
      <c r="T24" s="205"/>
      <c r="U24" s="220"/>
      <c r="V24" s="220"/>
      <c r="W24" s="205"/>
      <c r="X24" s="220"/>
      <c r="Y24" s="220"/>
      <c r="Z24" s="205"/>
      <c r="AA24" s="220"/>
      <c r="AB24" s="220"/>
      <c r="AC24" s="205"/>
      <c r="AD24" s="220"/>
      <c r="AE24" s="220"/>
      <c r="AF24" s="205"/>
    </row>
    <row r="25" spans="1:32" x14ac:dyDescent="0.2">
      <c r="A25" s="210" t="str">
        <f>'Massas Corrigidas'!D63</f>
        <v>Alíquota da solução intermediária (g) ; mws5</v>
      </c>
      <c r="B25" s="217">
        <f>IF('Massas Corrigidas'!E63=0,"",'Massas Corrigidas'!E63)</f>
        <v>1.4058771882399999</v>
      </c>
      <c r="C25" s="112">
        <f>IF(B25="","",'Massas Corrigidas'!F63)</f>
        <v>1.4142135623730951E-5</v>
      </c>
      <c r="G25" s="198"/>
      <c r="R25" s="205"/>
      <c r="S25" s="220"/>
      <c r="T25" s="205"/>
      <c r="U25" s="205"/>
      <c r="V25" s="220"/>
      <c r="W25" s="205"/>
      <c r="X25" s="205"/>
      <c r="Y25" s="220"/>
      <c r="Z25" s="205"/>
      <c r="AA25" s="205"/>
      <c r="AB25" s="220"/>
      <c r="AC25" s="205"/>
      <c r="AD25" s="205"/>
      <c r="AE25" s="220"/>
      <c r="AF25" s="205"/>
    </row>
    <row r="26" spans="1:32" x14ac:dyDescent="0.2">
      <c r="A26" s="210" t="str">
        <f>'Massas Corrigidas'!D64</f>
        <v>Massa total do padrão 5 (g) ; mf5</v>
      </c>
      <c r="B26" s="217">
        <f>IF('Massas Corrigidas'!E64=0,"",'Massas Corrigidas'!E64)</f>
        <v>50.555854258300009</v>
      </c>
      <c r="C26" s="112">
        <f>IF(B26="","",'Massas Corrigidas'!F64)</f>
        <v>2.6925824035672523E-5</v>
      </c>
      <c r="G26" s="198"/>
      <c r="R26" s="205"/>
      <c r="S26" s="205"/>
      <c r="T26" s="205"/>
      <c r="U26" s="205"/>
      <c r="V26" s="205"/>
      <c r="W26" s="205"/>
      <c r="X26" s="205"/>
      <c r="Y26" s="205"/>
      <c r="Z26" s="205"/>
      <c r="AA26" s="205"/>
      <c r="AB26" s="205"/>
      <c r="AC26" s="205"/>
      <c r="AD26" s="205"/>
      <c r="AE26" s="205"/>
      <c r="AF26" s="205"/>
    </row>
    <row r="27" spans="1:32" x14ac:dyDescent="0.2">
      <c r="A27" s="210" t="str">
        <f>'Massas Corrigidas'!D68</f>
        <v>Alíquota da solução intermediária (g) ; mws6</v>
      </c>
      <c r="B27" s="217">
        <f>IF('Massas Corrigidas'!E68=0,"",'Massas Corrigidas'!E68)</f>
        <v>1.8204963589999998</v>
      </c>
      <c r="C27" s="112">
        <f>IF(B27="","",'Massas Corrigidas'!F68)</f>
        <v>1.4142135623730951E-5</v>
      </c>
      <c r="G27" s="198"/>
      <c r="R27" s="205"/>
      <c r="S27" s="205"/>
      <c r="T27" s="205"/>
      <c r="U27" s="205"/>
      <c r="V27" s="205"/>
      <c r="W27" s="205"/>
      <c r="X27" s="205"/>
      <c r="Y27" s="205"/>
      <c r="Z27" s="205"/>
      <c r="AA27" s="205"/>
      <c r="AB27" s="205"/>
      <c r="AC27" s="205"/>
      <c r="AD27" s="205"/>
      <c r="AE27" s="205"/>
      <c r="AF27" s="205"/>
    </row>
    <row r="28" spans="1:32" x14ac:dyDescent="0.2">
      <c r="A28" s="210" t="str">
        <f>'Massas Corrigidas'!D69</f>
        <v>Massa total do padrão 6 (g) ; mf6</v>
      </c>
      <c r="B28" s="217">
        <f>IF('Massas Corrigidas'!E69=0,"",'Massas Corrigidas'!E69)</f>
        <v>49.968483858009989</v>
      </c>
      <c r="C28" s="112">
        <f>IF(B28="","",'Massas Corrigidas'!F69)</f>
        <v>2.6925824035672523E-5</v>
      </c>
      <c r="G28" s="198"/>
      <c r="R28" s="205"/>
      <c r="S28" s="205"/>
      <c r="T28" s="205"/>
      <c r="U28" s="205"/>
      <c r="V28" s="205"/>
      <c r="W28" s="205"/>
      <c r="X28" s="205"/>
      <c r="Y28" s="205"/>
      <c r="Z28" s="205"/>
      <c r="AA28" s="205"/>
      <c r="AB28" s="205"/>
      <c r="AC28" s="205"/>
      <c r="AD28" s="205"/>
      <c r="AE28" s="205"/>
      <c r="AF28" s="205"/>
    </row>
    <row r="29" spans="1:32" x14ac:dyDescent="0.2">
      <c r="A29" s="150"/>
      <c r="B29" s="213"/>
      <c r="C29" s="213"/>
      <c r="G29" s="198"/>
      <c r="R29" s="590"/>
      <c r="S29" s="591"/>
      <c r="T29" s="591"/>
      <c r="U29" s="591"/>
      <c r="V29" s="141"/>
      <c r="W29" s="141"/>
      <c r="X29" s="141"/>
      <c r="Y29" s="141"/>
      <c r="Z29" s="141"/>
      <c r="AA29" s="199"/>
      <c r="AB29" s="199"/>
      <c r="AC29" s="199"/>
      <c r="AD29" s="199"/>
      <c r="AE29" s="199"/>
      <c r="AF29" s="199"/>
    </row>
    <row r="30" spans="1:32" x14ac:dyDescent="0.2">
      <c r="A30" s="150"/>
      <c r="B30" s="213"/>
      <c r="C30" s="213"/>
      <c r="G30" s="198"/>
      <c r="R30" s="205"/>
      <c r="S30" s="141"/>
      <c r="T30" s="141"/>
      <c r="U30" s="205"/>
      <c r="V30" s="141"/>
      <c r="W30" s="141"/>
      <c r="X30" s="205"/>
      <c r="Y30" s="141"/>
      <c r="Z30" s="141"/>
      <c r="AA30" s="205"/>
      <c r="AB30" s="141"/>
      <c r="AC30" s="141"/>
      <c r="AD30" s="205"/>
      <c r="AE30" s="141"/>
      <c r="AF30" s="141"/>
    </row>
    <row r="31" spans="1:32" x14ac:dyDescent="0.2">
      <c r="G31" s="198"/>
      <c r="R31" s="205"/>
      <c r="S31" s="233"/>
      <c r="T31" s="233"/>
      <c r="U31" s="205"/>
      <c r="V31" s="233"/>
      <c r="W31" s="233"/>
      <c r="X31" s="205"/>
      <c r="Y31" s="233"/>
      <c r="Z31" s="233"/>
      <c r="AA31" s="205"/>
      <c r="AB31" s="233"/>
      <c r="AC31" s="233"/>
      <c r="AD31" s="205"/>
      <c r="AE31" s="233"/>
      <c r="AF31" s="233"/>
    </row>
    <row r="32" spans="1:32" x14ac:dyDescent="0.2">
      <c r="G32" s="198"/>
      <c r="R32" s="205"/>
      <c r="S32" s="233"/>
      <c r="T32" s="233"/>
      <c r="U32" s="205"/>
      <c r="V32" s="233"/>
      <c r="W32" s="233"/>
      <c r="X32" s="205"/>
      <c r="Y32" s="233"/>
      <c r="Z32" s="233"/>
      <c r="AA32" s="205"/>
      <c r="AB32" s="233"/>
      <c r="AC32" s="233"/>
      <c r="AD32" s="205"/>
      <c r="AE32" s="233"/>
      <c r="AF32" s="233"/>
    </row>
    <row r="33" spans="1:32" x14ac:dyDescent="0.2">
      <c r="A33" s="600" t="s">
        <v>50</v>
      </c>
      <c r="B33" s="601"/>
      <c r="C33" s="601"/>
      <c r="D33" s="601"/>
      <c r="G33" s="198"/>
      <c r="R33" s="205"/>
      <c r="S33" s="233"/>
      <c r="T33" s="233"/>
      <c r="U33" s="205"/>
      <c r="V33" s="233"/>
      <c r="W33" s="233"/>
      <c r="X33" s="205"/>
      <c r="Y33" s="233"/>
      <c r="Z33" s="233"/>
      <c r="AA33" s="205"/>
      <c r="AB33" s="233"/>
      <c r="AC33" s="233"/>
      <c r="AD33" s="205"/>
      <c r="AE33" s="233"/>
      <c r="AF33" s="233"/>
    </row>
    <row r="34" spans="1:32" ht="14.25" x14ac:dyDescent="0.2">
      <c r="A34" s="167"/>
      <c r="B34" s="167" t="s">
        <v>0</v>
      </c>
      <c r="C34" s="168"/>
      <c r="D34" s="167" t="s">
        <v>25</v>
      </c>
      <c r="G34" s="198"/>
      <c r="R34" s="205"/>
      <c r="S34" s="233"/>
      <c r="T34" s="233"/>
      <c r="U34" s="205"/>
      <c r="V34" s="233"/>
      <c r="W34" s="233"/>
      <c r="X34" s="205"/>
      <c r="Y34" s="233"/>
      <c r="Z34" s="233"/>
      <c r="AA34" s="205"/>
      <c r="AB34" s="233"/>
      <c r="AC34" s="233"/>
      <c r="AD34" s="205"/>
      <c r="AE34" s="233"/>
      <c r="AF34" s="233"/>
    </row>
    <row r="35" spans="1:32" x14ac:dyDescent="0.2">
      <c r="A35" s="167" t="s">
        <v>51</v>
      </c>
      <c r="B35" s="211"/>
      <c r="C35" s="211"/>
      <c r="G35" s="198"/>
      <c r="R35" s="205"/>
      <c r="S35" s="233"/>
      <c r="T35" s="233"/>
      <c r="U35" s="205"/>
      <c r="V35" s="233"/>
      <c r="W35" s="233"/>
      <c r="X35" s="205"/>
      <c r="Y35" s="233"/>
      <c r="Z35" s="233"/>
      <c r="AA35" s="205"/>
      <c r="AB35" s="233"/>
      <c r="AC35" s="233"/>
      <c r="AD35" s="205"/>
      <c r="AE35" s="233"/>
      <c r="AF35" s="233"/>
    </row>
    <row r="36" spans="1:32" ht="15.75" x14ac:dyDescent="0.3">
      <c r="A36" s="122" t="s">
        <v>128</v>
      </c>
      <c r="B36" s="234" t="str">
        <f>IFERROR(C9/B10,"")</f>
        <v/>
      </c>
      <c r="C36" s="207"/>
      <c r="D36" s="225" t="str">
        <f>IFERROR(B36/B9*100,"")</f>
        <v/>
      </c>
      <c r="G36" s="198"/>
      <c r="R36" s="205"/>
      <c r="S36" s="233"/>
      <c r="T36" s="233"/>
      <c r="U36" s="205"/>
      <c r="V36" s="233"/>
      <c r="W36" s="233"/>
      <c r="X36" s="205"/>
      <c r="Y36" s="233"/>
      <c r="Z36" s="233"/>
      <c r="AA36" s="205"/>
      <c r="AB36" s="233"/>
      <c r="AC36" s="233"/>
      <c r="AD36" s="205"/>
      <c r="AE36" s="233"/>
      <c r="AF36" s="233"/>
    </row>
    <row r="37" spans="1:32" x14ac:dyDescent="0.2">
      <c r="A37" s="167" t="str">
        <f>'Massas Corrigidas'!A26</f>
        <v>Solução intermediária 1</v>
      </c>
      <c r="B37" s="234"/>
      <c r="C37" s="207"/>
      <c r="D37" s="225"/>
      <c r="G37" s="198"/>
      <c r="R37" s="205"/>
      <c r="S37" s="233"/>
      <c r="T37" s="233"/>
      <c r="U37" s="205"/>
      <c r="V37" s="233"/>
      <c r="W37" s="233"/>
      <c r="X37" s="205"/>
      <c r="Y37" s="233"/>
      <c r="Z37" s="233"/>
      <c r="AA37" s="205"/>
      <c r="AB37" s="233"/>
      <c r="AC37" s="233"/>
      <c r="AD37" s="205"/>
      <c r="AE37" s="233"/>
      <c r="AF37" s="233"/>
    </row>
    <row r="38" spans="1:32" ht="15.75" x14ac:dyDescent="0.3">
      <c r="A38" s="122" t="s">
        <v>117</v>
      </c>
      <c r="B38" s="234">
        <f>IFERROR((B9)*(B11/B12),"")</f>
        <v>132.94860709721314</v>
      </c>
      <c r="C38" s="207"/>
      <c r="D38" s="225" t="str">
        <f>IFERROR(B39/B38*100,"")</f>
        <v/>
      </c>
      <c r="G38" s="198"/>
      <c r="R38" s="235"/>
      <c r="S38" s="221"/>
      <c r="T38" s="221"/>
      <c r="U38" s="235"/>
      <c r="V38" s="221"/>
      <c r="W38" s="221"/>
      <c r="X38" s="235"/>
      <c r="Y38" s="221"/>
      <c r="Z38" s="221"/>
      <c r="AA38" s="235"/>
      <c r="AB38" s="221"/>
      <c r="AC38" s="221"/>
      <c r="AD38" s="235"/>
      <c r="AE38" s="221"/>
      <c r="AF38" s="221"/>
    </row>
    <row r="39" spans="1:32" ht="15.75" x14ac:dyDescent="0.3">
      <c r="A39" s="122" t="s">
        <v>129</v>
      </c>
      <c r="B39" s="234" t="str">
        <f>IFERROR((((B9*C11)/B12)^2+((B11*B9*C12)/B12^2)^2+((B11*B36)/B12)^2)^0.5,"")</f>
        <v/>
      </c>
      <c r="C39" s="207"/>
      <c r="D39" s="225"/>
      <c r="G39" s="198"/>
      <c r="R39" s="235"/>
      <c r="S39" s="162"/>
      <c r="T39" s="162"/>
      <c r="U39" s="235"/>
      <c r="V39" s="162"/>
      <c r="W39" s="162"/>
      <c r="X39" s="235"/>
      <c r="Y39" s="162"/>
      <c r="Z39" s="162"/>
      <c r="AA39" s="235"/>
      <c r="AB39" s="162"/>
      <c r="AC39" s="162"/>
      <c r="AD39" s="235"/>
      <c r="AE39" s="162"/>
      <c r="AF39" s="162"/>
    </row>
    <row r="40" spans="1:32" x14ac:dyDescent="0.2">
      <c r="A40" s="167" t="str">
        <f>'Massas Corrigidas'!A31</f>
        <v>Solução intermediária 2</v>
      </c>
      <c r="B40" s="234"/>
      <c r="C40" s="207"/>
      <c r="D40" s="225"/>
      <c r="G40" s="198"/>
      <c r="R40" s="235"/>
      <c r="S40" s="227"/>
      <c r="T40" s="227"/>
      <c r="U40" s="235"/>
      <c r="V40" s="227"/>
      <c r="W40" s="227"/>
      <c r="X40" s="235"/>
      <c r="Y40" s="227"/>
      <c r="Z40" s="227"/>
      <c r="AA40" s="235"/>
      <c r="AB40" s="227"/>
      <c r="AC40" s="227"/>
      <c r="AD40" s="235"/>
      <c r="AE40" s="227"/>
      <c r="AF40" s="227"/>
    </row>
    <row r="41" spans="1:32" ht="15.75" x14ac:dyDescent="0.3">
      <c r="A41" s="122" t="s">
        <v>118</v>
      </c>
      <c r="B41" s="234">
        <f>IFERROR((B13/B14)*B38,"")</f>
        <v>0.52136629353133102</v>
      </c>
      <c r="C41" s="207"/>
      <c r="D41" s="225" t="str">
        <f>IFERROR(B42/B41*100,"")</f>
        <v/>
      </c>
      <c r="G41" s="198"/>
    </row>
    <row r="42" spans="1:32" ht="15.75" x14ac:dyDescent="0.3">
      <c r="A42" s="122" t="s">
        <v>130</v>
      </c>
      <c r="B42" s="234" t="str">
        <f>IFERROR((((B38*C13)/B14)^2+((B13*B38*C14)/B14^2)^2+((B13*B39)/B14)^2)^0.5,"")</f>
        <v/>
      </c>
      <c r="C42" s="207"/>
      <c r="D42" s="225"/>
      <c r="G42" s="198"/>
    </row>
    <row r="43" spans="1:32" x14ac:dyDescent="0.2">
      <c r="A43" s="167" t="str">
        <f>'Massas Corrigidas'!A36</f>
        <v>Solução intermediária 3</v>
      </c>
      <c r="B43" s="234"/>
      <c r="C43" s="207"/>
      <c r="D43" s="225"/>
      <c r="G43" s="198"/>
      <c r="R43" s="590"/>
      <c r="S43" s="590"/>
      <c r="T43" s="590"/>
      <c r="U43" s="590"/>
      <c r="V43" s="199"/>
      <c r="W43" s="199"/>
      <c r="X43" s="590"/>
      <c r="Y43" s="590"/>
      <c r="Z43" s="235"/>
      <c r="AA43" s="590"/>
      <c r="AB43" s="590"/>
      <c r="AC43" s="212"/>
      <c r="AD43" s="590"/>
      <c r="AE43" s="590"/>
      <c r="AF43" s="199"/>
    </row>
    <row r="44" spans="1:32" ht="15.75" x14ac:dyDescent="0.3">
      <c r="A44" s="122" t="s">
        <v>119</v>
      </c>
      <c r="B44" s="234" t="str">
        <f>IFERROR((B15/B16)*B41,"")</f>
        <v/>
      </c>
      <c r="C44" s="207"/>
      <c r="D44" s="225" t="str">
        <f>IFERROR(B45/B44*100,"")</f>
        <v/>
      </c>
      <c r="G44" s="198"/>
      <c r="R44" s="141"/>
      <c r="S44" s="141"/>
      <c r="T44" s="141"/>
      <c r="U44" s="141"/>
      <c r="V44" s="141"/>
      <c r="W44" s="141"/>
      <c r="X44" s="141"/>
      <c r="Y44" s="141"/>
      <c r="Z44" s="141"/>
      <c r="AA44" s="141"/>
      <c r="AB44" s="141"/>
      <c r="AC44" s="141"/>
      <c r="AD44" s="141"/>
      <c r="AE44" s="141"/>
      <c r="AF44" s="141"/>
    </row>
    <row r="45" spans="1:32" ht="15.75" x14ac:dyDescent="0.3">
      <c r="A45" s="122" t="s">
        <v>131</v>
      </c>
      <c r="B45" s="234" t="str">
        <f>IFERROR((((B41*C15)/B16)^2+((B15*B41*C16)/B16^2)^2+((B15*B42)/B16)^2)^0.5,"")</f>
        <v/>
      </c>
      <c r="C45" s="207"/>
      <c r="D45" s="225"/>
      <c r="G45" s="198"/>
      <c r="R45" s="595"/>
      <c r="S45" s="595"/>
      <c r="T45" s="595"/>
      <c r="U45" s="595"/>
      <c r="V45" s="141"/>
      <c r="W45" s="135"/>
      <c r="X45" s="595"/>
      <c r="Y45" s="595"/>
      <c r="Z45" s="141"/>
      <c r="AA45" s="595"/>
      <c r="AB45" s="595"/>
      <c r="AC45" s="212"/>
      <c r="AD45" s="595"/>
      <c r="AE45" s="595"/>
      <c r="AF45" s="199"/>
    </row>
    <row r="46" spans="1:32" x14ac:dyDescent="0.2">
      <c r="A46" s="167" t="str">
        <f>'Massas Corrigidas'!A41</f>
        <v>Padrão 1</v>
      </c>
      <c r="B46" s="234"/>
      <c r="C46" s="207"/>
      <c r="D46" s="225"/>
      <c r="E46" s="236"/>
      <c r="G46" s="198"/>
      <c r="R46" s="595"/>
      <c r="S46" s="595"/>
      <c r="T46" s="595"/>
      <c r="U46" s="595"/>
      <c r="V46" s="205"/>
      <c r="W46" s="205"/>
      <c r="X46" s="595"/>
      <c r="Y46" s="595"/>
      <c r="Z46" s="205"/>
      <c r="AA46" s="595"/>
      <c r="AB46" s="595"/>
      <c r="AC46" s="212"/>
      <c r="AD46" s="595"/>
      <c r="AE46" s="595"/>
      <c r="AF46" s="199"/>
    </row>
    <row r="47" spans="1:32" ht="15.75" x14ac:dyDescent="0.3">
      <c r="A47" s="122" t="s">
        <v>120</v>
      </c>
      <c r="B47" s="234">
        <f>IF(AND($B$44="",$B$41="",$B$38=""),"",IF(AND($B$44="",$B$41=""),(B17/B18)*$B$38,IF($B$44="",(B17/B18)*$B$41,(B17/B18)*$B$44)))</f>
        <v>5.0607198546863226E-3</v>
      </c>
      <c r="C47" s="207"/>
      <c r="D47" s="225" t="str">
        <f>IFERROR(B48/B47*100,"")</f>
        <v/>
      </c>
      <c r="E47" s="236"/>
      <c r="G47" s="198"/>
      <c r="R47" s="595"/>
      <c r="S47" s="595"/>
      <c r="T47" s="595"/>
      <c r="U47" s="595"/>
      <c r="V47" s="199"/>
      <c r="W47" s="213"/>
      <c r="X47" s="595"/>
      <c r="Y47" s="595"/>
      <c r="Z47" s="235"/>
      <c r="AA47" s="595"/>
      <c r="AB47" s="595"/>
      <c r="AC47" s="212"/>
      <c r="AD47" s="595"/>
      <c r="AE47" s="595"/>
      <c r="AF47" s="199"/>
    </row>
    <row r="48" spans="1:32" ht="15.75" x14ac:dyDescent="0.3">
      <c r="A48" s="122" t="s">
        <v>132</v>
      </c>
      <c r="B48" s="237" t="e">
        <f>IF(AND($B$44="",$B$41="",$B$38=""),"",IF(AND($B$44="",$B$41=""),((($B$38*C17)/B18)^2+((B17*$B$38*C18)/B18^2)^2+((B17*$B$39)/B18)^2)^0.5,IF($B$44="",((($B$41*C17)/B18)^2+((B17*$B$41*C18)/B18^2)^2+((B17*$B$42)/B18)^2)^0.5,((($B$44*C17)/B18)^2+((B17*$B$44*C18)/B18^2)^2+((B17*$B$45)/B18)^2)^0.5)))</f>
        <v>#VALUE!</v>
      </c>
      <c r="C48" s="207"/>
      <c r="D48" s="225"/>
      <c r="G48" s="198"/>
      <c r="R48" s="595"/>
      <c r="S48" s="595"/>
      <c r="T48" s="595"/>
      <c r="U48" s="595"/>
      <c r="V48" s="199"/>
      <c r="W48" s="238"/>
      <c r="X48" s="595"/>
      <c r="Y48" s="595"/>
      <c r="Z48" s="235"/>
      <c r="AA48" s="595"/>
      <c r="AB48" s="595"/>
      <c r="AC48" s="226"/>
      <c r="AD48" s="595"/>
      <c r="AE48" s="595"/>
      <c r="AF48" s="199"/>
    </row>
    <row r="49" spans="1:32" x14ac:dyDescent="0.2">
      <c r="A49" s="167" t="str">
        <f>'Massas Corrigidas'!A46</f>
        <v>Padrão 2</v>
      </c>
      <c r="B49" s="234"/>
      <c r="C49" s="207"/>
      <c r="D49" s="225"/>
      <c r="G49" s="198"/>
      <c r="R49" s="595"/>
      <c r="S49" s="595"/>
      <c r="T49" s="595"/>
      <c r="U49" s="595"/>
      <c r="V49" s="235"/>
      <c r="W49" s="220"/>
      <c r="X49" s="595"/>
      <c r="Y49" s="595"/>
      <c r="Z49" s="235"/>
      <c r="AA49" s="595"/>
      <c r="AB49" s="595"/>
      <c r="AC49" s="199"/>
      <c r="AD49" s="595"/>
      <c r="AE49" s="595"/>
      <c r="AF49" s="199"/>
    </row>
    <row r="50" spans="1:32" ht="15.75" x14ac:dyDescent="0.3">
      <c r="A50" s="122" t="s">
        <v>122</v>
      </c>
      <c r="B50" s="234">
        <f>IF(AND($B$44="",$B$41="",$B$38=""),"",IF(AND($B$44="",$B$41=""),(B19/B20)*$B$38,IF($B$44="",(B19/B20)*$B$41,(B19/B20)*$B$44)))</f>
        <v>7.6901959430766206E-3</v>
      </c>
      <c r="C50" s="207"/>
      <c r="D50" s="225" t="str">
        <f>IFERROR(B51/B50*100,"")</f>
        <v/>
      </c>
      <c r="E50" s="228"/>
      <c r="G50" s="198"/>
      <c r="R50" s="598"/>
      <c r="S50" s="598"/>
      <c r="T50" s="598"/>
      <c r="U50" s="598"/>
      <c r="V50" s="199"/>
      <c r="W50" s="215"/>
      <c r="X50" s="598"/>
      <c r="Y50" s="598"/>
      <c r="Z50" s="235"/>
      <c r="AA50" s="598"/>
      <c r="AB50" s="598"/>
      <c r="AC50" s="199"/>
      <c r="AD50" s="598"/>
      <c r="AE50" s="598"/>
      <c r="AF50" s="199"/>
    </row>
    <row r="51" spans="1:32" ht="15.75" x14ac:dyDescent="0.3">
      <c r="A51" s="122" t="s">
        <v>133</v>
      </c>
      <c r="B51" s="237" t="e">
        <f>IF(AND($B$44="",$B$41="",$B$38=""),"",IF(AND($B$44="",$B$41=""),((($B$38*C19)/B20)^2+((B19*$B$38*C20)/B20^2)^2+((B19*$B$39)/B20)^2)^0.5,IF($B$44="",((($B$41*C19)/B20)^2+((B19*$B$41*C20)/B20^2)^2+((B19*$B$42)/B20)^2)^0.5,((($B$44*C19)/B20)^2+((B19*$B$44*C20)/B20^2)^2+((B19*$B$45)/B20)^2)^0.5)))</f>
        <v>#VALUE!</v>
      </c>
      <c r="C51" s="207"/>
      <c r="D51" s="225"/>
      <c r="G51" s="198"/>
      <c r="R51" s="205"/>
      <c r="S51" s="148"/>
      <c r="T51" s="205"/>
      <c r="U51" s="205"/>
      <c r="V51" s="148"/>
      <c r="W51" s="205"/>
      <c r="X51" s="205"/>
      <c r="Y51" s="148"/>
      <c r="Z51" s="205"/>
      <c r="AA51" s="205"/>
      <c r="AB51" s="148"/>
      <c r="AC51" s="205"/>
      <c r="AD51" s="205"/>
      <c r="AE51" s="148"/>
      <c r="AF51" s="205"/>
    </row>
    <row r="52" spans="1:32" x14ac:dyDescent="0.2">
      <c r="A52" s="167" t="str">
        <f>'Massas Corrigidas'!A51</f>
        <v>Padrão 3</v>
      </c>
      <c r="B52" s="234"/>
      <c r="C52" s="207"/>
      <c r="D52" s="225"/>
      <c r="G52" s="198"/>
      <c r="R52" s="227"/>
      <c r="S52" s="239"/>
      <c r="T52" s="227"/>
      <c r="U52" s="227"/>
      <c r="V52" s="239"/>
      <c r="W52" s="227"/>
      <c r="X52" s="227"/>
      <c r="Y52" s="239"/>
      <c r="Z52" s="227"/>
      <c r="AA52" s="227"/>
      <c r="AB52" s="239"/>
      <c r="AC52" s="227"/>
      <c r="AD52" s="227"/>
      <c r="AE52" s="239"/>
      <c r="AF52" s="227"/>
    </row>
    <row r="53" spans="1:32" ht="15.75" x14ac:dyDescent="0.3">
      <c r="A53" s="122" t="s">
        <v>123</v>
      </c>
      <c r="B53" s="234">
        <f>IF(AND($B$44="",$B$41="",$B$38=""),"",IF(AND($B$44="",$B$41=""),(B21/B22)*$B$38,IF($B$44="",(B21/B22)*$B$41,(B21/B22)*$B$44)))</f>
        <v>9.4798151909143234E-3</v>
      </c>
      <c r="C53" s="207"/>
      <c r="D53" s="225" t="str">
        <f>IFERROR(B54/B53*100,"")</f>
        <v/>
      </c>
      <c r="G53" s="198"/>
      <c r="R53" s="214"/>
      <c r="S53" s="214"/>
      <c r="T53" s="214"/>
      <c r="U53" s="214"/>
      <c r="V53" s="214"/>
      <c r="W53" s="214"/>
      <c r="X53" s="214"/>
      <c r="Y53" s="214"/>
      <c r="Z53" s="214"/>
      <c r="AA53" s="214"/>
      <c r="AB53" s="214"/>
      <c r="AC53" s="214"/>
      <c r="AD53" s="214"/>
      <c r="AE53" s="214"/>
      <c r="AF53" s="214"/>
    </row>
    <row r="54" spans="1:32" ht="15.75" x14ac:dyDescent="0.3">
      <c r="A54" s="122" t="s">
        <v>134</v>
      </c>
      <c r="B54" s="237" t="e">
        <f>IF(AND($B$44="",$B$41="",$B$38=""),"",IF(AND($B$44="",$B$41=""),((($B$38*C21)/B22)^2+((B21*$B$38*C22)/B22^2)^2+((B21*$B$39)/B22)^2)^0.5,IF($B$44="",((($B$41*C21)/B22)^2+((B21*$B$41*C22)/B22^2)^2+((B21*$B$42)/B22)^2)^0.5,((($B$44*C21)/B22)^2+((B21*$B$44*C22)/B22^2)^2+((B21*$B$45)/B22)^2)^0.5)))</f>
        <v>#VALUE!</v>
      </c>
      <c r="C54" s="207"/>
      <c r="D54" s="225"/>
      <c r="G54" s="198"/>
      <c r="R54" s="214"/>
      <c r="S54" s="214"/>
      <c r="T54" s="214"/>
      <c r="U54" s="214"/>
      <c r="V54" s="214"/>
      <c r="W54" s="214"/>
      <c r="X54" s="214"/>
      <c r="Y54" s="214"/>
      <c r="Z54" s="214"/>
      <c r="AA54" s="214"/>
      <c r="AB54" s="214"/>
      <c r="AC54" s="214"/>
      <c r="AD54" s="214"/>
      <c r="AE54" s="214"/>
      <c r="AF54" s="214"/>
    </row>
    <row r="55" spans="1:32" x14ac:dyDescent="0.2">
      <c r="A55" s="167" t="str">
        <f>'Massas Corrigidas'!A56</f>
        <v>Padrão 4</v>
      </c>
      <c r="B55" s="234"/>
      <c r="C55" s="207"/>
      <c r="D55" s="225"/>
      <c r="G55" s="198"/>
      <c r="R55" s="145"/>
      <c r="S55" s="240"/>
      <c r="T55" s="240"/>
      <c r="U55" s="145"/>
      <c r="V55" s="240"/>
      <c r="W55" s="240"/>
      <c r="X55" s="145"/>
      <c r="Y55" s="240"/>
      <c r="Z55" s="240"/>
      <c r="AA55" s="145"/>
      <c r="AB55" s="240"/>
      <c r="AC55" s="240"/>
      <c r="AD55" s="145"/>
      <c r="AE55" s="240"/>
      <c r="AF55" s="240"/>
    </row>
    <row r="56" spans="1:32" ht="15.75" x14ac:dyDescent="0.3">
      <c r="A56" s="122" t="s">
        <v>124</v>
      </c>
      <c r="B56" s="234">
        <f>IF(AND($B$44="",$B$41="",$B$38=""),"",IF(AND($B$44="",$B$41=""),(B23/B24)*$B$38,IF($B$44="",(B23/B24)*$B$41,(B23/B24)*$B$44)))</f>
        <v>1.1634202105838006E-2</v>
      </c>
      <c r="C56" s="207"/>
      <c r="D56" s="225" t="str">
        <f>IFERROR(B57/B56*100,"")</f>
        <v/>
      </c>
      <c r="G56" s="198"/>
      <c r="R56" s="205"/>
      <c r="S56" s="205"/>
      <c r="T56" s="205"/>
      <c r="U56" s="205"/>
      <c r="V56" s="205"/>
      <c r="W56" s="205"/>
      <c r="X56" s="205"/>
      <c r="Y56" s="205"/>
      <c r="Z56" s="205"/>
      <c r="AA56" s="205"/>
      <c r="AB56" s="205"/>
      <c r="AC56" s="205"/>
      <c r="AD56" s="205"/>
      <c r="AE56" s="205"/>
      <c r="AF56" s="205"/>
    </row>
    <row r="57" spans="1:32" ht="15.75" x14ac:dyDescent="0.3">
      <c r="A57" s="122" t="s">
        <v>135</v>
      </c>
      <c r="B57" s="237" t="e">
        <f>IF(AND($B$44="",$B$41="",$B$38=""),"",IF(AND($B$44="",$B$41=""),((($B$38*C23)/B24)^2+((B23*$B$38*C24)/B24^2)^2+((B23*$B$39)/B24)^2)^0.5,IF($B$44="",((($B$41*C23)/B24)^2+((B23*$B$41*C24)/B24^2)^2+((B23*$B$42)/B24)^2)^0.5,((($B$44*C23)/B24)^2+((B23*$B$44*C24)/B24^2)^2+((B23*$B$45)/B24)^2)^0.5)))</f>
        <v>#VALUE!</v>
      </c>
      <c r="C57" s="207"/>
      <c r="D57" s="225"/>
      <c r="G57" s="198"/>
      <c r="R57" s="235"/>
      <c r="S57" s="205"/>
      <c r="T57" s="205"/>
      <c r="U57" s="235"/>
      <c r="V57" s="205"/>
      <c r="W57" s="205"/>
      <c r="X57" s="235"/>
      <c r="Y57" s="205"/>
      <c r="Z57" s="205"/>
      <c r="AA57" s="235"/>
      <c r="AB57" s="205"/>
      <c r="AC57" s="205"/>
      <c r="AD57" s="235"/>
      <c r="AE57" s="205"/>
      <c r="AF57" s="205"/>
    </row>
    <row r="58" spans="1:32" x14ac:dyDescent="0.2">
      <c r="A58" s="167" t="str">
        <f>'Massas Corrigidas'!A61</f>
        <v>Padrão 5</v>
      </c>
      <c r="B58" s="234"/>
      <c r="C58" s="207"/>
      <c r="D58" s="225"/>
      <c r="G58" s="198"/>
      <c r="R58" s="235"/>
      <c r="S58" s="235"/>
      <c r="T58" s="235"/>
      <c r="U58" s="235"/>
      <c r="V58" s="235"/>
      <c r="W58" s="235"/>
      <c r="X58" s="235"/>
      <c r="Y58" s="235"/>
      <c r="Z58" s="235"/>
      <c r="AA58" s="235"/>
      <c r="AB58" s="235"/>
      <c r="AC58" s="235"/>
      <c r="AD58" s="235"/>
      <c r="AE58" s="235"/>
      <c r="AF58" s="235"/>
    </row>
    <row r="59" spans="1:32" ht="15.75" x14ac:dyDescent="0.3">
      <c r="A59" s="122" t="s">
        <v>125</v>
      </c>
      <c r="B59" s="234">
        <f>IFERROR(IF(AND($B$44="",$B$41="",$B$38=""),"",IF(AND($B$44="",$B$41=""),(B25/B26)*$B$38,IF($B$44="",(B25/B26)*$B$41,(B25/B26)*$B$44))),"")</f>
        <v>1.4498360072169121E-2</v>
      </c>
      <c r="C59" s="207"/>
      <c r="D59" s="225" t="str">
        <f>IFERROR(B60/B59*100,"")</f>
        <v/>
      </c>
      <c r="G59" s="198"/>
      <c r="R59" s="235"/>
      <c r="S59" s="235"/>
      <c r="T59" s="235"/>
      <c r="U59" s="235"/>
      <c r="V59" s="235"/>
      <c r="W59" s="235"/>
      <c r="X59" s="235"/>
      <c r="Y59" s="235"/>
      <c r="Z59" s="235"/>
      <c r="AA59" s="235"/>
      <c r="AB59" s="235"/>
      <c r="AC59" s="235"/>
      <c r="AD59" s="235"/>
      <c r="AE59" s="235"/>
      <c r="AF59" s="235"/>
    </row>
    <row r="60" spans="1:32" ht="15.75" x14ac:dyDescent="0.3">
      <c r="A60" s="122" t="s">
        <v>136</v>
      </c>
      <c r="B60" s="237" t="str">
        <f>IFERROR(IF(AND($B$44="",$B$41="",$B$38=""),"",IF(AND($B$44="",$B$41=""),((($B$38*C25)/B26)^2+((B25*$B$38*C26)/B26^2)^2+((B25*$B$39)/B26)^2)^0.5,IF($B$44="",((($B$41*C25)/B26)^2+((B25*$B$41*C26)/B26^2)^2+((B25*$B$42)/B26)^2)^0.5,((($B$44*C25)/B26)^2+((B25*$B$44*C26)/B26^2)^2+((B25*$B$45)/B26)^2)^0.5))),"")</f>
        <v/>
      </c>
      <c r="C60" s="207"/>
      <c r="D60" s="225"/>
      <c r="G60" s="198"/>
      <c r="R60" s="235"/>
      <c r="S60" s="235"/>
      <c r="T60" s="235"/>
      <c r="U60" s="235"/>
      <c r="V60" s="235"/>
      <c r="W60" s="235"/>
      <c r="X60" s="235"/>
      <c r="Y60" s="235"/>
      <c r="Z60" s="235"/>
      <c r="AA60" s="235"/>
      <c r="AB60" s="235"/>
      <c r="AC60" s="235"/>
      <c r="AD60" s="235"/>
      <c r="AE60" s="235"/>
      <c r="AF60" s="235"/>
    </row>
    <row r="61" spans="1:32" x14ac:dyDescent="0.2">
      <c r="A61" s="167" t="str">
        <f>'Massas Corrigidas'!A66</f>
        <v>Padrão 6</v>
      </c>
      <c r="B61" s="234"/>
      <c r="C61" s="207"/>
      <c r="D61" s="225"/>
      <c r="G61" s="198"/>
      <c r="R61" s="235"/>
      <c r="S61" s="235"/>
      <c r="T61" s="235"/>
      <c r="U61" s="235"/>
      <c r="V61" s="235"/>
      <c r="W61" s="235"/>
      <c r="X61" s="235"/>
      <c r="Y61" s="235"/>
      <c r="Z61" s="235"/>
      <c r="AA61" s="235"/>
      <c r="AB61" s="235"/>
      <c r="AC61" s="235"/>
      <c r="AD61" s="235"/>
      <c r="AE61" s="235"/>
      <c r="AF61" s="235"/>
    </row>
    <row r="62" spans="1:32" ht="15.75" x14ac:dyDescent="0.3">
      <c r="A62" s="122" t="s">
        <v>126</v>
      </c>
      <c r="B62" s="234">
        <f>IFERROR(IF(AND($B$44="",$B$41="",$B$38=""),"",IF(AND($B$44="",$B$41=""),(B27/B28)*$B$38,IF($B$44="",(B27/B28)*$B$41,(B27/B28)*$B$44))),"")</f>
        <v>1.8994881689350367E-2</v>
      </c>
      <c r="C62" s="207"/>
      <c r="D62" s="225" t="str">
        <f>IFERROR(B63/B62*100,"")</f>
        <v/>
      </c>
      <c r="G62" s="198"/>
      <c r="R62" s="235"/>
      <c r="S62" s="235"/>
      <c r="T62" s="235"/>
      <c r="U62" s="235"/>
      <c r="V62" s="235"/>
      <c r="W62" s="235"/>
      <c r="X62" s="235"/>
      <c r="Y62" s="235"/>
      <c r="Z62" s="235"/>
      <c r="AA62" s="235"/>
      <c r="AB62" s="235"/>
      <c r="AC62" s="235"/>
      <c r="AD62" s="235"/>
      <c r="AE62" s="235"/>
      <c r="AF62" s="235"/>
    </row>
    <row r="63" spans="1:32" ht="15.75" x14ac:dyDescent="0.3">
      <c r="A63" s="122" t="s">
        <v>137</v>
      </c>
      <c r="B63" s="237" t="str">
        <f>IFERROR(IF(AND($B$44="",$B$41="",$B$38=""),"",IF(AND($B$44="",$B$41=""),((($B$38*C27)/B28)^2+((B27*$B$38*C28)/B28^2)^2+((B27*$B$39)/B28)^2)^0.5,IF($B$44="",((($B$41*C27)/B28)^2+((B27*$B$41*C28)/B28^2)^2+((B27*$B$42)/B28)^2)^0.5,((($B$44*C27)/B28)^2+((B27*$B$44*C28)/B28^2)^2+((B27*$B$45)/B28)^2)^0.5))),"")</f>
        <v/>
      </c>
      <c r="C63" s="207"/>
      <c r="D63" s="241"/>
      <c r="G63" s="198"/>
      <c r="S63" s="235"/>
      <c r="T63" s="235"/>
      <c r="V63" s="235"/>
      <c r="W63" s="235"/>
      <c r="Y63" s="235"/>
      <c r="Z63" s="235"/>
      <c r="AB63" s="235"/>
      <c r="AC63" s="235"/>
      <c r="AE63" s="235"/>
      <c r="AF63" s="235"/>
    </row>
    <row r="64" spans="1:32" x14ac:dyDescent="0.2">
      <c r="A64" s="214"/>
      <c r="B64" s="233"/>
      <c r="C64" s="233"/>
      <c r="D64" s="214"/>
      <c r="G64" s="198"/>
    </row>
    <row r="65" spans="1:32" x14ac:dyDescent="0.2">
      <c r="A65" s="235"/>
      <c r="B65" s="233"/>
      <c r="C65" s="233"/>
      <c r="G65" s="198"/>
    </row>
    <row r="66" spans="1:32" x14ac:dyDescent="0.2">
      <c r="A66" s="235"/>
      <c r="B66" s="214"/>
      <c r="C66" s="233"/>
      <c r="G66" s="198"/>
    </row>
    <row r="67" spans="1:32" x14ac:dyDescent="0.2">
      <c r="G67" s="198"/>
      <c r="S67" s="235"/>
      <c r="T67" s="235"/>
      <c r="V67" s="235"/>
      <c r="W67" s="235"/>
      <c r="Y67" s="235"/>
      <c r="Z67" s="235"/>
      <c r="AB67" s="235"/>
      <c r="AC67" s="235"/>
      <c r="AE67" s="235"/>
      <c r="AF67" s="235"/>
    </row>
    <row r="68" spans="1:32" x14ac:dyDescent="0.2">
      <c r="G68" s="198"/>
      <c r="S68" s="235"/>
      <c r="T68" s="235"/>
      <c r="V68" s="235"/>
      <c r="W68" s="235"/>
      <c r="Y68" s="235"/>
      <c r="Z68" s="235"/>
      <c r="AB68" s="235"/>
      <c r="AC68" s="235"/>
      <c r="AE68" s="235"/>
      <c r="AF68" s="235"/>
    </row>
    <row r="69" spans="1:32" x14ac:dyDescent="0.2">
      <c r="G69" s="198"/>
      <c r="S69" s="235"/>
      <c r="T69" s="235"/>
      <c r="V69" s="235"/>
      <c r="W69" s="235"/>
      <c r="Y69" s="235"/>
      <c r="Z69" s="235"/>
      <c r="AB69" s="235"/>
      <c r="AC69" s="235"/>
      <c r="AE69" s="235"/>
      <c r="AF69" s="235"/>
    </row>
    <row r="70" spans="1:32" x14ac:dyDescent="0.2">
      <c r="G70" s="198"/>
    </row>
    <row r="71" spans="1:32" x14ac:dyDescent="0.2">
      <c r="G71" s="198"/>
    </row>
    <row r="72" spans="1:32" x14ac:dyDescent="0.2">
      <c r="G72" s="214"/>
      <c r="H72" s="214"/>
      <c r="I72" s="214"/>
      <c r="J72" s="214"/>
      <c r="K72" s="214"/>
      <c r="L72" s="214"/>
      <c r="M72" s="214"/>
      <c r="N72" s="214"/>
      <c r="O72" s="214"/>
      <c r="P72" s="214"/>
    </row>
    <row r="73" spans="1:32" x14ac:dyDescent="0.2">
      <c r="G73" s="214"/>
      <c r="H73" s="214"/>
      <c r="I73" s="214"/>
      <c r="J73" s="214"/>
      <c r="K73" s="214"/>
      <c r="L73" s="214"/>
      <c r="M73" s="214"/>
      <c r="N73" s="214"/>
      <c r="O73" s="214"/>
      <c r="P73" s="214"/>
    </row>
    <row r="74" spans="1:32" ht="14.25" x14ac:dyDescent="0.25">
      <c r="G74" s="141"/>
      <c r="H74" s="141"/>
      <c r="I74" s="141"/>
      <c r="J74" s="242"/>
      <c r="K74" s="141"/>
      <c r="L74" s="141"/>
      <c r="M74" s="214"/>
      <c r="N74" s="214"/>
      <c r="O74" s="214"/>
      <c r="P74" s="214"/>
    </row>
    <row r="75" spans="1:32" x14ac:dyDescent="0.2">
      <c r="G75" s="590"/>
      <c r="H75" s="590"/>
      <c r="I75" s="214"/>
      <c r="J75" s="214"/>
      <c r="K75" s="214"/>
      <c r="L75" s="214"/>
      <c r="M75" s="214"/>
      <c r="N75" s="214"/>
      <c r="O75" s="214"/>
      <c r="P75" s="214"/>
    </row>
    <row r="76" spans="1:32" x14ac:dyDescent="0.2">
      <c r="G76" s="590"/>
      <c r="H76" s="590"/>
      <c r="I76" s="205"/>
      <c r="J76" s="214"/>
      <c r="K76" s="214"/>
      <c r="L76" s="214"/>
      <c r="M76" s="214"/>
      <c r="N76" s="214"/>
      <c r="O76" s="214"/>
      <c r="P76" s="214"/>
    </row>
    <row r="77" spans="1:32" x14ac:dyDescent="0.2">
      <c r="G77" s="243"/>
      <c r="H77" s="243"/>
      <c r="I77" s="220"/>
      <c r="J77" s="213"/>
      <c r="K77" s="244"/>
      <c r="L77" s="245"/>
      <c r="M77" s="214"/>
      <c r="N77" s="214"/>
      <c r="O77" s="214"/>
      <c r="P77" s="214"/>
    </row>
    <row r="78" spans="1:32" x14ac:dyDescent="0.2">
      <c r="G78" s="590"/>
      <c r="H78" s="590"/>
      <c r="I78" s="220"/>
      <c r="J78" s="213"/>
      <c r="K78" s="227"/>
      <c r="L78" s="246"/>
      <c r="M78" s="214"/>
      <c r="N78" s="214"/>
      <c r="O78" s="214"/>
      <c r="P78" s="214"/>
    </row>
    <row r="79" spans="1:32" x14ac:dyDescent="0.2">
      <c r="G79" s="590"/>
      <c r="H79" s="590"/>
      <c r="I79" s="205"/>
      <c r="J79" s="214"/>
      <c r="K79" s="227"/>
      <c r="L79" s="247"/>
      <c r="M79" s="214"/>
      <c r="N79" s="214"/>
      <c r="O79" s="214"/>
      <c r="P79" s="214"/>
    </row>
    <row r="80" spans="1:32" x14ac:dyDescent="0.2">
      <c r="G80" s="593"/>
      <c r="H80" s="593"/>
      <c r="I80" s="220"/>
      <c r="J80" s="213"/>
      <c r="K80" s="244"/>
      <c r="L80" s="245"/>
      <c r="M80" s="214"/>
      <c r="N80" s="214"/>
      <c r="O80" s="214"/>
      <c r="P80" s="214"/>
    </row>
    <row r="81" spans="1:98" x14ac:dyDescent="0.2">
      <c r="G81" s="593"/>
      <c r="H81" s="593"/>
      <c r="I81" s="220"/>
      <c r="J81" s="213"/>
      <c r="K81" s="227"/>
      <c r="L81" s="220"/>
      <c r="M81" s="214"/>
      <c r="N81" s="214"/>
      <c r="O81" s="214"/>
      <c r="P81" s="214"/>
    </row>
    <row r="82" spans="1:98" x14ac:dyDescent="0.2">
      <c r="G82" s="590"/>
      <c r="H82" s="590"/>
      <c r="I82" s="205"/>
      <c r="J82" s="214"/>
      <c r="K82" s="227"/>
      <c r="L82" s="247"/>
      <c r="M82" s="214"/>
      <c r="N82" s="214"/>
      <c r="O82" s="214"/>
      <c r="P82" s="214"/>
    </row>
    <row r="83" spans="1:98" x14ac:dyDescent="0.2">
      <c r="G83" s="593"/>
      <c r="H83" s="593"/>
      <c r="I83" s="220"/>
      <c r="J83" s="213"/>
      <c r="K83" s="244"/>
      <c r="L83" s="245"/>
      <c r="M83" s="214"/>
      <c r="N83" s="214"/>
      <c r="O83" s="214"/>
      <c r="P83" s="214"/>
    </row>
    <row r="84" spans="1:98" s="232" customFormat="1" x14ac:dyDescent="0.2">
      <c r="A84" s="198"/>
      <c r="B84" s="198"/>
      <c r="C84" s="198"/>
      <c r="D84" s="198"/>
      <c r="E84" s="198"/>
      <c r="G84" s="593"/>
      <c r="H84" s="593"/>
      <c r="I84" s="135"/>
      <c r="J84" s="248"/>
      <c r="K84" s="155"/>
      <c r="L84" s="249"/>
      <c r="M84" s="150"/>
      <c r="N84" s="150"/>
      <c r="O84" s="150"/>
      <c r="P84" s="150"/>
      <c r="AG84" s="145"/>
      <c r="AH84" s="145"/>
      <c r="AI84" s="145"/>
      <c r="AJ84" s="145"/>
      <c r="AK84" s="145"/>
      <c r="AL84" s="145"/>
      <c r="AM84" s="145"/>
    </row>
    <row r="85" spans="1:98" s="232" customFormat="1" x14ac:dyDescent="0.2">
      <c r="A85" s="198"/>
      <c r="B85" s="198"/>
      <c r="C85" s="198"/>
      <c r="D85" s="198"/>
      <c r="E85" s="198"/>
      <c r="G85" s="590"/>
      <c r="H85" s="590"/>
      <c r="I85" s="141"/>
      <c r="J85" s="248"/>
      <c r="K85" s="155"/>
      <c r="L85" s="135"/>
      <c r="M85" s="150"/>
      <c r="N85" s="150"/>
      <c r="O85" s="150"/>
      <c r="P85" s="150"/>
      <c r="AG85" s="145"/>
      <c r="AH85" s="145"/>
      <c r="AI85" s="145"/>
      <c r="AJ85" s="145"/>
      <c r="AK85" s="145"/>
      <c r="AL85" s="145"/>
      <c r="AM85" s="145"/>
    </row>
    <row r="86" spans="1:98" s="232" customFormat="1" x14ac:dyDescent="0.2">
      <c r="A86" s="198"/>
      <c r="B86" s="198"/>
      <c r="C86" s="198"/>
      <c r="D86" s="198"/>
      <c r="E86" s="198"/>
      <c r="G86" s="593"/>
      <c r="H86" s="593"/>
      <c r="I86" s="135"/>
      <c r="J86" s="248"/>
      <c r="K86" s="250"/>
      <c r="L86" s="251"/>
      <c r="M86" s="150"/>
      <c r="N86" s="150"/>
      <c r="O86" s="150"/>
      <c r="P86" s="150"/>
      <c r="AG86" s="145"/>
      <c r="AH86" s="145"/>
      <c r="AI86" s="145"/>
      <c r="AJ86" s="145"/>
      <c r="AK86" s="145"/>
      <c r="AL86" s="145"/>
      <c r="AM86" s="145"/>
    </row>
    <row r="87" spans="1:98" s="232" customFormat="1" x14ac:dyDescent="0.2">
      <c r="A87" s="198"/>
      <c r="B87" s="198"/>
      <c r="C87" s="198"/>
      <c r="D87" s="198"/>
      <c r="E87" s="198"/>
      <c r="G87" s="593"/>
      <c r="H87" s="593"/>
      <c r="I87" s="135"/>
      <c r="J87" s="248"/>
      <c r="K87" s="155"/>
      <c r="L87" s="135"/>
      <c r="M87" s="150"/>
      <c r="N87" s="150"/>
      <c r="O87" s="150"/>
      <c r="P87" s="150"/>
      <c r="AG87" s="145"/>
      <c r="AH87" s="145"/>
      <c r="AI87" s="145"/>
      <c r="AJ87" s="145"/>
      <c r="AK87" s="145"/>
      <c r="AL87" s="145"/>
      <c r="AM87" s="145"/>
    </row>
    <row r="88" spans="1:98" s="232" customFormat="1" x14ac:dyDescent="0.2">
      <c r="A88" s="198"/>
      <c r="B88" s="198"/>
      <c r="C88" s="198"/>
      <c r="D88" s="198"/>
      <c r="E88" s="198"/>
      <c r="G88" s="243"/>
      <c r="H88" s="243"/>
      <c r="I88" s="135"/>
      <c r="J88" s="248"/>
      <c r="K88" s="155"/>
      <c r="L88" s="135"/>
      <c r="M88" s="150"/>
      <c r="N88" s="150"/>
      <c r="O88" s="150"/>
      <c r="P88" s="150"/>
      <c r="U88" s="252"/>
      <c r="AG88" s="145"/>
      <c r="AH88" s="145"/>
      <c r="AI88" s="145"/>
      <c r="AJ88" s="145"/>
      <c r="AK88" s="145"/>
      <c r="AL88" s="145"/>
      <c r="AM88" s="145"/>
    </row>
    <row r="89" spans="1:98" s="232" customFormat="1" x14ac:dyDescent="0.2">
      <c r="G89" s="243"/>
      <c r="H89" s="243"/>
      <c r="I89" s="135"/>
      <c r="J89" s="248"/>
      <c r="K89" s="155"/>
      <c r="L89" s="135"/>
      <c r="M89" s="150"/>
      <c r="N89" s="150"/>
      <c r="O89" s="150"/>
      <c r="P89" s="150"/>
      <c r="AG89" s="145"/>
      <c r="AH89" s="145"/>
      <c r="AI89" s="145"/>
      <c r="AJ89" s="145"/>
      <c r="AK89" s="145"/>
      <c r="AL89" s="145"/>
      <c r="AM89" s="145"/>
    </row>
    <row r="90" spans="1:98" x14ac:dyDescent="0.2">
      <c r="A90" s="232"/>
      <c r="B90" s="232"/>
      <c r="C90" s="232"/>
      <c r="D90" s="232"/>
      <c r="E90" s="232"/>
      <c r="F90" s="253"/>
      <c r="G90" s="243"/>
      <c r="H90" s="243"/>
      <c r="I90" s="135"/>
      <c r="J90" s="248"/>
      <c r="K90" s="155"/>
      <c r="L90" s="135"/>
      <c r="M90" s="150"/>
      <c r="N90" s="150"/>
      <c r="O90" s="150"/>
      <c r="P90" s="150"/>
      <c r="Q90" s="232"/>
      <c r="R90" s="232"/>
      <c r="S90" s="232"/>
      <c r="T90" s="232"/>
      <c r="U90" s="232"/>
      <c r="V90" s="232"/>
      <c r="W90" s="232"/>
      <c r="X90" s="232"/>
      <c r="Y90" s="232"/>
      <c r="Z90" s="232"/>
      <c r="AA90" s="232"/>
      <c r="AB90" s="232"/>
      <c r="AC90" s="232"/>
      <c r="AD90" s="232"/>
      <c r="AE90" s="232"/>
      <c r="AF90" s="232"/>
      <c r="AG90" s="145"/>
      <c r="AH90" s="145"/>
      <c r="AI90" s="145"/>
      <c r="AJ90" s="145"/>
      <c r="AK90" s="145"/>
      <c r="AL90" s="145"/>
      <c r="AM90" s="145"/>
      <c r="AN90" s="232"/>
      <c r="AO90" s="232"/>
      <c r="AP90" s="232"/>
      <c r="AQ90" s="232"/>
      <c r="AR90" s="232"/>
      <c r="AS90" s="232"/>
      <c r="AT90" s="232"/>
      <c r="AU90" s="232"/>
      <c r="AV90" s="232"/>
      <c r="AW90" s="232"/>
      <c r="AX90" s="232"/>
      <c r="AY90" s="232"/>
      <c r="AZ90" s="232"/>
      <c r="BA90" s="232"/>
      <c r="BB90" s="232"/>
      <c r="BC90" s="232"/>
      <c r="BD90" s="232"/>
      <c r="BE90" s="232"/>
      <c r="BF90" s="232"/>
      <c r="BG90" s="232"/>
      <c r="BH90" s="232"/>
      <c r="BI90" s="232"/>
      <c r="BJ90" s="232"/>
      <c r="BK90" s="232"/>
      <c r="BL90" s="232"/>
      <c r="BM90" s="232"/>
      <c r="BN90" s="232"/>
      <c r="BO90" s="232"/>
      <c r="BP90" s="232"/>
      <c r="BQ90" s="232"/>
      <c r="BR90" s="232"/>
      <c r="BS90" s="232"/>
      <c r="BT90" s="232"/>
      <c r="BU90" s="232"/>
      <c r="BV90" s="232"/>
      <c r="BW90" s="232"/>
      <c r="BX90" s="232"/>
      <c r="BY90" s="232"/>
      <c r="BZ90" s="232"/>
      <c r="CA90" s="232"/>
      <c r="CB90" s="232"/>
      <c r="CC90" s="232"/>
      <c r="CD90" s="232"/>
      <c r="CE90" s="232"/>
      <c r="CF90" s="232"/>
      <c r="CG90" s="232"/>
      <c r="CH90" s="232"/>
      <c r="CI90" s="232"/>
      <c r="CJ90" s="232"/>
      <c r="CK90" s="232"/>
      <c r="CL90" s="232"/>
      <c r="CM90" s="232"/>
      <c r="CN90" s="232"/>
      <c r="CO90" s="232"/>
      <c r="CP90" s="232"/>
      <c r="CQ90" s="232"/>
      <c r="CR90" s="232"/>
      <c r="CS90" s="232"/>
      <c r="CT90" s="232"/>
    </row>
    <row r="91" spans="1:98" x14ac:dyDescent="0.2">
      <c r="A91" s="232"/>
      <c r="B91" s="232"/>
      <c r="C91" s="232"/>
      <c r="D91" s="232"/>
      <c r="E91" s="232"/>
      <c r="F91" s="214"/>
      <c r="G91" s="243"/>
      <c r="H91" s="243"/>
      <c r="I91" s="135"/>
      <c r="J91" s="248"/>
      <c r="K91" s="155"/>
      <c r="L91" s="135"/>
      <c r="M91" s="150"/>
      <c r="N91" s="150"/>
      <c r="O91" s="150"/>
      <c r="P91" s="150"/>
      <c r="Q91" s="232"/>
      <c r="R91" s="232"/>
      <c r="S91" s="232"/>
      <c r="T91" s="232"/>
      <c r="U91" s="232"/>
      <c r="V91" s="232"/>
      <c r="W91" s="232"/>
      <c r="X91" s="232"/>
      <c r="Y91" s="232"/>
      <c r="Z91" s="232"/>
      <c r="AA91" s="232"/>
      <c r="AB91" s="232"/>
      <c r="AC91" s="232"/>
      <c r="AD91" s="232"/>
      <c r="AE91" s="232"/>
      <c r="AF91" s="232"/>
      <c r="AG91" s="145"/>
      <c r="AH91" s="145"/>
      <c r="AI91" s="145"/>
      <c r="AJ91" s="145"/>
      <c r="AK91" s="145"/>
      <c r="AL91" s="145"/>
      <c r="AM91" s="145"/>
      <c r="AN91" s="232"/>
      <c r="AO91" s="232"/>
      <c r="AP91" s="232"/>
      <c r="AQ91" s="232"/>
      <c r="AR91" s="232"/>
      <c r="AS91" s="232"/>
      <c r="AT91" s="232"/>
      <c r="AU91" s="232"/>
      <c r="AV91" s="232"/>
      <c r="AW91" s="232"/>
      <c r="AX91" s="232"/>
      <c r="AY91" s="232"/>
      <c r="AZ91" s="232"/>
      <c r="BA91" s="232"/>
      <c r="BB91" s="232"/>
      <c r="BC91" s="232"/>
      <c r="BD91" s="232"/>
      <c r="BE91" s="232"/>
      <c r="BF91" s="232"/>
      <c r="BG91" s="232"/>
      <c r="BH91" s="232"/>
      <c r="BI91" s="232"/>
      <c r="BJ91" s="232"/>
      <c r="BK91" s="232"/>
      <c r="BL91" s="232"/>
      <c r="BM91" s="232"/>
      <c r="BN91" s="232"/>
      <c r="BO91" s="232"/>
      <c r="BP91" s="232"/>
      <c r="BQ91" s="232"/>
      <c r="BR91" s="232"/>
      <c r="BS91" s="232"/>
      <c r="BT91" s="232"/>
      <c r="BU91" s="232"/>
      <c r="BV91" s="232"/>
      <c r="BW91" s="232"/>
      <c r="BX91" s="232"/>
      <c r="BY91" s="232"/>
      <c r="BZ91" s="232"/>
      <c r="CA91" s="232"/>
      <c r="CB91" s="232"/>
      <c r="CC91" s="232"/>
      <c r="CD91" s="232"/>
      <c r="CE91" s="232"/>
      <c r="CF91" s="232"/>
      <c r="CG91" s="232"/>
      <c r="CH91" s="232"/>
      <c r="CI91" s="232"/>
      <c r="CJ91" s="232"/>
      <c r="CK91" s="232"/>
      <c r="CL91" s="232"/>
      <c r="CM91" s="232"/>
      <c r="CN91" s="232"/>
      <c r="CO91" s="232"/>
      <c r="CP91" s="232"/>
      <c r="CQ91" s="232"/>
      <c r="CR91" s="232"/>
      <c r="CS91" s="232"/>
      <c r="CT91" s="232"/>
    </row>
    <row r="92" spans="1:98" x14ac:dyDescent="0.2">
      <c r="A92" s="232"/>
      <c r="B92" s="232"/>
      <c r="C92" s="232"/>
      <c r="D92" s="232"/>
      <c r="E92" s="232"/>
      <c r="F92" s="253"/>
      <c r="G92" s="243"/>
      <c r="H92" s="243"/>
      <c r="I92" s="135"/>
      <c r="J92" s="248"/>
      <c r="K92" s="155"/>
      <c r="L92" s="135"/>
      <c r="M92" s="150"/>
      <c r="N92" s="150"/>
      <c r="O92" s="150"/>
      <c r="P92" s="150"/>
      <c r="Q92" s="232"/>
      <c r="R92" s="232"/>
      <c r="S92" s="232"/>
      <c r="T92" s="232"/>
      <c r="U92" s="232"/>
      <c r="V92" s="232"/>
      <c r="W92" s="232"/>
      <c r="X92" s="232"/>
      <c r="Y92" s="232"/>
      <c r="Z92" s="232"/>
      <c r="AA92" s="232"/>
      <c r="AB92" s="232"/>
      <c r="AC92" s="232"/>
      <c r="AD92" s="232"/>
      <c r="AE92" s="232"/>
      <c r="AF92" s="232"/>
      <c r="AG92" s="145"/>
      <c r="AH92" s="145"/>
      <c r="AI92" s="145"/>
      <c r="AJ92" s="145"/>
      <c r="AK92" s="145"/>
      <c r="AL92" s="145"/>
      <c r="AM92" s="145"/>
      <c r="AN92" s="232"/>
      <c r="AO92" s="232"/>
      <c r="AP92" s="232"/>
      <c r="AQ92" s="232"/>
      <c r="AR92" s="232"/>
      <c r="AS92" s="232"/>
      <c r="AT92" s="232"/>
      <c r="AU92" s="232"/>
      <c r="AV92" s="232"/>
      <c r="AW92" s="232"/>
      <c r="AX92" s="232"/>
      <c r="AY92" s="232"/>
      <c r="AZ92" s="232"/>
      <c r="BA92" s="232"/>
      <c r="BB92" s="232"/>
      <c r="BC92" s="232"/>
      <c r="BD92" s="232"/>
      <c r="BE92" s="232"/>
      <c r="BF92" s="232"/>
      <c r="BG92" s="232"/>
      <c r="BH92" s="232"/>
      <c r="BI92" s="232"/>
      <c r="BJ92" s="232"/>
      <c r="BK92" s="232"/>
      <c r="BL92" s="232"/>
      <c r="BM92" s="232"/>
      <c r="BN92" s="232"/>
      <c r="BO92" s="232"/>
      <c r="BP92" s="232"/>
      <c r="BQ92" s="232"/>
      <c r="BR92" s="232"/>
      <c r="BS92" s="232"/>
      <c r="BT92" s="232"/>
      <c r="BU92" s="232"/>
      <c r="BV92" s="232"/>
      <c r="BW92" s="232"/>
      <c r="BX92" s="232"/>
      <c r="BY92" s="232"/>
      <c r="BZ92" s="232"/>
      <c r="CA92" s="232"/>
      <c r="CB92" s="232"/>
      <c r="CC92" s="232"/>
      <c r="CD92" s="232"/>
      <c r="CE92" s="232"/>
      <c r="CF92" s="232"/>
      <c r="CG92" s="232"/>
      <c r="CH92" s="232"/>
      <c r="CI92" s="232"/>
      <c r="CJ92" s="232"/>
      <c r="CK92" s="232"/>
      <c r="CL92" s="232"/>
      <c r="CM92" s="232"/>
      <c r="CN92" s="232"/>
      <c r="CO92" s="232"/>
      <c r="CP92" s="232"/>
      <c r="CQ92" s="232"/>
      <c r="CR92" s="232"/>
      <c r="CS92" s="232"/>
      <c r="CT92" s="232"/>
    </row>
    <row r="93" spans="1:98" x14ac:dyDescent="0.2">
      <c r="A93" s="232"/>
      <c r="B93" s="232"/>
      <c r="C93" s="232"/>
      <c r="D93" s="232"/>
      <c r="E93" s="232"/>
      <c r="F93" s="253"/>
      <c r="G93" s="590"/>
      <c r="H93" s="590"/>
      <c r="I93" s="141"/>
      <c r="J93" s="150"/>
      <c r="K93" s="155"/>
      <c r="L93" s="135"/>
      <c r="M93" s="150"/>
      <c r="N93" s="150"/>
      <c r="O93" s="150"/>
      <c r="P93" s="150"/>
      <c r="Q93" s="232"/>
      <c r="R93" s="232"/>
      <c r="S93" s="232"/>
      <c r="T93" s="232"/>
      <c r="U93" s="232"/>
      <c r="V93" s="232"/>
      <c r="W93" s="232"/>
      <c r="X93" s="232"/>
      <c r="Y93" s="232"/>
      <c r="Z93" s="232"/>
      <c r="AA93" s="232"/>
      <c r="AB93" s="232"/>
      <c r="AC93" s="232"/>
      <c r="AD93" s="232"/>
      <c r="AE93" s="232"/>
      <c r="AF93" s="232"/>
      <c r="AG93" s="145"/>
      <c r="AH93" s="145"/>
      <c r="AI93" s="145"/>
      <c r="AJ93" s="145"/>
      <c r="AK93" s="145"/>
      <c r="AL93" s="145"/>
      <c r="AM93" s="145"/>
      <c r="AN93" s="232"/>
      <c r="AO93" s="232"/>
      <c r="AP93" s="232"/>
      <c r="AQ93" s="232"/>
      <c r="AR93" s="232"/>
      <c r="AS93" s="232"/>
      <c r="AT93" s="232"/>
      <c r="AU93" s="232"/>
      <c r="AV93" s="232"/>
      <c r="AW93" s="232"/>
      <c r="AX93" s="232"/>
      <c r="AY93" s="232"/>
      <c r="AZ93" s="232"/>
      <c r="BA93" s="232"/>
      <c r="BB93" s="232"/>
      <c r="BC93" s="232"/>
      <c r="BD93" s="232"/>
      <c r="BE93" s="232"/>
      <c r="BF93" s="232"/>
      <c r="BG93" s="232"/>
      <c r="BH93" s="232"/>
      <c r="BI93" s="232"/>
      <c r="BJ93" s="232"/>
      <c r="BK93" s="232"/>
      <c r="BL93" s="232"/>
      <c r="BM93" s="232"/>
      <c r="BN93" s="232"/>
      <c r="BO93" s="232"/>
      <c r="BP93" s="232"/>
      <c r="BQ93" s="232"/>
      <c r="BR93" s="232"/>
      <c r="BS93" s="232"/>
      <c r="BT93" s="232"/>
      <c r="BU93" s="232"/>
      <c r="BV93" s="232"/>
      <c r="BW93" s="232"/>
      <c r="BX93" s="232"/>
      <c r="BY93" s="232"/>
      <c r="BZ93" s="232"/>
      <c r="CA93" s="232"/>
      <c r="CB93" s="232"/>
      <c r="CC93" s="232"/>
      <c r="CD93" s="232"/>
      <c r="CE93" s="232"/>
      <c r="CF93" s="232"/>
      <c r="CG93" s="232"/>
      <c r="CH93" s="232"/>
      <c r="CI93" s="232"/>
      <c r="CJ93" s="232"/>
      <c r="CK93" s="232"/>
      <c r="CL93" s="232"/>
      <c r="CM93" s="232"/>
      <c r="CN93" s="232"/>
      <c r="CO93" s="232"/>
      <c r="CP93" s="232"/>
      <c r="CQ93" s="232"/>
      <c r="CR93" s="232"/>
      <c r="CS93" s="232"/>
      <c r="CT93" s="232"/>
    </row>
    <row r="94" spans="1:98" x14ac:dyDescent="0.2">
      <c r="A94" s="232"/>
      <c r="B94" s="232"/>
      <c r="C94" s="232"/>
      <c r="D94" s="232"/>
      <c r="E94" s="254"/>
      <c r="F94" s="214"/>
      <c r="G94" s="593"/>
      <c r="H94" s="593"/>
      <c r="I94" s="135"/>
      <c r="J94" s="248"/>
      <c r="K94" s="250"/>
      <c r="L94" s="251"/>
      <c r="M94" s="150"/>
      <c r="N94" s="150"/>
      <c r="O94" s="150"/>
      <c r="P94" s="150"/>
      <c r="Q94" s="232"/>
      <c r="R94" s="232"/>
      <c r="U94" s="232"/>
      <c r="V94" s="232"/>
      <c r="W94" s="232"/>
      <c r="X94" s="232"/>
      <c r="Y94" s="232"/>
      <c r="Z94" s="232"/>
      <c r="AA94" s="232"/>
      <c r="AB94" s="232"/>
      <c r="AC94" s="232"/>
      <c r="AD94" s="232"/>
      <c r="AE94" s="232"/>
      <c r="AF94" s="232"/>
      <c r="AG94" s="145"/>
      <c r="AH94" s="145"/>
      <c r="AI94" s="145"/>
      <c r="AJ94" s="145"/>
      <c r="AK94" s="145"/>
      <c r="AL94" s="145"/>
      <c r="AM94" s="145"/>
      <c r="AN94" s="232"/>
      <c r="AO94" s="232"/>
      <c r="AP94" s="232"/>
      <c r="AQ94" s="232"/>
      <c r="AR94" s="232"/>
      <c r="AS94" s="232"/>
      <c r="AT94" s="232"/>
      <c r="AU94" s="232"/>
      <c r="AV94" s="232"/>
      <c r="AW94" s="232"/>
      <c r="AX94" s="232"/>
      <c r="AY94" s="232"/>
      <c r="AZ94" s="232"/>
      <c r="BA94" s="232"/>
      <c r="BB94" s="232"/>
      <c r="BC94" s="232"/>
      <c r="BD94" s="232"/>
      <c r="BE94" s="232"/>
      <c r="BF94" s="232"/>
      <c r="BG94" s="232"/>
      <c r="BH94" s="232"/>
      <c r="BI94" s="232"/>
      <c r="BJ94" s="232"/>
      <c r="BK94" s="232"/>
      <c r="BL94" s="232"/>
      <c r="BM94" s="232"/>
      <c r="BN94" s="232"/>
      <c r="BO94" s="232"/>
      <c r="BP94" s="232"/>
      <c r="BQ94" s="232"/>
      <c r="BR94" s="232"/>
      <c r="BS94" s="232"/>
      <c r="BT94" s="232"/>
      <c r="BU94" s="232"/>
      <c r="BV94" s="232"/>
      <c r="BW94" s="232"/>
      <c r="BX94" s="232"/>
      <c r="BY94" s="232"/>
      <c r="BZ94" s="232"/>
      <c r="CA94" s="232"/>
      <c r="CB94" s="232"/>
      <c r="CC94" s="232"/>
      <c r="CD94" s="232"/>
      <c r="CE94" s="232"/>
      <c r="CF94" s="232"/>
      <c r="CG94" s="232"/>
      <c r="CH94" s="232"/>
      <c r="CI94" s="232"/>
      <c r="CJ94" s="232"/>
      <c r="CK94" s="232"/>
      <c r="CL94" s="232"/>
      <c r="CM94" s="232"/>
      <c r="CN94" s="232"/>
      <c r="CO94" s="232"/>
      <c r="CP94" s="232"/>
      <c r="CQ94" s="232"/>
      <c r="CR94" s="232"/>
      <c r="CS94" s="232"/>
      <c r="CT94" s="232"/>
    </row>
    <row r="95" spans="1:98" ht="13.5" thickBot="1" x14ac:dyDescent="0.25">
      <c r="F95" s="253"/>
      <c r="G95" s="198"/>
      <c r="M95" s="214"/>
      <c r="N95" s="214"/>
      <c r="O95" s="214"/>
      <c r="P95" s="214"/>
    </row>
    <row r="96" spans="1:98" ht="14.25" x14ac:dyDescent="0.25">
      <c r="A96" s="167" t="s">
        <v>22</v>
      </c>
      <c r="B96" s="167" t="s">
        <v>68</v>
      </c>
      <c r="C96" s="167" t="s">
        <v>53</v>
      </c>
      <c r="D96" s="167" t="s">
        <v>54</v>
      </c>
      <c r="E96" s="167" t="s">
        <v>12</v>
      </c>
      <c r="G96" s="255"/>
      <c r="H96" s="592" t="s">
        <v>27</v>
      </c>
      <c r="I96" s="592"/>
      <c r="J96" s="592" t="s">
        <v>121</v>
      </c>
      <c r="K96" s="592"/>
      <c r="L96" s="592" t="s">
        <v>61</v>
      </c>
      <c r="M96" s="592"/>
      <c r="N96" s="592"/>
      <c r="O96" s="592"/>
      <c r="P96" s="592"/>
      <c r="Q96" s="594"/>
      <c r="R96" s="232" t="s">
        <v>26</v>
      </c>
      <c r="S96" s="232">
        <v>1</v>
      </c>
      <c r="U96" s="256"/>
    </row>
    <row r="97" spans="1:38" ht="14.25" x14ac:dyDescent="0.25">
      <c r="A97" s="257"/>
      <c r="E97" s="258"/>
      <c r="F97" s="253"/>
      <c r="G97" s="259"/>
      <c r="H97" s="257" t="s">
        <v>38</v>
      </c>
      <c r="I97" s="260" t="s">
        <v>62</v>
      </c>
      <c r="J97" s="257" t="s">
        <v>38</v>
      </c>
      <c r="K97" s="167" t="s">
        <v>85</v>
      </c>
      <c r="L97" s="261" t="s">
        <v>86</v>
      </c>
      <c r="M97" s="261" t="s">
        <v>87</v>
      </c>
      <c r="N97" s="261" t="s">
        <v>88</v>
      </c>
      <c r="O97" s="261" t="s">
        <v>89</v>
      </c>
      <c r="T97" s="145" t="s">
        <v>161</v>
      </c>
    </row>
    <row r="98" spans="1:38" x14ac:dyDescent="0.2">
      <c r="A98" s="262" t="str">
        <f>IF('Massas Corrigidas'!I26="","",CONCATENATE("Primeira diluição Amostra ",'Massas Corrigidas'!I26))</f>
        <v>Primeira diluição Amostra AMA</v>
      </c>
      <c r="B98" s="220"/>
      <c r="C98" s="214"/>
      <c r="D98" s="214"/>
      <c r="E98" s="214"/>
      <c r="F98" s="253"/>
      <c r="G98" s="262" t="str">
        <f>IF('Massas Corrigidas'!I26="","",CONCATENATE("Amostra ",'Massas Corrigidas'!I26))</f>
        <v>Amostra AMA</v>
      </c>
      <c r="H98" s="270">
        <f>IFERROR(AVERAGE(H99:H105),"")</f>
        <v>178669.01285714284</v>
      </c>
      <c r="I98" s="327">
        <f>IFERROR(STDEV(H99:H105),"")</f>
        <v>1541.5842374184861</v>
      </c>
      <c r="J98" s="216">
        <f>IFERROR(AVERAGE(J99:J105),"")</f>
        <v>2.0014430337461087</v>
      </c>
      <c r="K98" s="263">
        <f>IF(H98="","",(E105/D105))</f>
        <v>4.6642983446839703E-5</v>
      </c>
      <c r="L98" s="264" t="e">
        <f>IF(H98="","",IFERROR(((($B$48/$B$47)^2+($B$51/$B$50)^2+($B$54/$B$53)^2+($B$57/$B$56)^2+($B$60/$B$59)^2+($B$63/$B$62)^2)^0.5),((($B$48/$B$47)^2+($B$51/$B$50)^2+($B$54/$B$53)^2+($B$57/$B$56)^2+($B$60/$B$59)^2)^0.5)))</f>
        <v>#VALUE!</v>
      </c>
      <c r="M98" s="264">
        <f>IF(J98="","",STDEV(J99:J105)/J98)</f>
        <v>8.6663269511539198E-3</v>
      </c>
      <c r="N98" s="264">
        <f>IF(H98="","",((($P$10/$P$7)*(SQRT((1/$E$12)+(1/$E$10)+(((J98/D105)-$P$16)^2)/$P$18))))/(J98/D105))</f>
        <v>8.167065892664218E-3</v>
      </c>
      <c r="O98" s="264" t="e">
        <f>IF(H98="","",(SQRT(L98^2+M98^2+N98^2+K98^2)))</f>
        <v>#VALUE!</v>
      </c>
      <c r="R98" s="590" t="str">
        <f>IF($J$98="","",IF($S$96=1,CONCATENATE("Resultado final amostra ", 'Massas Corrigidas'!$I$26),""))</f>
        <v>Resultado final amostra AMA</v>
      </c>
      <c r="S98" s="590"/>
      <c r="T98" s="145" t="s">
        <v>162</v>
      </c>
      <c r="U98" s="590" t="str">
        <f>IF($J$98="","",IF($S$96=2,CONCATENATE("Resultado final amostra ", 'Massas Corrigidas'!$I$26),""))</f>
        <v/>
      </c>
      <c r="V98" s="590"/>
      <c r="W98" s="590"/>
      <c r="X98" s="590" t="str">
        <f>IF($J$98="","",IF($S$96=3,CONCATENATE("Resultado final amostra ", 'Massas Corrigidas'!$I$26),""))</f>
        <v/>
      </c>
      <c r="Y98" s="590"/>
      <c r="Z98" s="590"/>
      <c r="AA98" s="590" t="str">
        <f>IF($J$98="","",IF($S$96=4,CONCATENATE("Resultado final amostra ", 'Massas Corrigidas'!$I$26),""))</f>
        <v/>
      </c>
      <c r="AB98" s="590"/>
      <c r="AC98" s="590"/>
      <c r="AD98" s="590" t="str">
        <f>IF($J$98="","",IF($S$96=5,CONCATENATE("Resultado final amostra ", 'Massas Corrigidas'!$I$26),""))</f>
        <v/>
      </c>
      <c r="AE98" s="590"/>
      <c r="AF98" s="590"/>
      <c r="AG98" s="590" t="str">
        <f>IF($J$98="","",IF($S$96=6,CONCATENATE("Resultado final amostra ", 'Massas Corrigidas'!$I$26),""))</f>
        <v/>
      </c>
      <c r="AH98" s="590"/>
      <c r="AI98" s="590"/>
      <c r="AJ98" s="590" t="str">
        <f>IF($J$98="","",IF($S$96=7,CONCATENATE("Resultado final amostra ", 'Massas Corrigidas'!$I$26),""))</f>
        <v/>
      </c>
      <c r="AK98" s="590"/>
      <c r="AL98" s="590"/>
    </row>
    <row r="99" spans="1:38" x14ac:dyDescent="0.2">
      <c r="A99" s="150" t="str">
        <f>IF('Massas Corrigidas'!I26="","","Massa da amostra")</f>
        <v>Massa da amostra</v>
      </c>
      <c r="B99" s="215">
        <f>'Massas Corrigidas'!K28</f>
        <v>0.30321939355999916</v>
      </c>
      <c r="C99" s="265">
        <f>IF(B99="","",'Massas Corrigidas'!L28)</f>
        <v>1.4142135623730951E-5</v>
      </c>
      <c r="D99" s="266">
        <f>IF(A98="","",IF(B99="",1,B100/B99))</f>
        <v>166.77636071817932</v>
      </c>
      <c r="E99" s="245">
        <f>IF(B99="","",IF(D99=1,0,(((C100/B99)^2)+(((B100*C99)/(B99^2))^2))^0.5))</f>
        <v>7.7789470323022056E-3</v>
      </c>
      <c r="F99" s="205"/>
      <c r="G99" s="141"/>
      <c r="H99" s="270">
        <f>IF('Entrada das intensidades'!B25&gt;0,'Entrada das intensidades'!B25,"")</f>
        <v>176960.9657142857</v>
      </c>
      <c r="I99" s="327"/>
      <c r="J99" s="209">
        <f t="shared" ref="J99:J105" si="2">IFERROR(((H99-$P$8)/$P$7)*$D$105,"")</f>
        <v>1.9822249139984813</v>
      </c>
      <c r="K99" s="205"/>
      <c r="L99" s="205"/>
      <c r="M99" s="205"/>
      <c r="N99" s="216"/>
      <c r="O99" s="209"/>
      <c r="P99" s="205"/>
      <c r="Q99" s="205"/>
      <c r="R99" s="326" t="str">
        <f>IF(R98="","","ueff")</f>
        <v>ueff</v>
      </c>
      <c r="S99" s="267" t="str">
        <f>IFERROR(IF($S$96=1,(O98^4)/(((M98^4)/(7-1))+((N98^4)/(42-1))),""),"")</f>
        <v/>
      </c>
      <c r="T99" s="115"/>
      <c r="U99" s="326" t="str">
        <f>IF(U98="","","ueff")</f>
        <v/>
      </c>
      <c r="V99" s="267" t="str">
        <f>IFERROR(IF($S$96=2,((SQRT(SUMSQ($O$98,$O$107))/SQRT($S$96))^4)/((((SQRT(SUMSQ($N$98,$N$107)))/SQRT($S$96))^4/(42-1))+(((SQRT(SUMSQ($M$98,$M$107)))/SQRT($S$96))^4/(7-1))),""),"")</f>
        <v/>
      </c>
      <c r="W99" s="148"/>
      <c r="X99" s="326" t="str">
        <f>IF(X98="","","ueff")</f>
        <v/>
      </c>
      <c r="Y99" s="267" t="str">
        <f>IFERROR(IF($S$96=3,((SQRT(SUMSQ($O$98,$O$107,$O$116))/SQRT($S$96))^4)/((((SQRT(SUMSQ($N$98,$N$107,$N$116)))/SQRT($S$96))^4/(42-1))+(((SQRT(SUMSQ($M$98,$M$107,$M$116)))/SQRT($S$96))^4/(7-1))),""),"")</f>
        <v/>
      </c>
      <c r="Z99" s="148"/>
      <c r="AA99" s="326" t="str">
        <f>IF(AA98="","","Fração mássica da amostra (mg.kg-1)")</f>
        <v/>
      </c>
      <c r="AB99" s="325"/>
      <c r="AC99" s="148" t="str">
        <f>IFERROR(IF($S$96=4,AVERAGE(J99:J105,J108:J114,J117:J123,J126:J132),""),"")</f>
        <v/>
      </c>
      <c r="AD99" s="326" t="str">
        <f>IF(AD98="","","Fração mássica da amostra (mg.kg-1)")</f>
        <v/>
      </c>
      <c r="AE99" s="325"/>
      <c r="AF99" s="148" t="str">
        <f>IFERROR(IF($S$96=5,AVERAGE(J99:J105,J108:J114,J117:J123,J126:J132,J135:J141),""),"")</f>
        <v/>
      </c>
      <c r="AG99" s="326" t="str">
        <f>IF(AG98="","","ueff")</f>
        <v/>
      </c>
      <c r="AH99" s="267" t="str">
        <f>IFERROR(IF($S$96=6,((SQRT(SUMSQ($O$98,$O$107,$O$116))/SQRT($S$96))^4)/((((SQRT(SUMSQ($N$98,$N$107,$N$116)))/SQRT($S$96))^4/(42-1))+(((SQRT(SUMSQ($M$98,$M$107,$M$116)))/SQRT($S$96))^4/(7-1))),""),"")</f>
        <v/>
      </c>
      <c r="AI99" s="148"/>
      <c r="AJ99" s="326" t="str">
        <f>IF(AJ98="","","ueff")</f>
        <v/>
      </c>
      <c r="AK99" s="267" t="str">
        <f>IFERROR(IF($S$96=7,((SQRT(SUMSQ($O$98,$O$107,$O$116,O125,O134,O143,O152))/SQRT($S$96))^4)/((((SQRT(SUMSQ($N$98,$N$107,$N$116,$N$125,$N$134,$N$143,$N$152)))/SQRT($S$96))^4/(42-1))+(((SQRT(SUMSQ($M$98,$M$107,$M$116,$M$125,$M$134,$M$143,$M$152)))/SQRT($S$96))^4/(7-1))),""),"")</f>
        <v/>
      </c>
      <c r="AL99" s="148"/>
    </row>
    <row r="100" spans="1:38" x14ac:dyDescent="0.2">
      <c r="A100" s="150" t="str">
        <f>IF('Massas Corrigidas'!I26="","","Massa total")</f>
        <v>Massa total</v>
      </c>
      <c r="B100" s="215">
        <f>'Massas Corrigidas'!K29</f>
        <v>50.569826957109996</v>
      </c>
      <c r="C100" s="265">
        <f>IF(B100="","",'Massas Corrigidas'!L29)</f>
        <v>2.6925824035672523E-5</v>
      </c>
      <c r="D100" s="205"/>
      <c r="E100" s="246"/>
      <c r="F100" s="253"/>
      <c r="G100" s="141"/>
      <c r="H100" s="270">
        <f>IF('Entrada das intensidades'!B26&gt;0,'Entrada das intensidades'!B26,"")</f>
        <v>176614.66571428571</v>
      </c>
      <c r="I100" s="327"/>
      <c r="J100" s="209">
        <f t="shared" si="2"/>
        <v>1.9783285140095028</v>
      </c>
      <c r="K100" s="205"/>
      <c r="L100" s="205"/>
      <c r="M100" s="205"/>
      <c r="N100" s="216"/>
      <c r="O100" s="209"/>
      <c r="P100" s="205"/>
      <c r="Q100" s="205"/>
      <c r="R100" s="326" t="str">
        <f>IF(R98="","","K 0,05")</f>
        <v>K 0,05</v>
      </c>
      <c r="S100" s="135" t="str">
        <f>IFERROR(IF($S$96=1,TINV(0.05,S99),""),"")</f>
        <v/>
      </c>
      <c r="T100" s="115"/>
      <c r="U100" s="326" t="str">
        <f>IF(U98="","","K 0,05")</f>
        <v/>
      </c>
      <c r="V100" s="148" t="str">
        <f>IFERROR(IF($S$96=2,TINV(0.05,V99),""),"")</f>
        <v/>
      </c>
      <c r="W100" s="148"/>
      <c r="X100" s="326" t="str">
        <f>IF(X98="","","K 0,05")</f>
        <v/>
      </c>
      <c r="Y100" s="135" t="str">
        <f>IFERROR(IF($S$96=3,TINV(0.05,Y99),""),"")</f>
        <v/>
      </c>
      <c r="Z100" s="148"/>
      <c r="AA100" s="326" t="str">
        <f>IF(AA98="","","Incerteza expandida (mg.kg-1)")</f>
        <v/>
      </c>
      <c r="AB100" s="325"/>
      <c r="AC100" s="148" t="str">
        <f>IF(Q107="","",IF($S$96=4,2*(SQRT(SUMSQ(S100,Q107,Q116,Q125))/SQRT($S$96)),""))</f>
        <v/>
      </c>
      <c r="AD100" s="326" t="str">
        <f>IF(AD98="","","Incerteza expandida (mg.kg-1)")</f>
        <v/>
      </c>
      <c r="AE100" s="325"/>
      <c r="AF100" s="148" t="str">
        <f>IF(S100="","",IF($S$96=5,2*(SQRT(SUMSQ(S100,Q107,Q116,Q125,Q134))/SQRT($S$96)),""))</f>
        <v/>
      </c>
      <c r="AG100" s="326" t="str">
        <f>IF(AG98="","","K 0,05")</f>
        <v/>
      </c>
      <c r="AH100" s="135" t="str">
        <f>IFERROR(IF($S$96=6,TINV(0.05,AH99),""),"")</f>
        <v/>
      </c>
      <c r="AI100" s="148"/>
      <c r="AJ100" s="326" t="str">
        <f>IF(AJ98="","","K 0,05")</f>
        <v/>
      </c>
      <c r="AK100" s="135" t="str">
        <f>IFERROR(IF($S$96=7,TINV(0.05,AK99),""),"")</f>
        <v/>
      </c>
      <c r="AL100" s="148"/>
    </row>
    <row r="101" spans="1:38" x14ac:dyDescent="0.2">
      <c r="A101" s="141" t="str">
        <f>IF('Massas Corrigidas'!P26="","",CONCATENATE("Segunda diluição Amostra ",'Massas Corrigidas'!I26))</f>
        <v>Segunda diluição Amostra AMA</v>
      </c>
      <c r="B101" s="205"/>
      <c r="C101" s="213"/>
      <c r="D101" s="214"/>
      <c r="E101" s="247"/>
      <c r="F101" s="253"/>
      <c r="G101" s="141"/>
      <c r="H101" s="270">
        <f>IF('Entrada das intensidades'!B27&gt;0,'Entrada das intensidades'!B27,"")</f>
        <v>179072.51571428572</v>
      </c>
      <c r="I101" s="327"/>
      <c r="J101" s="209">
        <f t="shared" si="2"/>
        <v>2.0059830525971747</v>
      </c>
      <c r="K101" s="205"/>
      <c r="L101" s="205"/>
      <c r="M101" s="205"/>
      <c r="N101" s="216"/>
      <c r="O101" s="209"/>
      <c r="P101" s="205"/>
      <c r="Q101" s="205"/>
      <c r="R101" s="326" t="str">
        <f>IF(R98="","","Fração mássica da amostra (mg.kg-1)")</f>
        <v>Fração mássica da amostra (mg.kg-1)</v>
      </c>
      <c r="S101" s="148">
        <f>IFERROR(IF($S$96=1,AVERAGE(J99:J105),""),"")</f>
        <v>2.0014430337461087</v>
      </c>
      <c r="T101" s="311"/>
      <c r="U101" s="326" t="str">
        <f>IF(U98="","","Fração mássica da amostra (mg.kg-1)")</f>
        <v/>
      </c>
      <c r="V101" s="148" t="str">
        <f>IFERROR(IF($S$96=2,AVERAGE($J$98,$J$107),""),"")</f>
        <v/>
      </c>
      <c r="X101" s="326" t="str">
        <f>IF(X98="","","Fração mássica da amostra (mg.kg-1)")</f>
        <v/>
      </c>
      <c r="Y101" s="148" t="str">
        <f>IFERROR(IF($S$96=3,AVERAGE($J$98,$J$107,$J$116),""),"")</f>
        <v/>
      </c>
      <c r="AG101" s="326" t="str">
        <f>IF(AG98="","","Fração mássica da amostra (mg.kg-1)")</f>
        <v/>
      </c>
      <c r="AH101" s="148" t="str">
        <f>IFERROR(IF($S$96=6,AVERAGE($J$98,$J$107,$J$116),""),"")</f>
        <v/>
      </c>
      <c r="AI101" s="198"/>
      <c r="AJ101" s="326" t="str">
        <f>IF(AJ98="","","Fração mássica da amostra (mg.kg-1)")</f>
        <v/>
      </c>
      <c r="AK101" s="148" t="str">
        <f>IFERROR(IF($S$96=7,AVERAGE($J$98,$J$107,$J$116,$J$125,$J$134,$J$143,$J$152),""),"")</f>
        <v/>
      </c>
      <c r="AL101" s="198"/>
    </row>
    <row r="102" spans="1:38" x14ac:dyDescent="0.2">
      <c r="A102" s="150" t="str">
        <f>IF('Massas Corrigidas'!$P$26="","","Massa da amostra")</f>
        <v>Massa da amostra</v>
      </c>
      <c r="B102" s="215" t="str">
        <f>'Massas Corrigidas'!R28</f>
        <v/>
      </c>
      <c r="C102" s="265" t="str">
        <f>IF(B102="","",'Massas Corrigidas'!S28)</f>
        <v/>
      </c>
      <c r="D102" s="244">
        <f>IF(B102="",D99,B103/B102*D99)</f>
        <v>166.77636071817932</v>
      </c>
      <c r="E102" s="268">
        <f>IF(B102="",E99,D102*((((((C100/B99)^2)+(((B100*C99)/(B99^2))^2))^0.5/(B100/B99))^2+((((C103/B102)^2+(B103*C102/(B102^2))^2))^0.5/(B103/B102))^2)^0.5))</f>
        <v>7.7789470323022056E-3</v>
      </c>
      <c r="F102" s="205"/>
      <c r="G102" s="141"/>
      <c r="H102" s="270">
        <f>IF('Entrada das intensidades'!B28&gt;0,'Entrada das intensidades'!B28,"")</f>
        <v>178177.00571428571</v>
      </c>
      <c r="I102" s="327"/>
      <c r="J102" s="209">
        <f t="shared" si="2"/>
        <v>1.995907207508725</v>
      </c>
      <c r="K102" s="205"/>
      <c r="L102" s="205"/>
      <c r="M102" s="205"/>
      <c r="N102" s="216"/>
      <c r="O102" s="209"/>
      <c r="P102" s="205"/>
      <c r="Q102" s="205"/>
      <c r="R102" s="326" t="str">
        <f>IF(R98="","","Incerteza expandida (mg.kg-1)")</f>
        <v>Incerteza expandida (mg.kg-1)</v>
      </c>
      <c r="S102" s="148" t="str">
        <f>IFERROR(IF($S$96=1,S100*J98*O98,""),"")</f>
        <v/>
      </c>
      <c r="T102" s="115"/>
      <c r="U102" s="326" t="str">
        <f>IF(U98="","","Incerteza expandida (mg.kg-1)")</f>
        <v/>
      </c>
      <c r="V102" s="148" t="str">
        <f>IFERROR(IF($S$96=2,V100*V101*(SQRT(SUMSQ($O$98,$O$107))/SQRT($S$96)),""),"")</f>
        <v/>
      </c>
      <c r="X102" s="326" t="str">
        <f>IF(X98="","","Incerteza expandida (mg.kg-1)")</f>
        <v/>
      </c>
      <c r="Y102" s="148" t="str">
        <f>IFERROR(IF($S$96=3,Y100*Y101*(SQRT(SUMSQ($O$98,$O$107,$O$116))/SQRT($S$96)),""),"")</f>
        <v/>
      </c>
      <c r="AG102" s="326" t="str">
        <f>IF(AG98="","","Incerteza expandida (mg.kg-1)")</f>
        <v/>
      </c>
      <c r="AH102" s="148" t="str">
        <f>IFERROR(IF($S$96=6,AH100*AH101*(SQRT(SUMSQ($O$98,$O$107,$O$116))/SQRT($S$96)),""),"")</f>
        <v/>
      </c>
      <c r="AI102" s="198"/>
      <c r="AJ102" s="326" t="str">
        <f>IF(AJ98="","","Incerteza expandida (mg.kg-1)")</f>
        <v/>
      </c>
      <c r="AK102" s="148" t="str">
        <f>IFERROR(IF($S$96=7,AK100*AK101*(SQRT(SUMSQ($O$98,$O$107,$O$116,$O$125,$O$134,$O$143,$O$152))/SQRT($S$96)),""),"")</f>
        <v/>
      </c>
      <c r="AL102" s="198"/>
    </row>
    <row r="103" spans="1:38" x14ac:dyDescent="0.2">
      <c r="A103" s="150" t="str">
        <f>IF('Massas Corrigidas'!$P$26="","","Massa total")</f>
        <v>Massa total</v>
      </c>
      <c r="B103" s="215" t="str">
        <f>'Massas Corrigidas'!R29</f>
        <v/>
      </c>
      <c r="C103" s="265" t="str">
        <f>IF(B103="","",'Massas Corrigidas'!S29)</f>
        <v/>
      </c>
      <c r="D103" s="205"/>
      <c r="E103" s="220"/>
      <c r="F103" s="253"/>
      <c r="G103" s="141"/>
      <c r="H103" s="270">
        <f>IF('Entrada das intensidades'!B29&gt;0,'Entrada das intensidades'!B29,"")</f>
        <v>179232.25571428571</v>
      </c>
      <c r="I103" s="327"/>
      <c r="J103" s="209">
        <f t="shared" si="2"/>
        <v>2.0077803697621746</v>
      </c>
      <c r="K103" s="205"/>
      <c r="L103" s="205"/>
      <c r="M103" s="205"/>
      <c r="N103" s="216"/>
      <c r="O103" s="209"/>
      <c r="P103" s="205"/>
      <c r="Q103" s="205"/>
      <c r="R103" s="214"/>
      <c r="S103" s="214"/>
      <c r="T103" s="115"/>
    </row>
    <row r="104" spans="1:38" x14ac:dyDescent="0.2">
      <c r="A104" s="141" t="str">
        <f>IF('Massas Corrigidas'!W26="","",CONCATENATE("Terceira diluição Amostra ",'Massas Corrigidas'!I26))</f>
        <v/>
      </c>
      <c r="B104" s="205"/>
      <c r="C104" s="213"/>
      <c r="D104" s="214"/>
      <c r="E104" s="247"/>
      <c r="F104" s="253"/>
      <c r="G104" s="141"/>
      <c r="H104" s="270">
        <f>IF('Entrada das intensidades'!B30&gt;0,'Entrada das intensidades'!B30,"")</f>
        <v>179607.62571428571</v>
      </c>
      <c r="I104" s="327"/>
      <c r="J104" s="209">
        <f t="shared" si="2"/>
        <v>2.0120038513211198</v>
      </c>
      <c r="K104" s="205"/>
      <c r="L104" s="205"/>
      <c r="M104" s="205"/>
      <c r="N104" s="216"/>
      <c r="O104" s="209"/>
      <c r="P104" s="205"/>
      <c r="Q104" s="205"/>
      <c r="R104" s="214"/>
      <c r="S104" s="214"/>
      <c r="T104" s="115"/>
    </row>
    <row r="105" spans="1:38" x14ac:dyDescent="0.2">
      <c r="A105" s="150" t="str">
        <f>IF('Massas Corrigidas'!$W$26="","","Massa da amostra")</f>
        <v/>
      </c>
      <c r="B105" s="215" t="str">
        <f>'Massas Corrigidas'!Y28</f>
        <v/>
      </c>
      <c r="C105" s="265" t="str">
        <f>IF(B105="","",'Massas Corrigidas'!Z28)</f>
        <v/>
      </c>
      <c r="D105" s="246">
        <f>IF(B105="",D102,B106/B105*D102)</f>
        <v>166.77636071817932</v>
      </c>
      <c r="E105" s="269">
        <f>IF(B105="",E102,D105*(((((C100/B99)^2)+(((B100*C99)/(B99^2))^2))^0.5/(B100/B99))^2+((((C103/B102)^2+(B103*C102/(B102^2))^2))^0.5/(B103/B102))^2+(((((C106/B105)^2+(B106*C105/(B105^2))^2))^0.5)/(B106/B105))^2)^0.5)</f>
        <v>7.7789470323022056E-3</v>
      </c>
      <c r="F105" s="205"/>
      <c r="G105" s="141"/>
      <c r="H105" s="270">
        <f>IF('Entrada das intensidades'!B31&gt;0,'Entrada das intensidades'!B31,"")</f>
        <v>181018.0557142857</v>
      </c>
      <c r="I105" s="327"/>
      <c r="J105" s="209">
        <f t="shared" si="2"/>
        <v>2.0278733270255809</v>
      </c>
      <c r="K105" s="205"/>
      <c r="L105" s="205"/>
      <c r="M105" s="205"/>
      <c r="N105" s="216"/>
      <c r="O105" s="209"/>
      <c r="P105" s="205"/>
      <c r="Q105" s="205"/>
      <c r="R105" s="214"/>
      <c r="S105" s="214"/>
      <c r="T105" s="115"/>
    </row>
    <row r="106" spans="1:38" x14ac:dyDescent="0.2">
      <c r="A106" s="150" t="str">
        <f>IF('Massas Corrigidas'!$W$26="","","Massa total")</f>
        <v/>
      </c>
      <c r="B106" s="215" t="str">
        <f>'Massas Corrigidas'!Y29</f>
        <v/>
      </c>
      <c r="C106" s="265" t="str">
        <f>IF(B106="","",'Massas Corrigidas'!Z29)</f>
        <v/>
      </c>
      <c r="D106" s="205"/>
      <c r="E106" s="247"/>
      <c r="G106" s="141"/>
      <c r="H106" s="270"/>
      <c r="I106" s="327"/>
      <c r="J106" s="209"/>
      <c r="K106" s="205"/>
      <c r="L106" s="205"/>
      <c r="M106" s="205"/>
      <c r="N106" s="216"/>
      <c r="O106" s="209"/>
      <c r="P106" s="205"/>
      <c r="Q106" s="205"/>
      <c r="R106" s="214"/>
      <c r="S106" s="214"/>
      <c r="T106" s="115"/>
    </row>
    <row r="107" spans="1:38" x14ac:dyDescent="0.2">
      <c r="A107" s="141" t="str">
        <f>IF('Massas Corrigidas'!L31="","",CONCATENATE("Primeira diluição Amostra ",'Massas Corrigidas'!I31))</f>
        <v>Primeira diluição Amostra AMB</v>
      </c>
      <c r="B107" s="205"/>
      <c r="C107" s="213"/>
      <c r="D107" s="205"/>
      <c r="E107" s="270"/>
      <c r="G107" s="262" t="str">
        <f>IF('Massas Corrigidas'!I31="","",CONCATENATE("Amostra ",'Massas Corrigidas'!I31))</f>
        <v>Amostra AMB</v>
      </c>
      <c r="H107" s="270">
        <f>IFERROR(AVERAGE(H108:H114),"")</f>
        <v>179384.79285714283</v>
      </c>
      <c r="I107" s="327">
        <f>IFERROR(STDEV(H108:H114),"")</f>
        <v>1391.2606711386425</v>
      </c>
      <c r="J107" s="216">
        <f>IFERROR(AVERAGE(J108:J114),"")</f>
        <v>2.0229851297889145</v>
      </c>
      <c r="K107" s="263">
        <f>IF(H107="","",(E114/D114))</f>
        <v>4.7294921058262535E-5</v>
      </c>
      <c r="L107" s="264" t="e">
        <f t="shared" ref="L107" si="3">IF(H107="","",IFERROR(((($B$48/$B$47)^2+($B$51/$B$50)^2+($B$54/$B$53)^2+($B$57/$B$56)^2+($B$60/$B$59)^2+($B$63/$B$62)^2)^0.5),((($B$48/$B$47)^2+($B$51/$B$50)^2+($B$54/$B$53)^2+($B$57/$B$56)^2+($B$60/$B$59)^2)^0.5)))</f>
        <v>#VALUE!</v>
      </c>
      <c r="M107" s="264">
        <f>IF(J107="","",STDEV(J108:J114)/J107)</f>
        <v>7.7899068614827342E-3</v>
      </c>
      <c r="N107" s="264">
        <f>IF(H107="","",((($P$10/$P$7)*(SQRT((1/$E$12)+(1/$E$10)+(((J107/D114)-$P$16)^2)/$P$18))))/(J107/D114))</f>
        <v>8.1364738858980667E-3</v>
      </c>
      <c r="O107" s="264" t="e">
        <f>IF(H107="","",(SQRT(L107^2+M107^2+N107^2+K107^2)))</f>
        <v>#VALUE!</v>
      </c>
      <c r="P107" s="271"/>
      <c r="Q107" s="209"/>
      <c r="R107" s="590" t="str">
        <f>IF($J$107="","",IF($S$96=1,CONCATENATE("Resultado final amostra ", 'Massas Corrigidas'!I31),""))</f>
        <v>Resultado final amostra AMB</v>
      </c>
      <c r="S107" s="590"/>
      <c r="T107" s="145"/>
      <c r="U107" s="590"/>
      <c r="V107" s="590"/>
      <c r="W107" s="590"/>
      <c r="X107" s="590"/>
      <c r="Y107" s="590"/>
      <c r="Z107" s="590"/>
      <c r="AA107" s="590"/>
      <c r="AB107" s="590"/>
      <c r="AC107" s="590"/>
      <c r="AD107" s="590"/>
      <c r="AE107" s="590"/>
      <c r="AF107" s="590"/>
    </row>
    <row r="108" spans="1:38" x14ac:dyDescent="0.2">
      <c r="A108" s="150" t="str">
        <f>IF('Massas Corrigidas'!$I$31="","","Massa da amostra")</f>
        <v>Massa da amostra</v>
      </c>
      <c r="B108" s="215">
        <f>'Massas Corrigidas'!K33</f>
        <v>0.29903940191999823</v>
      </c>
      <c r="C108" s="265">
        <f>IF(B108="","",'Massas Corrigidas'!L33)</f>
        <v>1.4142135623730951E-5</v>
      </c>
      <c r="D108" s="272">
        <f>IF(A107="","",IF(B108="",1,B109/B108))</f>
        <v>167.89582543631479</v>
      </c>
      <c r="E108" s="245">
        <f>IF(B108="","",IF(D108=1,0,(((C109/B108)^2)+(((B109*C108)/(B108^2))^2))^0.5))</f>
        <v>7.9406198100223351E-3</v>
      </c>
      <c r="G108" s="141"/>
      <c r="H108" s="270">
        <f>IF('Entrada das intensidades'!F25&gt;0,'Entrada das intensidades'!F25,"")</f>
        <v>177341.34571428571</v>
      </c>
      <c r="I108" s="327"/>
      <c r="J108" s="209">
        <f t="shared" ref="J108:J114" si="4">IFERROR(((H108-$P$8)/$P$7)*$D$114,"")</f>
        <v>1.9998389215723784</v>
      </c>
      <c r="K108" s="205"/>
      <c r="L108" s="205"/>
      <c r="M108" s="205"/>
      <c r="N108" s="216"/>
      <c r="O108" s="209"/>
      <c r="P108" s="205"/>
      <c r="Q108" s="205"/>
      <c r="R108" s="326" t="str">
        <f>IF(R107="","","ueff")</f>
        <v>ueff</v>
      </c>
      <c r="S108" s="267" t="str">
        <f>IFERROR(IF($S$96=1,(O107^4)/(((M107^4)/(7-1))+((N107^4)/(42-1))),""),"")</f>
        <v/>
      </c>
      <c r="T108" s="115"/>
      <c r="U108" s="326"/>
      <c r="V108" s="325"/>
      <c r="W108" s="148"/>
      <c r="X108" s="326"/>
      <c r="Y108" s="325"/>
      <c r="Z108" s="148"/>
      <c r="AA108" s="326"/>
      <c r="AB108" s="325"/>
      <c r="AC108" s="148"/>
      <c r="AD108" s="326"/>
      <c r="AE108" s="325"/>
      <c r="AF108" s="148"/>
    </row>
    <row r="109" spans="1:38" x14ac:dyDescent="0.2">
      <c r="A109" s="150" t="str">
        <f>IF('Massas Corrigidas'!$I$31="","","Massa total")</f>
        <v>Massa total</v>
      </c>
      <c r="B109" s="215">
        <f>'Massas Corrigidas'!K34</f>
        <v>50.207467223340004</v>
      </c>
      <c r="C109" s="265">
        <f>IF(B109="","",'Massas Corrigidas'!L34)</f>
        <v>2.6925824035672523E-5</v>
      </c>
      <c r="D109" s="205"/>
      <c r="E109" s="246"/>
      <c r="G109" s="141"/>
      <c r="H109" s="270">
        <f>IF('Entrada das intensidades'!F26&gt;0,'Entrada das intensidades'!F26,"")</f>
        <v>178571.10571428572</v>
      </c>
      <c r="I109" s="327"/>
      <c r="J109" s="209">
        <f t="shared" si="4"/>
        <v>2.0137684626989323</v>
      </c>
      <c r="K109" s="205"/>
      <c r="L109" s="205"/>
      <c r="M109" s="205"/>
      <c r="N109" s="216"/>
      <c r="O109" s="209"/>
      <c r="P109" s="205"/>
      <c r="Q109" s="205"/>
      <c r="R109" s="326" t="str">
        <f>IF(R107="","","K 0,05")</f>
        <v>K 0,05</v>
      </c>
      <c r="S109" s="135" t="str">
        <f>IFERROR(IF($S$96=1,TINV(0.05,S108),""),"")</f>
        <v/>
      </c>
      <c r="T109" s="115"/>
      <c r="U109" s="326"/>
      <c r="V109" s="325"/>
      <c r="W109" s="148"/>
      <c r="X109" s="326"/>
      <c r="Y109" s="325"/>
      <c r="Z109" s="148"/>
      <c r="AA109" s="326"/>
      <c r="AB109" s="325"/>
      <c r="AC109" s="148"/>
      <c r="AD109" s="326"/>
      <c r="AE109" s="325"/>
      <c r="AF109" s="148"/>
    </row>
    <row r="110" spans="1:38" x14ac:dyDescent="0.2">
      <c r="A110" s="141" t="str">
        <f>IF('Massas Corrigidas'!P31="","",CONCATENATE("Segunda diluição Amostra ",'Massas Corrigidas'!I31))</f>
        <v>Segunda diluição Amostra AMB</v>
      </c>
      <c r="B110" s="205"/>
      <c r="C110" s="213"/>
      <c r="D110" s="214"/>
      <c r="E110" s="247"/>
      <c r="G110" s="141"/>
      <c r="H110" s="270">
        <f>IF('Entrada das intensidades'!F27&gt;0,'Entrada das intensidades'!F27,"")</f>
        <v>178315.7157142857</v>
      </c>
      <c r="I110" s="327"/>
      <c r="J110" s="209">
        <f t="shared" si="4"/>
        <v>2.0108756498669078</v>
      </c>
      <c r="K110" s="205"/>
      <c r="L110" s="205"/>
      <c r="M110" s="205"/>
      <c r="N110" s="216"/>
      <c r="O110" s="209"/>
      <c r="P110" s="205"/>
      <c r="Q110" s="205"/>
      <c r="R110" s="326" t="str">
        <f>IF(R107="","","Fração mássica da amostra (mg.kg-1)")</f>
        <v>Fração mássica da amostra (mg.kg-1)</v>
      </c>
      <c r="S110" s="148">
        <f>IFERROR(IF($S$96=1,AVERAGE(J108:J114),""),"")</f>
        <v>2.0229851297889145</v>
      </c>
      <c r="T110" s="311"/>
    </row>
    <row r="111" spans="1:38" x14ac:dyDescent="0.2">
      <c r="A111" s="150" t="str">
        <f>IF('Massas Corrigidas'!$P$31="","","Massa da amostra")</f>
        <v>Massa da amostra</v>
      </c>
      <c r="B111" s="215" t="str">
        <f>'Massas Corrigidas'!R33</f>
        <v/>
      </c>
      <c r="C111" s="265" t="str">
        <f>IF(B111="","",'Massas Corrigidas'!S33)</f>
        <v/>
      </c>
      <c r="D111" s="272">
        <f>IF(B111="",D108,B112/B111*D108)</f>
        <v>167.89582543631479</v>
      </c>
      <c r="E111" s="245">
        <f>IF(B111="",E108,D111*((((((C109/B108)^2)+(((B109*C108)/(B108^2))^2))^0.5/(B109/B108))^2+((((C112/B111)^2+(B112*C111/(B111^2))^2))^0.5/(B112/B111))^2)^0.5))</f>
        <v>7.9406198100223351E-3</v>
      </c>
      <c r="G111" s="141"/>
      <c r="H111" s="270">
        <f>IF('Entrada das intensidades'!F28&gt;0,'Entrada das intensidades'!F28,"")</f>
        <v>179471.1457142857</v>
      </c>
      <c r="I111" s="327"/>
      <c r="J111" s="209">
        <f t="shared" si="4"/>
        <v>2.0239632520851081</v>
      </c>
      <c r="K111" s="205"/>
      <c r="L111" s="205"/>
      <c r="M111" s="205"/>
      <c r="N111" s="216"/>
      <c r="O111" s="209"/>
      <c r="P111" s="205"/>
      <c r="Q111" s="205"/>
      <c r="R111" s="326" t="str">
        <f>IF(R107="","","Incerteza expandida (mg.kg-1)")</f>
        <v>Incerteza expandida (mg.kg-1)</v>
      </c>
      <c r="S111" s="148" t="str">
        <f>IFERROR(IF($S$96=1,S109*J107*O107,""),"")</f>
        <v/>
      </c>
      <c r="T111" s="115"/>
    </row>
    <row r="112" spans="1:38" x14ac:dyDescent="0.2">
      <c r="A112" s="150" t="str">
        <f>IF('Massas Corrigidas'!$P$31="","","Massa total")</f>
        <v>Massa total</v>
      </c>
      <c r="B112" s="215" t="str">
        <f>'Massas Corrigidas'!R34</f>
        <v/>
      </c>
      <c r="C112" s="265" t="str">
        <f>IF(B112="","",'Massas Corrigidas'!S34)</f>
        <v/>
      </c>
      <c r="D112" s="205"/>
      <c r="E112" s="220"/>
      <c r="G112" s="141"/>
      <c r="H112" s="270">
        <f>IF('Entrada das intensidades'!F29&gt;0,'Entrada das intensidades'!F29,"")</f>
        <v>180054.82571428572</v>
      </c>
      <c r="I112" s="327"/>
      <c r="J112" s="209">
        <f t="shared" si="4"/>
        <v>2.0305746189898266</v>
      </c>
      <c r="K112" s="205"/>
      <c r="L112" s="205"/>
      <c r="M112" s="205"/>
      <c r="N112" s="216"/>
      <c r="O112" s="209"/>
      <c r="P112" s="205"/>
      <c r="Q112" s="205"/>
      <c r="R112" s="214"/>
      <c r="S112" s="214"/>
      <c r="T112" s="115"/>
    </row>
    <row r="113" spans="1:32" x14ac:dyDescent="0.2">
      <c r="A113" s="141" t="str">
        <f>IF('Massas Corrigidas'!W31="","",CONCATENATE("Terceira diluição Amostra ",'Massas Corrigidas'!I31))</f>
        <v/>
      </c>
      <c r="B113" s="205"/>
      <c r="C113" s="213"/>
      <c r="D113" s="214"/>
      <c r="E113" s="247"/>
      <c r="G113" s="141"/>
      <c r="H113" s="270">
        <f>IF('Entrada das intensidades'!F30&gt;0,'Entrada das intensidades'!F30,"")</f>
        <v>181245.97571428571</v>
      </c>
      <c r="I113" s="327"/>
      <c r="J113" s="209">
        <f t="shared" si="4"/>
        <v>2.0440668230889147</v>
      </c>
      <c r="K113" s="205"/>
      <c r="L113" s="205"/>
      <c r="M113" s="205"/>
      <c r="N113" s="216"/>
      <c r="O113" s="209"/>
      <c r="P113" s="205"/>
      <c r="Q113" s="205"/>
      <c r="R113" s="214"/>
      <c r="S113" s="214"/>
      <c r="T113" s="115"/>
    </row>
    <row r="114" spans="1:32" x14ac:dyDescent="0.2">
      <c r="A114" s="150" t="str">
        <f>IF('Massas Corrigidas'!$W$31="","","Massa da amostra")</f>
        <v/>
      </c>
      <c r="B114" s="215" t="str">
        <f>'Massas Corrigidas'!Y33</f>
        <v/>
      </c>
      <c r="C114" s="265" t="str">
        <f>IF(B114="","",'Massas Corrigidas'!Z33)</f>
        <v/>
      </c>
      <c r="D114" s="272">
        <f>IF(B114="",D111,B115/B114*D111)</f>
        <v>167.89582543631479</v>
      </c>
      <c r="E114" s="273">
        <f>IF(B114="",E111,D114*(((((C109/B108)^2)+(((B109*C108)/(B108^2))^2))^0.5/(B109/B108))^2+((((C112/B111)^2+(B112*C111/(B111^2))^2))^0.5/(B112/B111))^2+(((((C115/B114)^2+(B115*C114/(B114^2))^2))^0.5)/(B115/B114))^2)^0.5)</f>
        <v>7.9406198100223351E-3</v>
      </c>
      <c r="G114" s="141"/>
      <c r="H114" s="270">
        <f>IF('Entrada das intensidades'!F31&gt;0,'Entrada das intensidades'!F31,"")</f>
        <v>180693.4357142857</v>
      </c>
      <c r="I114" s="327"/>
      <c r="J114" s="209">
        <f t="shared" si="4"/>
        <v>2.0378081802203338</v>
      </c>
      <c r="K114" s="205"/>
      <c r="L114" s="205"/>
      <c r="M114" s="205"/>
      <c r="N114" s="216"/>
      <c r="O114" s="209"/>
      <c r="P114" s="205"/>
      <c r="Q114" s="205"/>
      <c r="R114" s="214"/>
      <c r="S114" s="214"/>
      <c r="T114" s="115"/>
    </row>
    <row r="115" spans="1:32" x14ac:dyDescent="0.2">
      <c r="A115" s="150" t="str">
        <f>IF('Massas Corrigidas'!$W$31="","","Massa total")</f>
        <v/>
      </c>
      <c r="B115" s="215" t="str">
        <f>'Massas Corrigidas'!Y34</f>
        <v/>
      </c>
      <c r="C115" s="265" t="str">
        <f>IF(B115="","",'Massas Corrigidas'!Z34)</f>
        <v/>
      </c>
      <c r="D115" s="205"/>
      <c r="E115" s="247"/>
      <c r="G115" s="141"/>
      <c r="H115" s="270"/>
      <c r="I115" s="327"/>
      <c r="J115" s="209"/>
      <c r="K115" s="205"/>
      <c r="L115" s="205"/>
      <c r="M115" s="205"/>
      <c r="N115" s="216"/>
      <c r="O115" s="209"/>
      <c r="P115" s="205"/>
      <c r="Q115" s="205"/>
      <c r="R115" s="214"/>
      <c r="S115" s="214"/>
      <c r="T115" s="115"/>
    </row>
    <row r="116" spans="1:32" x14ac:dyDescent="0.2">
      <c r="A116" s="141" t="str">
        <f>IF('Massas Corrigidas'!I36="","",CONCATENATE("Primeira diluição Amostra ",'Massas Corrigidas'!I36))</f>
        <v>Primeira diluição Amostra CCQM K158A</v>
      </c>
      <c r="B116" s="205"/>
      <c r="C116" s="205"/>
      <c r="D116" s="205"/>
      <c r="E116" s="270"/>
      <c r="G116" s="262" t="str">
        <f>IF('Massas Corrigidas'!I36="","",CONCATENATE("Amostra ",'Massas Corrigidas'!I36))</f>
        <v>Amostra CCQM K158A</v>
      </c>
      <c r="H116" s="270">
        <f>IFERROR(AVERAGE(H117:H123),"")</f>
        <v>118279.51428571428</v>
      </c>
      <c r="I116" s="327">
        <f>IFERROR(STDEV(H117:H123),"")</f>
        <v>849.94470132725905</v>
      </c>
      <c r="J116" s="216">
        <f>IFERROR(AVERAGE(J117:J123),"")</f>
        <v>1.3433754076429314</v>
      </c>
      <c r="K116" s="263">
        <f>IF(H116="","",(E123/D123))</f>
        <v>4.7018139320622214E-5</v>
      </c>
      <c r="L116" s="264" t="e">
        <f t="shared" ref="L116" si="5">IF(H116="","",IFERROR(((($B$48/$B$47)^2+($B$51/$B$50)^2+($B$54/$B$53)^2+($B$57/$B$56)^2+($B$60/$B$59)^2+($B$63/$B$62)^2)^0.5),((($B$48/$B$47)^2+($B$51/$B$50)^2+($B$54/$B$53)^2+($B$57/$B$56)^2+($B$60/$B$59)^2)^0.5)))</f>
        <v>#VALUE!</v>
      </c>
      <c r="M116" s="264">
        <f>IF(J116="","",STDEV(J117:J123)/J116)</f>
        <v>7.2340288485231675E-3</v>
      </c>
      <c r="N116" s="264">
        <f>IF(H116="","",((($P$10/$P$7)*(SQRT((1/$E$12)+(1/$E$10)+(((J116/D123)-$P$16)^2)/$P$18))))/(J116/D123))</f>
        <v>1.2791436131776208E-2</v>
      </c>
      <c r="O116" s="264" t="e">
        <f>IF(H116="","",(SQRT(L116^2+M116^2+N116^2+K116^2)))</f>
        <v>#VALUE!</v>
      </c>
      <c r="P116" s="271"/>
      <c r="Q116" s="209"/>
      <c r="R116" s="590" t="str">
        <f>IF($J$116="","",IF($S$96=1,CONCATENATE("Resultado final amostra ", 'Massas Corrigidas'!$I$36),""))</f>
        <v>Resultado final amostra CCQM K158A</v>
      </c>
      <c r="S116" s="590"/>
      <c r="T116" s="145"/>
      <c r="U116" s="590" t="str">
        <f>IF($J$116="","",IF($S$96=2,CONCATENATE("Resultado final amostra ", 'Massas Corrigidas'!$I$36),""))</f>
        <v/>
      </c>
      <c r="V116" s="590"/>
      <c r="W116" s="590"/>
      <c r="X116" s="590"/>
      <c r="Y116" s="590"/>
      <c r="Z116" s="590"/>
      <c r="AA116" s="590"/>
      <c r="AB116" s="590"/>
      <c r="AC116" s="590"/>
      <c r="AD116" s="590"/>
      <c r="AE116" s="590"/>
      <c r="AF116" s="590"/>
    </row>
    <row r="117" spans="1:32" x14ac:dyDescent="0.2">
      <c r="A117" s="150" t="str">
        <f>IF('Massas Corrigidas'!$I$36="","","Massa da amostra")</f>
        <v>Massa da amostra</v>
      </c>
      <c r="B117" s="215">
        <f>'Massas Corrigidas'!K38</f>
        <v>0.30079939839999881</v>
      </c>
      <c r="C117" s="265">
        <f>IF(B117="","",'Massas Corrigidas'!L38)</f>
        <v>1.4142135623730951E-5</v>
      </c>
      <c r="D117" s="272">
        <f>IF(A116="","",IF(B117="",1,B118/B117))</f>
        <v>169.47686042589572</v>
      </c>
      <c r="E117" s="245">
        <f>IF(B117="","",IF(D117=1,0,(((C118/B117)^2)+(((B118*C117)/(B117^2))^2))^0.5))</f>
        <v>7.9684866351264101E-3</v>
      </c>
      <c r="G117" s="141"/>
      <c r="H117" s="270">
        <f>IF('Entrada das intensidades'!B34&gt;0,'Entrada das intensidades'!B34,"")</f>
        <v>117608.03571428571</v>
      </c>
      <c r="I117" s="327"/>
      <c r="J117" s="209">
        <f t="shared" ref="J117:J123" si="6">IFERROR(((H117-$P$8)/$P$7)*$D$123,"")</f>
        <v>1.3356979201605323</v>
      </c>
      <c r="K117" s="221"/>
      <c r="L117" s="205"/>
      <c r="M117" s="205"/>
      <c r="N117" s="216"/>
      <c r="O117" s="209"/>
      <c r="P117" s="205"/>
      <c r="Q117" s="205"/>
      <c r="R117" s="326" t="str">
        <f>IF(R116="","","ueff")</f>
        <v>ueff</v>
      </c>
      <c r="S117" s="267" t="str">
        <f>IFERROR(IF($S$96=1,(O116^4)/(((M116^4)/(7-1))+((N116^4)/(42-1))),""),"")</f>
        <v/>
      </c>
      <c r="T117" s="115"/>
      <c r="U117" s="326" t="str">
        <f>IF(U116="","","ueff")</f>
        <v/>
      </c>
      <c r="V117" s="267" t="str">
        <f>IFERROR(IF($S$96=2,(O116^4)/(((M116^4)/(7-1))+((N116^4)/(42-1))),""),"")</f>
        <v/>
      </c>
      <c r="W117" s="148"/>
      <c r="X117" s="326"/>
      <c r="Y117" s="325"/>
      <c r="Z117" s="148"/>
      <c r="AA117" s="326"/>
      <c r="AB117" s="325"/>
      <c r="AC117" s="148"/>
      <c r="AD117" s="326"/>
      <c r="AE117" s="325"/>
      <c r="AF117" s="148"/>
    </row>
    <row r="118" spans="1:32" x14ac:dyDescent="0.2">
      <c r="A118" s="150" t="str">
        <f>IF('Massas Corrigidas'!$I$36="","","Massa total")</f>
        <v>Massa total</v>
      </c>
      <c r="B118" s="215">
        <f>'Massas Corrigidas'!K39</f>
        <v>50.97853765883</v>
      </c>
      <c r="C118" s="265">
        <f>IF(B118="","",'Massas Corrigidas'!L39)</f>
        <v>2.6925824035672523E-5</v>
      </c>
      <c r="D118" s="205"/>
      <c r="E118" s="246"/>
      <c r="G118" s="141"/>
      <c r="H118" s="270">
        <f>IF('Entrada das intensidades'!B35&gt;0,'Entrada das intensidades'!B35,"")</f>
        <v>117349.2757142857</v>
      </c>
      <c r="I118" s="327"/>
      <c r="J118" s="209">
        <f t="shared" si="6"/>
        <v>1.3327393348154792</v>
      </c>
      <c r="K118" s="221"/>
      <c r="L118" s="205"/>
      <c r="M118" s="205"/>
      <c r="N118" s="216"/>
      <c r="O118" s="209"/>
      <c r="P118" s="205"/>
      <c r="Q118" s="205"/>
      <c r="R118" s="326" t="str">
        <f>IF(R116="","","K 0,05")</f>
        <v>K 0,05</v>
      </c>
      <c r="S118" s="135" t="str">
        <f>IFERROR(IF($S$96=1,TINV(0.05,S117),""),"")</f>
        <v/>
      </c>
      <c r="T118" s="115"/>
      <c r="U118" s="326" t="str">
        <f>IF(U116="","","K 0,05")</f>
        <v/>
      </c>
      <c r="V118" s="162" t="str">
        <f>IFERROR(IF($S$96=2,TINV(0.05,V117),""),"")</f>
        <v/>
      </c>
      <c r="W118" s="148"/>
      <c r="X118" s="326"/>
      <c r="Y118" s="325"/>
      <c r="Z118" s="148"/>
      <c r="AA118" s="326"/>
      <c r="AB118" s="325"/>
      <c r="AC118" s="148"/>
      <c r="AD118" s="326"/>
      <c r="AE118" s="325"/>
      <c r="AF118" s="148"/>
    </row>
    <row r="119" spans="1:32" x14ac:dyDescent="0.2">
      <c r="A119" s="141" t="str">
        <f>IF('Massas Corrigidas'!P36="","",CONCATENATE("Segunda diluição Amostra ",'Massas Corrigidas'!I36))</f>
        <v>Segunda diluição Amostra CCQM K158A</v>
      </c>
      <c r="B119" s="205"/>
      <c r="C119" s="213"/>
      <c r="D119" s="214"/>
      <c r="E119" s="247"/>
      <c r="G119" s="141"/>
      <c r="H119" s="270">
        <f>IF('Entrada das intensidades'!B36&gt;0,'Entrada das intensidades'!B36,"")</f>
        <v>117667.00571428571</v>
      </c>
      <c r="I119" s="327"/>
      <c r="J119" s="209">
        <f t="shared" si="6"/>
        <v>1.3363721657077487</v>
      </c>
      <c r="K119" s="221"/>
      <c r="L119" s="205"/>
      <c r="M119" s="205"/>
      <c r="N119" s="216"/>
      <c r="O119" s="209"/>
      <c r="P119" s="205"/>
      <c r="Q119" s="205"/>
      <c r="R119" s="326" t="str">
        <f>IF(R116="","","Fração mássica da amostra (mg.kg-1)")</f>
        <v>Fração mássica da amostra (mg.kg-1)</v>
      </c>
      <c r="S119" s="148">
        <f>IFERROR(IF($S$96=1,AVERAGE(J117:J123),""),"")</f>
        <v>1.3433754076429314</v>
      </c>
      <c r="T119" s="311"/>
      <c r="U119" s="326" t="str">
        <f>IF(U116="","","Fração mássica da amostra (mg.kg-1)")</f>
        <v/>
      </c>
      <c r="V119" s="155" t="str">
        <f>IFERROR(IF($S$96=2,AVERAGE(J116,J125),""),"")</f>
        <v/>
      </c>
    </row>
    <row r="120" spans="1:32" x14ac:dyDescent="0.2">
      <c r="A120" s="150" t="str">
        <f>IF('Massas Corrigidas'!$P$36="","","Massa da amostra")</f>
        <v>Massa da amostra</v>
      </c>
      <c r="B120" s="215" t="str">
        <f>'Massas Corrigidas'!R38</f>
        <v/>
      </c>
      <c r="C120" s="265" t="str">
        <f>IF(B120="","",'Massas Corrigidas'!S38)</f>
        <v/>
      </c>
      <c r="D120" s="272">
        <f>IF(B120="",D117,B121/B120*D117)</f>
        <v>169.47686042589572</v>
      </c>
      <c r="E120" s="245">
        <f>IF(B120="",E117,D120*((((((C118/B117)^2)+(((B118*C117)/(B117^2))^2))^0.5/(B118/B117))^2+((((C121/B120)^2+(B121*C120/(B120^2))^2))^0.5/(B121/B120))^2)^0.5))</f>
        <v>7.9684866351264101E-3</v>
      </c>
      <c r="G120" s="141"/>
      <c r="H120" s="270">
        <f>IF('Entrada das intensidades'!B37&gt;0,'Entrada das intensidades'!B37,"")</f>
        <v>117903.28571428571</v>
      </c>
      <c r="I120" s="327"/>
      <c r="J120" s="209">
        <f t="shared" si="6"/>
        <v>1.339073721378367</v>
      </c>
      <c r="K120" s="221"/>
      <c r="L120" s="205"/>
      <c r="M120" s="205"/>
      <c r="N120" s="216"/>
      <c r="O120" s="209"/>
      <c r="P120" s="205"/>
      <c r="Q120" s="205"/>
      <c r="R120" s="326" t="str">
        <f>IF(R116="","","Incerteza expandida (mg.kg-1)")</f>
        <v>Incerteza expandida (mg.kg-1)</v>
      </c>
      <c r="S120" s="148" t="str">
        <f>IFERROR(IF($S$96=1,S118*J116*O116,""),"")</f>
        <v/>
      </c>
      <c r="T120" s="115"/>
      <c r="U120" s="326" t="str">
        <f>IF(U116="","","Incerteza expandida (mg.kg-1)")</f>
        <v/>
      </c>
      <c r="V120" s="155" t="str">
        <f>IFERROR(IF($S$96=2,V118*AVERAGE(J116,J125)*(SQRT(SUMSQ(O116,O125))/SQRT($S$96)),""),"")</f>
        <v/>
      </c>
    </row>
    <row r="121" spans="1:32" x14ac:dyDescent="0.2">
      <c r="A121" s="150" t="str">
        <f>IF('Massas Corrigidas'!$P$36="","","Massa total")</f>
        <v>Massa total</v>
      </c>
      <c r="B121" s="215" t="str">
        <f>'Massas Corrigidas'!R39</f>
        <v/>
      </c>
      <c r="C121" s="265" t="str">
        <f>IF(B121="","",'Massas Corrigidas'!S39)</f>
        <v/>
      </c>
      <c r="D121" s="205"/>
      <c r="E121" s="220"/>
      <c r="G121" s="141"/>
      <c r="H121" s="270">
        <f>IF('Entrada das intensidades'!B38&gt;0,'Entrada das intensidades'!B38,"")</f>
        <v>118812.98571428571</v>
      </c>
      <c r="I121" s="327"/>
      <c r="J121" s="209">
        <f t="shared" si="6"/>
        <v>1.3494749622517419</v>
      </c>
      <c r="K121" s="221"/>
      <c r="L121" s="205"/>
      <c r="M121" s="205"/>
      <c r="N121" s="216"/>
      <c r="O121" s="209"/>
      <c r="P121" s="205"/>
      <c r="Q121" s="205"/>
      <c r="R121" s="214"/>
      <c r="S121" s="214"/>
      <c r="T121" s="115"/>
    </row>
    <row r="122" spans="1:32" x14ac:dyDescent="0.2">
      <c r="A122" s="141" t="str">
        <f>IF('Massas Corrigidas'!W36="","",CONCATENATE("Terceira diluição Amostra ",'Massas Corrigidas'!I36))</f>
        <v/>
      </c>
      <c r="B122" s="205"/>
      <c r="C122" s="213"/>
      <c r="D122" s="214"/>
      <c r="E122" s="247"/>
      <c r="G122" s="141"/>
      <c r="H122" s="270">
        <f>IF('Entrada das intensidades'!B39&gt;0,'Entrada das intensidades'!B39,"")</f>
        <v>119533.0757142857</v>
      </c>
      <c r="I122" s="327"/>
      <c r="J122" s="209">
        <f t="shared" si="6"/>
        <v>1.357708258437857</v>
      </c>
      <c r="K122" s="221"/>
      <c r="L122" s="205"/>
      <c r="M122" s="205"/>
      <c r="N122" s="216"/>
      <c r="O122" s="209"/>
      <c r="P122" s="205"/>
      <c r="Q122" s="205"/>
      <c r="R122" s="214"/>
      <c r="S122" s="214"/>
      <c r="T122" s="115"/>
    </row>
    <row r="123" spans="1:32" x14ac:dyDescent="0.2">
      <c r="A123" s="150" t="str">
        <f>IF('Massas Corrigidas'!$W$36="","","Massa da amostra")</f>
        <v/>
      </c>
      <c r="B123" s="215" t="str">
        <f>'Massas Corrigidas'!Y38</f>
        <v/>
      </c>
      <c r="C123" s="265" t="str">
        <f>IF(B123="","",'Massas Corrigidas'!Z38)</f>
        <v/>
      </c>
      <c r="D123" s="272">
        <f>IF(B123="",D120,B124/B123*D120)</f>
        <v>169.47686042589572</v>
      </c>
      <c r="E123" s="273">
        <f>IF(B123="",E120,D123*(((((C118/B117)^2)+(((B118*C117)/(B117^2))^2))^0.5/(B118/B117))^2+((((C121/B120)^2+(B121*C120/(B120^2))^2))^0.5/(B121/B120))^2+(((((C124/B123)^2+(B124*C123/(B123^2))^2))^0.5)/(B124/B123))^2)^0.5)</f>
        <v>7.9684866351264101E-3</v>
      </c>
      <c r="G123" s="141"/>
      <c r="H123" s="270">
        <f>IF('Entrada das intensidades'!B40&gt;0,'Entrada das intensidades'!B40,"")</f>
        <v>119082.9357142857</v>
      </c>
      <c r="I123" s="327"/>
      <c r="J123" s="209">
        <f t="shared" si="6"/>
        <v>1.3525614907487935</v>
      </c>
      <c r="K123" s="221"/>
      <c r="L123" s="205"/>
      <c r="M123" s="205"/>
      <c r="N123" s="216"/>
      <c r="O123" s="209"/>
      <c r="P123" s="205"/>
      <c r="Q123" s="205"/>
      <c r="R123" s="214"/>
      <c r="S123" s="214"/>
      <c r="T123" s="115"/>
    </row>
    <row r="124" spans="1:32" x14ac:dyDescent="0.2">
      <c r="A124" s="150" t="str">
        <f>IF('Massas Corrigidas'!$W$36="","","Massa total")</f>
        <v/>
      </c>
      <c r="B124" s="215" t="str">
        <f>'Massas Corrigidas'!Y39</f>
        <v/>
      </c>
      <c r="C124" s="265" t="str">
        <f>IF(B124="","",'Massas Corrigidas'!Z39)</f>
        <v/>
      </c>
      <c r="D124" s="205"/>
      <c r="E124" s="247"/>
      <c r="G124" s="141"/>
      <c r="H124" s="270"/>
      <c r="I124" s="327"/>
      <c r="J124" s="209"/>
      <c r="K124" s="221"/>
      <c r="L124" s="205"/>
      <c r="M124" s="205"/>
      <c r="N124" s="216"/>
      <c r="O124" s="209"/>
      <c r="P124" s="205"/>
      <c r="Q124" s="205"/>
      <c r="R124" s="214"/>
      <c r="S124" s="214"/>
      <c r="T124" s="115"/>
    </row>
    <row r="125" spans="1:32" x14ac:dyDescent="0.2">
      <c r="A125" s="141" t="str">
        <f>IF('Massas Corrigidas'!I41="","",CONCATENATE("Primeira diluição Amostra ",'Massas Corrigidas'!I41))</f>
        <v>Primeira diluição Amostra CCQM K158B</v>
      </c>
      <c r="B125" s="205"/>
      <c r="C125" s="205"/>
      <c r="D125" s="205"/>
      <c r="E125" s="270"/>
      <c r="G125" s="262" t="str">
        <f>IF('Massas Corrigidas'!I41="","",CONCATENATE("Amostra ",'Massas Corrigidas'!I41))</f>
        <v>Amostra CCQM K158B</v>
      </c>
      <c r="H125" s="270">
        <f>IFERROR(AVERAGE(H126:H132),"")</f>
        <v>116201.58714285714</v>
      </c>
      <c r="I125" s="327">
        <f>IFERROR(STDEV(H126:H132),"")</f>
        <v>1038.5325246781072</v>
      </c>
      <c r="J125" s="216">
        <f>IFERROR(AVERAGE(J126:J132),"")</f>
        <v>1.3075038841281821</v>
      </c>
      <c r="K125" s="263">
        <f>IF(H125="","",(E132/D132))</f>
        <v>4.7029138824297977E-5</v>
      </c>
      <c r="L125" s="264" t="e">
        <f t="shared" ref="L125" si="7">IF(H125="","",IFERROR(((($B$48/$B$47)^2+($B$51/$B$50)^2+($B$54/$B$53)^2+($B$57/$B$56)^2+($B$60/$B$59)^2+($B$63/$B$62)^2)^0.5),((($B$48/$B$47)^2+($B$51/$B$50)^2+($B$54/$B$53)^2+($B$57/$B$56)^2+($B$60/$B$59)^2)^0.5)))</f>
        <v>#VALUE!</v>
      </c>
      <c r="M125" s="264">
        <f>IF(J125="","",STDEV(J126:J132)/J125)</f>
        <v>8.9982728687065215E-3</v>
      </c>
      <c r="N125" s="264">
        <f>IF(H125="","",((($P$10/$P$7)*(SQRT((1/$E$12)+(1/$E$10)+(((J125/D132)-$P$16)^2)/$P$18))))/(J125/D132))</f>
        <v>1.3060890983022109E-2</v>
      </c>
      <c r="O125" s="264" t="e">
        <f>IF(H125="","",(SQRT(L125^2+M125^2+N125^2+K125^2)))</f>
        <v>#VALUE!</v>
      </c>
      <c r="P125" s="271"/>
      <c r="Q125" s="209"/>
      <c r="R125" s="590" t="str">
        <f>IF($J$125="","",IF($S$96=1,CONCATENATE("Resultado final amostra ", 'Massas Corrigidas'!$I$41),""))</f>
        <v>Resultado final amostra CCQM K158B</v>
      </c>
      <c r="S125" s="590"/>
      <c r="T125" s="145"/>
      <c r="U125" s="590"/>
      <c r="V125" s="590"/>
      <c r="W125" s="590"/>
      <c r="X125" s="590" t="str">
        <f>IF($J$125="","",IF($S$96=3,CONCATENATE("Resultado final amostra ", 'Massas Corrigidas'!$I$41),""))</f>
        <v/>
      </c>
      <c r="Y125" s="590"/>
      <c r="Z125" s="590"/>
      <c r="AA125" s="590"/>
      <c r="AB125" s="590"/>
      <c r="AC125" s="590"/>
      <c r="AD125" s="590"/>
      <c r="AE125" s="590"/>
      <c r="AF125" s="590"/>
    </row>
    <row r="126" spans="1:32" x14ac:dyDescent="0.2">
      <c r="A126" s="150" t="str">
        <f>IF('Massas Corrigidas'!$I$41="","","Massa da amostra")</f>
        <v>Massa da amostra</v>
      </c>
      <c r="B126" s="215">
        <f>'Massas Corrigidas'!K43</f>
        <v>0.30072939853999792</v>
      </c>
      <c r="C126" s="265">
        <f>IF(B126="","",'Massas Corrigidas'!L43)</f>
        <v>1.4142135623730951E-5</v>
      </c>
      <c r="D126" s="272">
        <f>IF(A125="","",IF(B126="",1,B127/B126))</f>
        <v>167.92118681241439</v>
      </c>
      <c r="E126" s="245">
        <f>IF(B126="","",IF(D126=1,0,(((C127/B126)^2)+(((B127*C126)/(B126^2))^2))^0.5))</f>
        <v>7.8971888061419113E-3</v>
      </c>
      <c r="G126" s="141"/>
      <c r="H126" s="270">
        <f>IF('Entrada das intensidades'!F34&gt;0,'Entrada das intensidades'!F34,"")</f>
        <v>114270.42571428571</v>
      </c>
      <c r="I126" s="327"/>
      <c r="J126" s="209">
        <f t="shared" ref="J126:J132" si="8">IFERROR(((H126-$P$8)/$P$7)*$D$132,"")</f>
        <v>1.2856262365144964</v>
      </c>
      <c r="K126" s="221"/>
      <c r="L126" s="205"/>
      <c r="M126" s="205"/>
      <c r="N126" s="216"/>
      <c r="O126" s="209"/>
      <c r="P126" s="205"/>
      <c r="Q126" s="205"/>
      <c r="R126" s="326" t="str">
        <f>IF(R125="","","ueff")</f>
        <v>ueff</v>
      </c>
      <c r="S126" s="267" t="str">
        <f>IFERROR(IF($S$96=1,(O125^4)/(((M125^4)/(7-1))+((N125^4)/(42-1))),""),"")</f>
        <v/>
      </c>
      <c r="T126" s="115"/>
      <c r="U126" s="326"/>
      <c r="V126" s="325"/>
      <c r="W126" s="148"/>
      <c r="X126" s="326" t="str">
        <f>IF(X125="","","Fração mássica da amostra (mg.kg-1)")</f>
        <v/>
      </c>
      <c r="Y126" s="325"/>
      <c r="Z126" s="148" t="str">
        <f>IFERROR(IF($S$96=3,AVERAGE(J126:J132,J135:J141,J144:J150),""),"")</f>
        <v/>
      </c>
      <c r="AA126" s="326"/>
      <c r="AB126" s="325"/>
      <c r="AC126" s="148"/>
      <c r="AD126" s="326"/>
      <c r="AE126" s="325"/>
      <c r="AF126" s="148"/>
    </row>
    <row r="127" spans="1:32" x14ac:dyDescent="0.2">
      <c r="A127" s="150" t="str">
        <f>IF('Massas Corrigidas'!$I$41="","","Massa total")</f>
        <v>Massa total</v>
      </c>
      <c r="B127" s="215">
        <f>'Massas Corrigidas'!K44</f>
        <v>50.498837512220007</v>
      </c>
      <c r="C127" s="265">
        <f>IF(B127="","",'Massas Corrigidas'!L44)</f>
        <v>2.6925824035672523E-5</v>
      </c>
      <c r="D127" s="205"/>
      <c r="E127" s="246"/>
      <c r="G127" s="141"/>
      <c r="H127" s="270">
        <f>IF('Entrada das intensidades'!F35&gt;0,'Entrada das intensidades'!F35,"")</f>
        <v>115311.0457142857</v>
      </c>
      <c r="I127" s="327"/>
      <c r="J127" s="209">
        <f t="shared" si="8"/>
        <v>1.2974151617296168</v>
      </c>
      <c r="K127" s="221"/>
      <c r="L127" s="205"/>
      <c r="M127" s="205"/>
      <c r="N127" s="216"/>
      <c r="O127" s="209"/>
      <c r="P127" s="205"/>
      <c r="Q127" s="205"/>
      <c r="R127" s="326" t="str">
        <f>IF(R125="","","K 0,05")</f>
        <v>K 0,05</v>
      </c>
      <c r="S127" s="135" t="str">
        <f>IFERROR(IF($S$96=1,TINV(0.05,S126),""),"")</f>
        <v/>
      </c>
      <c r="T127" s="115"/>
      <c r="U127" s="326"/>
      <c r="V127" s="325"/>
      <c r="W127" s="148"/>
      <c r="X127" s="326" t="str">
        <f>IF(X125="","","Incerteza expandida (mg.kg-1)")</f>
        <v/>
      </c>
      <c r="Y127" s="325"/>
      <c r="Z127" s="148" t="str">
        <f>IF(Q125="","",IF($S$96=3,2*(SQRT(SUMSQ(Q125,Q134,Q143))/SQRT($S$96)),""))</f>
        <v/>
      </c>
      <c r="AA127" s="326"/>
      <c r="AB127" s="325"/>
      <c r="AC127" s="148"/>
      <c r="AD127" s="326"/>
      <c r="AE127" s="325"/>
      <c r="AF127" s="148"/>
    </row>
    <row r="128" spans="1:32" x14ac:dyDescent="0.2">
      <c r="A128" s="141" t="str">
        <f>IF('Massas Corrigidas'!P41="","",CONCATENATE("Segunda diluição Amostra ",'Massas Corrigidas'!I41))</f>
        <v>Segunda diluição Amostra CCQM K158B</v>
      </c>
      <c r="B128" s="205"/>
      <c r="C128" s="213"/>
      <c r="D128" s="214"/>
      <c r="E128" s="247"/>
      <c r="G128" s="141"/>
      <c r="H128" s="270">
        <f>IF('Entrada das intensidades'!F36&gt;0,'Entrada das intensidades'!F36,"")</f>
        <v>116426.95571428571</v>
      </c>
      <c r="I128" s="327"/>
      <c r="J128" s="209">
        <f t="shared" si="8"/>
        <v>1.3100570286328141</v>
      </c>
      <c r="K128" s="221"/>
      <c r="L128" s="205"/>
      <c r="M128" s="205"/>
      <c r="N128" s="216"/>
      <c r="O128" s="209"/>
      <c r="P128" s="205"/>
      <c r="Q128" s="205"/>
      <c r="R128" s="326" t="str">
        <f>IF(R125="","","Fração mássica da amostra (mg.kg-1)")</f>
        <v>Fração mássica da amostra (mg.kg-1)</v>
      </c>
      <c r="S128" s="148">
        <f>IFERROR(IF($S$96=1,AVERAGE(J126:J132),""),"")</f>
        <v>1.3075038841281821</v>
      </c>
      <c r="T128" s="311"/>
    </row>
    <row r="129" spans="1:32" x14ac:dyDescent="0.2">
      <c r="A129" s="150" t="str">
        <f>IF('Massas Corrigidas'!$P$41="","","Massa da amostra")</f>
        <v>Massa da amostra</v>
      </c>
      <c r="B129" s="215" t="str">
        <f>'Massas Corrigidas'!R43</f>
        <v/>
      </c>
      <c r="C129" s="265" t="str">
        <f>IF(B129="","",'Massas Corrigidas'!S43)</f>
        <v/>
      </c>
      <c r="D129" s="272">
        <f>IF(B129="",D126,B130/B129*D126)</f>
        <v>167.92118681241439</v>
      </c>
      <c r="E129" s="245">
        <f>IF(B129="",E126,D129*((((((C127/B126)^2)+(((B127*C126)/(B126^2))^2))^0.5/(B127/B126))^2+((((C130/B129)^2+(B130*C129/(B129^2))^2))^0.5/(B130/B129))^2)^0.5))</f>
        <v>7.8971888061419113E-3</v>
      </c>
      <c r="G129" s="141"/>
      <c r="H129" s="270">
        <f>IF('Entrada das intensidades'!F37&gt;0,'Entrada das intensidades'!F37,"")</f>
        <v>116859.9357142857</v>
      </c>
      <c r="I129" s="327"/>
      <c r="J129" s="209">
        <f t="shared" si="8"/>
        <v>1.3149621513862138</v>
      </c>
      <c r="K129" s="221"/>
      <c r="L129" s="205"/>
      <c r="M129" s="205"/>
      <c r="N129" s="216"/>
      <c r="O129" s="209"/>
      <c r="P129" s="205"/>
      <c r="Q129" s="205"/>
      <c r="R129" s="326" t="str">
        <f>IF(R125="","","Incerteza expandida (mg.kg-1)")</f>
        <v>Incerteza expandida (mg.kg-1)</v>
      </c>
      <c r="S129" s="148" t="str">
        <f>IFERROR(IF($S$96=1,S127*J125*O125,""),"")</f>
        <v/>
      </c>
      <c r="T129" s="115"/>
    </row>
    <row r="130" spans="1:32" x14ac:dyDescent="0.2">
      <c r="A130" s="150" t="str">
        <f>IF('Massas Corrigidas'!$P$41="","","Massa total")</f>
        <v>Massa total</v>
      </c>
      <c r="B130" s="215" t="str">
        <f>'Massas Corrigidas'!R44</f>
        <v/>
      </c>
      <c r="C130" s="265" t="str">
        <f>IF(B130="","",'Massas Corrigidas'!S44)</f>
        <v/>
      </c>
      <c r="D130" s="205"/>
      <c r="E130" s="220"/>
      <c r="G130" s="141"/>
      <c r="H130" s="270">
        <f>IF('Entrada das intensidades'!F38&gt;0,'Entrada das intensidades'!F38,"")</f>
        <v>116526.4357142857</v>
      </c>
      <c r="I130" s="327"/>
      <c r="J130" s="209">
        <f t="shared" si="8"/>
        <v>1.3111840128157051</v>
      </c>
      <c r="K130" s="221"/>
      <c r="L130" s="205"/>
      <c r="M130" s="205"/>
      <c r="N130" s="216"/>
      <c r="O130" s="209"/>
      <c r="P130" s="205"/>
      <c r="Q130" s="205"/>
      <c r="R130" s="214"/>
      <c r="S130" s="214"/>
      <c r="T130" s="115"/>
    </row>
    <row r="131" spans="1:32" x14ac:dyDescent="0.2">
      <c r="A131" s="141" t="str">
        <f>IF('Massas Corrigidas'!W41="","",CONCATENATE("Terceira diluição Amostra ",'Massas Corrigidas'!I41))</f>
        <v/>
      </c>
      <c r="B131" s="205"/>
      <c r="C131" s="213"/>
      <c r="D131" s="214"/>
      <c r="E131" s="247"/>
      <c r="G131" s="141"/>
      <c r="H131" s="270">
        <f>IF('Entrada das intensidades'!F39&gt;0,'Entrada das intensidades'!F39,"")</f>
        <v>116837.8557142857</v>
      </c>
      <c r="I131" s="327"/>
      <c r="J131" s="209">
        <f t="shared" si="8"/>
        <v>1.314712012556718</v>
      </c>
      <c r="K131" s="221"/>
      <c r="L131" s="205"/>
      <c r="M131" s="205"/>
      <c r="N131" s="216"/>
      <c r="O131" s="209"/>
      <c r="P131" s="205"/>
      <c r="Q131" s="205"/>
      <c r="R131" s="214"/>
      <c r="S131" s="214"/>
      <c r="T131" s="115"/>
    </row>
    <row r="132" spans="1:32" x14ac:dyDescent="0.2">
      <c r="A132" s="150" t="str">
        <f>IF('Massas Corrigidas'!$W$41="","","Massa da amostra")</f>
        <v/>
      </c>
      <c r="B132" s="215" t="str">
        <f>'Massas Corrigidas'!Y43</f>
        <v/>
      </c>
      <c r="C132" s="265" t="str">
        <f>IF(B132="","",'Massas Corrigidas'!Z43)</f>
        <v/>
      </c>
      <c r="D132" s="272">
        <f>IF(B132="",D129,B133/B132*D129)</f>
        <v>167.92118681241439</v>
      </c>
      <c r="E132" s="273">
        <f>IF(B132="",E129,D132*(((((C127/B126)^2)+(((B127*C126)/(B126^2))^2))^0.5/(B127/B126))^2+((((C130/B129)^2+(B130*C129/(B129^2))^2))^0.5/(B130/B129))^2+(((((C133/B132)^2+(B133*C132/(B132^2))^2))^0.5)/(B133/B132))^2)^0.5)</f>
        <v>7.8971888061419113E-3</v>
      </c>
      <c r="G132" s="141"/>
      <c r="H132" s="270">
        <f>IF('Entrada das intensidades'!F40&gt;0,'Entrada das intensidades'!F40,"")</f>
        <v>117178.45571428571</v>
      </c>
      <c r="I132" s="327"/>
      <c r="J132" s="209">
        <f t="shared" si="8"/>
        <v>1.3185705852617113</v>
      </c>
      <c r="K132" s="221"/>
      <c r="L132" s="205"/>
      <c r="M132" s="205"/>
      <c r="N132" s="216"/>
      <c r="O132" s="209"/>
      <c r="P132" s="205"/>
      <c r="Q132" s="205"/>
      <c r="R132" s="214"/>
      <c r="S132" s="214"/>
      <c r="T132" s="115"/>
    </row>
    <row r="133" spans="1:32" x14ac:dyDescent="0.2">
      <c r="A133" s="150" t="str">
        <f>IF('Massas Corrigidas'!$W$41="","","Massa total")</f>
        <v/>
      </c>
      <c r="B133" s="215" t="str">
        <f>'Massas Corrigidas'!Y44</f>
        <v/>
      </c>
      <c r="C133" s="265" t="str">
        <f>IF(B133="","",'Massas Corrigidas'!Z44)</f>
        <v/>
      </c>
      <c r="D133" s="205"/>
      <c r="E133" s="247"/>
      <c r="G133" s="141"/>
      <c r="H133" s="270"/>
      <c r="I133" s="327"/>
      <c r="J133" s="221"/>
      <c r="K133" s="221"/>
      <c r="L133" s="205"/>
      <c r="M133" s="205"/>
      <c r="N133" s="216"/>
      <c r="O133" s="209"/>
      <c r="P133" s="205"/>
      <c r="Q133" s="205"/>
      <c r="R133" s="214"/>
      <c r="S133" s="214"/>
      <c r="T133" s="115"/>
    </row>
    <row r="134" spans="1:32" x14ac:dyDescent="0.2">
      <c r="A134" s="141" t="str">
        <f>IF('Massas Corrigidas'!I46="","",CONCATENATE("Primeira diluição Amostra ",'Massas Corrigidas'!I46))</f>
        <v>Primeira diluição Amostra CCQM K56A</v>
      </c>
      <c r="B134" s="205"/>
      <c r="C134" s="205"/>
      <c r="D134" s="205"/>
      <c r="E134" s="270"/>
      <c r="G134" s="262" t="str">
        <f>IF('Massas Corrigidas'!I46="","",CONCATENATE("Amostra ",'Massas Corrigidas'!I46))</f>
        <v>Amostra CCQM K56A</v>
      </c>
      <c r="H134" s="270">
        <f>IFERROR(AVERAGE(H135:H141),"")</f>
        <v>727813.48285714281</v>
      </c>
      <c r="I134" s="327">
        <f>IFERROR(STDEV(H135:H141),"")</f>
        <v>5624.2564241083373</v>
      </c>
      <c r="J134" s="221">
        <f>IFERROR(AVERAGE(J135:J141),"")</f>
        <v>8.1139077315166102</v>
      </c>
      <c r="K134" s="263">
        <f>IF(H134="","",(E141/D141))</f>
        <v>4.6593860936679938E-5</v>
      </c>
      <c r="L134" s="264" t="e">
        <f t="shared" ref="L134" si="9">IF(H134="","",IFERROR(((($B$48/$B$47)^2+($B$51/$B$50)^2+($B$54/$B$53)^2+($B$57/$B$56)^2+($B$60/$B$59)^2+($B$63/$B$62)^2)^0.5),((($B$48/$B$47)^2+($B$51/$B$50)^2+($B$54/$B$53)^2+($B$57/$B$56)^2+($B$60/$B$59)^2)^0.5)))</f>
        <v>#VALUE!</v>
      </c>
      <c r="M134" s="264">
        <f>IF(J134="","",STDEV(J135:J141)/J134)</f>
        <v>7.7359711937125888E-3</v>
      </c>
      <c r="N134" s="264">
        <f>IF(H134="","",((($P$10/$P$7)*(SQRT((1/$E$12)+(1/$E$10)+(((J134/D141)-$P$16)^2)/$P$18))))/(J134/D141))</f>
        <v>6.553406423831027E-3</v>
      </c>
      <c r="O134" s="264" t="e">
        <f>IF(H134="","",(SQRT(L134^2+M134^2+N134^2+K134^2)))</f>
        <v>#VALUE!</v>
      </c>
      <c r="P134" s="271"/>
      <c r="Q134" s="209"/>
      <c r="R134" s="590" t="str">
        <f>IF($J$134="","",IF($S$96=1,CONCATENATE("Resultado final amostra ", 'Massas Corrigidas'!$I$46),""))</f>
        <v>Resultado final amostra CCQM K56A</v>
      </c>
      <c r="S134" s="590"/>
      <c r="T134" s="145"/>
      <c r="U134" s="590" t="str">
        <f>IF($J$134="","",IF($S$96=2,CONCATENATE("Resultado final amostra ", 'Massas Corrigidas'!$I$46),""))</f>
        <v/>
      </c>
      <c r="V134" s="590"/>
      <c r="W134" s="590"/>
      <c r="X134" s="590"/>
      <c r="Y134" s="590"/>
      <c r="Z134" s="590"/>
      <c r="AA134" s="590" t="str">
        <f>IF($J$134="","",IF($S$96=4,CONCATENATE("Resultado final amostra ", 'Massas Corrigidas'!$I$46),""))</f>
        <v/>
      </c>
      <c r="AB134" s="590"/>
      <c r="AC134" s="590"/>
      <c r="AD134" s="590"/>
      <c r="AE134" s="590"/>
      <c r="AF134" s="590"/>
    </row>
    <row r="135" spans="1:32" x14ac:dyDescent="0.2">
      <c r="A135" s="150" t="str">
        <f>IF('Massas Corrigidas'!$I$46="","","Massa da amostra")</f>
        <v>Massa da amostra</v>
      </c>
      <c r="B135" s="215">
        <f>'Massas Corrigidas'!K48</f>
        <v>0.30353939292000121</v>
      </c>
      <c r="C135" s="265">
        <f>IF(B135="","",'Massas Corrigidas'!L48)</f>
        <v>1.4142135623730951E-5</v>
      </c>
      <c r="D135" s="272">
        <f>IF(A134="","",IF(B135="",1,B136/B135))</f>
        <v>165.425801090318</v>
      </c>
      <c r="E135" s="245">
        <f>IF(B135="","",IF(D135=1,0,(((C136/B135)^2)+(((B136*C135)/(B135^2))^2))^0.5))</f>
        <v>7.7078267713411534E-3</v>
      </c>
      <c r="G135" s="141"/>
      <c r="H135" s="270">
        <f>IF('Entrada das intensidades'!B43&gt;0,'Entrada das intensidades'!B43,"")</f>
        <v>724234.1857142857</v>
      </c>
      <c r="I135" s="327"/>
      <c r="J135" s="221">
        <f t="shared" ref="J135:J141" si="10">IFERROR(((H135-$P$8)/$P$7)*$D$141,"")</f>
        <v>8.0739613404480952</v>
      </c>
      <c r="K135" s="221"/>
      <c r="L135" s="205"/>
      <c r="M135" s="205"/>
      <c r="N135" s="216"/>
      <c r="O135" s="209"/>
      <c r="P135" s="205"/>
      <c r="Q135" s="205"/>
      <c r="R135" s="326" t="str">
        <f>IF(R134="","","ueff")</f>
        <v>ueff</v>
      </c>
      <c r="S135" s="267" t="str">
        <f>IFERROR(IF($S$96=1,(O134^4)/(((M134^4)/(7-1))+((N134^4)/(42-1))),""),"")</f>
        <v/>
      </c>
      <c r="T135" s="148"/>
      <c r="U135" s="326" t="str">
        <f>IF(U134="","","ueff")</f>
        <v/>
      </c>
      <c r="V135" s="267" t="str">
        <f>IFERROR(IF($S$96=2,(O134^4)/(((M134^4)/(7-1))+((N134^4)/(42-1))),""),"")</f>
        <v/>
      </c>
      <c r="W135" s="148"/>
      <c r="X135" s="326"/>
      <c r="Y135" s="325"/>
      <c r="Z135" s="148"/>
      <c r="AA135" s="326" t="str">
        <f>IF(AA134="","","Fração mássica da amostra (mg.kg-1)")</f>
        <v/>
      </c>
      <c r="AB135" s="325"/>
      <c r="AC135" s="148" t="str">
        <f>IFERROR(IF($S$96=4,AVERAGE(J135:J141,J144:J150,J153:J159,J162:J168),""),"")</f>
        <v/>
      </c>
      <c r="AD135" s="326"/>
      <c r="AE135" s="325"/>
      <c r="AF135" s="148"/>
    </row>
    <row r="136" spans="1:32" x14ac:dyDescent="0.2">
      <c r="A136" s="150" t="str">
        <f>IF('Massas Corrigidas'!$I$46="","","Massa total")</f>
        <v>Massa total</v>
      </c>
      <c r="B136" s="215">
        <f>'Massas Corrigidas'!K49</f>
        <v>50.213247236260003</v>
      </c>
      <c r="C136" s="265">
        <f>IF(B136="","",'Massas Corrigidas'!L49)</f>
        <v>2.6925824035672523E-5</v>
      </c>
      <c r="D136" s="205"/>
      <c r="E136" s="246"/>
      <c r="G136" s="141"/>
      <c r="H136" s="270">
        <f>IF('Entrada das intensidades'!B44&gt;0,'Entrada das intensidades'!B44,"")</f>
        <v>723105.64571428578</v>
      </c>
      <c r="I136" s="327"/>
      <c r="J136" s="221">
        <f t="shared" si="10"/>
        <v>8.0613663816119949</v>
      </c>
      <c r="K136" s="221"/>
      <c r="L136" s="205"/>
      <c r="M136" s="205"/>
      <c r="N136" s="216"/>
      <c r="O136" s="209"/>
      <c r="P136" s="205"/>
      <c r="Q136" s="205"/>
      <c r="R136" s="326" t="str">
        <f>IF(R134="","","K 0,05")</f>
        <v>K 0,05</v>
      </c>
      <c r="S136" s="135" t="str">
        <f>IFERROR(IF($S$96=1,TINV(0.05,S135),""),"")</f>
        <v/>
      </c>
      <c r="T136" s="148"/>
      <c r="U136" s="326" t="str">
        <f>IF(U134="","","K 0,05")</f>
        <v/>
      </c>
      <c r="V136" s="162" t="str">
        <f>IFERROR(IF($S$96=2,TINV(0.05,V135),""),"")</f>
        <v/>
      </c>
      <c r="W136" s="148"/>
      <c r="X136" s="326"/>
      <c r="Y136" s="325"/>
      <c r="Z136" s="148"/>
      <c r="AA136" s="326" t="str">
        <f>IF(AA134="","","Incerteza expandida (mg.kg-1)")</f>
        <v/>
      </c>
      <c r="AB136" s="325"/>
      <c r="AC136" s="148" t="str">
        <f>IF(Q143="","",IF($S$96=4,2*(SQRT(SUMSQ(Q134,Q143,Q152,Q161))/SQRT($S$96)),""))</f>
        <v/>
      </c>
      <c r="AD136" s="326"/>
      <c r="AE136" s="325"/>
      <c r="AF136" s="148"/>
    </row>
    <row r="137" spans="1:32" x14ac:dyDescent="0.2">
      <c r="A137" s="141" t="str">
        <f>IF('Massas Corrigidas'!P46="","",CONCATENATE("Segunda diluição Amostra ",'Massas Corrigidas'!I46))</f>
        <v>Segunda diluição Amostra CCQM K56A</v>
      </c>
      <c r="B137" s="205"/>
      <c r="C137" s="213"/>
      <c r="D137" s="214"/>
      <c r="E137" s="247"/>
      <c r="G137" s="141"/>
      <c r="H137" s="270">
        <f>IF('Entrada das intensidades'!B45&gt;0,'Entrada das intensidades'!B45,"")</f>
        <v>737625.40571428579</v>
      </c>
      <c r="I137" s="327"/>
      <c r="J137" s="221">
        <f t="shared" si="10"/>
        <v>8.2234127242405872</v>
      </c>
      <c r="K137" s="221"/>
      <c r="L137" s="205"/>
      <c r="M137" s="205"/>
      <c r="N137" s="216"/>
      <c r="O137" s="209"/>
      <c r="P137" s="205"/>
      <c r="Q137" s="205"/>
      <c r="R137" s="326" t="str">
        <f>IF(R134="","","Fração mássica da amostra (mg.kg-1)")</f>
        <v>Fração mássica da amostra (mg.kg-1)</v>
      </c>
      <c r="S137" s="148">
        <f>IFERROR(IF($S$96=1,AVERAGE(J135:J141),""),"")</f>
        <v>8.1139077315166102</v>
      </c>
      <c r="T137" s="311"/>
      <c r="U137" s="326" t="str">
        <f>IF(U134="","","Fração mássica da amostra (mg.kg-1)")</f>
        <v/>
      </c>
      <c r="V137" s="155" t="str">
        <f>IFERROR(IF($S$96=2,AVERAGE(J134,J143),""),"")</f>
        <v/>
      </c>
    </row>
    <row r="138" spans="1:32" x14ac:dyDescent="0.2">
      <c r="A138" s="150" t="str">
        <f>IF('Massas Corrigidas'!$P$46="","","Massa da amostra")</f>
        <v>Massa da amostra</v>
      </c>
      <c r="B138" s="215" t="str">
        <f>'Massas Corrigidas'!R48</f>
        <v/>
      </c>
      <c r="C138" s="265" t="str">
        <f>IF(B138="","",'Massas Corrigidas'!S48)</f>
        <v/>
      </c>
      <c r="D138" s="272">
        <f>IF(B138="",D135,B139/B138*D135)</f>
        <v>165.425801090318</v>
      </c>
      <c r="E138" s="245">
        <f>IF(B138="",E135,D138*((((((C136/B135)^2)+(((B136*C135)/(B135^2))^2))^0.5/(B136/B135))^2+((((C139/B138)^2+(B139*C138/(B138^2))^2))^0.5/(B139/B138))^2)^0.5))</f>
        <v>7.7078267713411534E-3</v>
      </c>
      <c r="G138" s="141"/>
      <c r="H138" s="270">
        <f>IF('Entrada das intensidades'!B46&gt;0,'Entrada das intensidades'!B46,"")</f>
        <v>727101.13571428577</v>
      </c>
      <c r="I138" s="327"/>
      <c r="J138" s="221">
        <f t="shared" si="10"/>
        <v>8.1059576518195691</v>
      </c>
      <c r="K138" s="221"/>
      <c r="L138" s="205"/>
      <c r="M138" s="205"/>
      <c r="N138" s="216"/>
      <c r="O138" s="209"/>
      <c r="P138" s="205"/>
      <c r="Q138" s="205"/>
      <c r="R138" s="326" t="str">
        <f>IF(R134="","","Incerteza expandida (mg.kg-1)")</f>
        <v>Incerteza expandida (mg.kg-1)</v>
      </c>
      <c r="S138" s="148" t="str">
        <f>IFERROR(IF($S$96=1,S136*J134*O134,""),"")</f>
        <v/>
      </c>
      <c r="T138" s="214"/>
      <c r="U138" s="326" t="str">
        <f>IF(U134="","","Incerteza expandida (mg.kg-1)")</f>
        <v/>
      </c>
      <c r="V138" s="155" t="str">
        <f>IFERROR(IF($S$96=2,V136*AVERAGE(J134,J143)*(SQRT(SUMSQ(O134,O143))/SQRT($S$96)),""),"")</f>
        <v/>
      </c>
    </row>
    <row r="139" spans="1:32" x14ac:dyDescent="0.2">
      <c r="A139" s="150" t="str">
        <f>IF('Massas Corrigidas'!$P$46="","","Massa total")</f>
        <v>Massa total</v>
      </c>
      <c r="B139" s="215" t="str">
        <f>'Massas Corrigidas'!R49</f>
        <v/>
      </c>
      <c r="C139" s="265" t="str">
        <f>IF(B139="","",'Massas Corrigidas'!S49)</f>
        <v/>
      </c>
      <c r="D139" s="205"/>
      <c r="E139" s="220"/>
      <c r="G139" s="141"/>
      <c r="H139" s="270">
        <f>IF('Entrada das intensidades'!B47&gt;0,'Entrada das intensidades'!B47,"")</f>
        <v>732904.53571428568</v>
      </c>
      <c r="I139" s="327"/>
      <c r="J139" s="221">
        <f t="shared" si="10"/>
        <v>8.1707259224253335</v>
      </c>
      <c r="K139" s="221"/>
      <c r="L139" s="205"/>
      <c r="M139" s="205"/>
      <c r="N139" s="216"/>
      <c r="O139" s="209"/>
      <c r="P139" s="205"/>
      <c r="Q139" s="205"/>
      <c r="R139" s="214"/>
      <c r="S139" s="214"/>
      <c r="T139" s="214"/>
    </row>
    <row r="140" spans="1:32" x14ac:dyDescent="0.2">
      <c r="A140" s="141" t="str">
        <f>IF('Massas Corrigidas'!W46="","",CONCATENATE("Terceira diluição Amostra ",'Massas Corrigidas'!I46))</f>
        <v/>
      </c>
      <c r="B140" s="205"/>
      <c r="C140" s="213"/>
      <c r="D140" s="214"/>
      <c r="E140" s="247"/>
      <c r="G140" s="141"/>
      <c r="H140" s="270">
        <f>IF('Entrada das intensidades'!B48&gt;0,'Entrada das intensidades'!B48,"")</f>
        <v>727572.15571428579</v>
      </c>
      <c r="I140" s="327"/>
      <c r="J140" s="221">
        <f t="shared" si="10"/>
        <v>8.1112144238533297</v>
      </c>
      <c r="K140" s="221"/>
      <c r="L140" s="205"/>
      <c r="M140" s="205"/>
      <c r="N140" s="216"/>
      <c r="O140" s="209"/>
      <c r="P140" s="205"/>
      <c r="Q140" s="205"/>
      <c r="R140" s="214"/>
      <c r="S140" s="214"/>
      <c r="T140" s="214"/>
    </row>
    <row r="141" spans="1:32" x14ac:dyDescent="0.2">
      <c r="A141" s="150" t="str">
        <f>IF('Massas Corrigidas'!$W$46="","","Massa da amostra")</f>
        <v/>
      </c>
      <c r="B141" s="215" t="str">
        <f>'Massas Corrigidas'!Y48</f>
        <v/>
      </c>
      <c r="C141" s="265" t="str">
        <f>IF(B141="","",'Massas Corrigidas'!Z48)</f>
        <v/>
      </c>
      <c r="D141" s="272">
        <f>IF(B141="",D138,B142/B141*D138)</f>
        <v>165.425801090318</v>
      </c>
      <c r="E141" s="273">
        <f>IF(B141="",E138,D141*(((((C136/B135)^2)+(((B136*C135)/(B135^2))^2))^0.5/(B136/B135))^2+((((C139/B138)^2+(B139*C138/(B138^2))^2))^0.5/(B139/B138))^2+(((((C142/B141)^2+(B142*C141/(B141^2))^2))^0.5)/(B142/B141))^2)^0.5)</f>
        <v>7.7078267713411534E-3</v>
      </c>
      <c r="G141" s="141"/>
      <c r="H141" s="270">
        <f>IF('Entrada das intensidades'!B49&gt;0,'Entrada das intensidades'!B49,"")</f>
        <v>722151.31571428571</v>
      </c>
      <c r="I141" s="327"/>
      <c r="J141" s="221">
        <f t="shared" si="10"/>
        <v>8.0507156762173633</v>
      </c>
      <c r="K141" s="205"/>
      <c r="L141" s="205"/>
      <c r="M141" s="205"/>
      <c r="N141" s="216"/>
      <c r="O141" s="209"/>
      <c r="P141" s="205"/>
      <c r="Q141" s="205"/>
      <c r="R141" s="214"/>
      <c r="S141" s="214"/>
      <c r="T141" s="214"/>
    </row>
    <row r="142" spans="1:32" x14ac:dyDescent="0.2">
      <c r="A142" s="150" t="str">
        <f>IF('Massas Corrigidas'!$W$46="","","Massa total")</f>
        <v/>
      </c>
      <c r="B142" s="215" t="str">
        <f>'Massas Corrigidas'!Y49</f>
        <v/>
      </c>
      <c r="C142" s="265" t="str">
        <f>IF(B142="","",'Massas Corrigidas'!Z49)</f>
        <v/>
      </c>
      <c r="D142" s="205"/>
      <c r="E142" s="247"/>
      <c r="G142" s="141"/>
      <c r="H142" s="270"/>
      <c r="I142" s="327"/>
      <c r="J142" s="205"/>
      <c r="K142" s="205"/>
      <c r="L142" s="205"/>
      <c r="M142" s="205"/>
      <c r="N142" s="216"/>
      <c r="O142" s="209"/>
      <c r="P142" s="205"/>
      <c r="Q142" s="205"/>
      <c r="R142" s="214"/>
      <c r="S142" s="214"/>
      <c r="T142" s="214"/>
    </row>
    <row r="143" spans="1:32" x14ac:dyDescent="0.2">
      <c r="A143" s="262" t="str">
        <f>IF('Massas Corrigidas'!I51="","",CONCATENATE("Primeira diluição Amostra ",'Massas Corrigidas'!I51))</f>
        <v>Primeira diluição Amostra CCQMK56B</v>
      </c>
      <c r="B143" s="205"/>
      <c r="C143" s="205"/>
      <c r="D143" s="205"/>
      <c r="E143" s="270"/>
      <c r="G143" s="262" t="str">
        <f>IF('Massas Corrigidas'!I51="","",CONCATENATE("Amostra ",'Massas Corrigidas'!I51))</f>
        <v>Amostra CCQMK56B</v>
      </c>
      <c r="H143" s="270">
        <f>IFERROR(AVERAGE(H144:H150),"")</f>
        <v>700359.71571428573</v>
      </c>
      <c r="I143" s="327">
        <f>IFERROR(STDEV(H144:H150),"")</f>
        <v>8697.1720980864429</v>
      </c>
      <c r="J143" s="205">
        <f>IFERROR(AVERAGE(J144:J150),"")</f>
        <v>7.8797860771214365</v>
      </c>
      <c r="K143" s="263">
        <f>IF(H143="","",(E150/D150))</f>
        <v>4.6740088721822007E-5</v>
      </c>
      <c r="L143" s="264" t="e">
        <f t="shared" ref="L143" si="11">IF(H143="","",IFERROR(((($B$48/$B$47)^2+($B$51/$B$50)^2+($B$54/$B$53)^2+($B$57/$B$56)^2+($B$60/$B$59)^2+($B$63/$B$62)^2)^0.5),((($B$48/$B$47)^2+($B$51/$B$50)^2+($B$54/$B$53)^2+($B$57/$B$56)^2+($B$60/$B$59)^2)^0.5)))</f>
        <v>#VALUE!</v>
      </c>
      <c r="M143" s="264">
        <f>IF(J143="","",STDEV(J144:J150)/J143)</f>
        <v>1.2432119072361601E-2</v>
      </c>
      <c r="N143" s="264">
        <f>IF(H143="","",((($P$10/$P$7)*(SQRT((1/$E$12)+(1/$E$10)+(((J143/D150)-$P$16)^2)/$P$18))))/(J143/D150))</f>
        <v>6.5086700851511173E-3</v>
      </c>
      <c r="O143" s="264" t="e">
        <f>IF(H143="","",(SQRT(L143^2+M143^2+N143^2+K143^2)))</f>
        <v>#VALUE!</v>
      </c>
      <c r="P143" s="271"/>
      <c r="Q143" s="209"/>
      <c r="R143" s="590" t="str">
        <f>IF($J$143="","",IF($S$96=1,CONCATENATE("Resultado final amostra ", 'Massas Corrigidas'!$I$51),""))</f>
        <v>Resultado final amostra CCQMK56B</v>
      </c>
      <c r="S143" s="590"/>
      <c r="T143" s="145"/>
      <c r="U143" s="590"/>
      <c r="V143" s="590"/>
      <c r="W143" s="590"/>
      <c r="X143" s="590"/>
      <c r="Y143" s="590"/>
      <c r="Z143" s="590"/>
      <c r="AA143" s="590"/>
      <c r="AB143" s="590"/>
      <c r="AC143" s="590"/>
      <c r="AD143" s="590" t="str">
        <f>IF($J$143="","",IF($S$96=5,CONCATENATE("Resultado final amostra ", 'Massas Corrigidas'!$I$51),""))</f>
        <v/>
      </c>
      <c r="AE143" s="590"/>
      <c r="AF143" s="590"/>
    </row>
    <row r="144" spans="1:32" x14ac:dyDescent="0.2">
      <c r="A144" s="150" t="str">
        <f>IF('Massas Corrigidas'!I51="","","Massa da amostra")</f>
        <v>Massa da amostra</v>
      </c>
      <c r="B144" s="215">
        <f>'Massas Corrigidas'!K53</f>
        <v>0.30258939482000002</v>
      </c>
      <c r="C144" s="265">
        <f>IF(B144="","",'Massas Corrigidas'!L53)</f>
        <v>1.4142135623730951E-5</v>
      </c>
      <c r="D144" s="272">
        <f>IF(A143="","",IF(B144="",1,B145/B144))</f>
        <v>166.95713180454419</v>
      </c>
      <c r="E144" s="245">
        <f>IF(B144="","",IF(D144=1,0,(((C145/B144)^2)+(((B145*C144)/(B144^2))^2))^0.5))</f>
        <v>7.8035911532853266E-3</v>
      </c>
      <c r="G144" s="141"/>
      <c r="H144" s="270">
        <f>IF('Entrada das intensidades'!F43&gt;0,'Entrada das intensidades'!F43,"")</f>
        <v>710769.6857142857</v>
      </c>
      <c r="I144" s="327"/>
      <c r="J144" s="205">
        <f t="shared" ref="J144:J150" si="12">IFERROR(((H144-$P$8)/$P$7)*$D$150,"")</f>
        <v>7.997040977596992</v>
      </c>
      <c r="K144" s="205"/>
      <c r="L144" s="205"/>
      <c r="M144" s="205"/>
      <c r="N144" s="205"/>
      <c r="O144" s="205"/>
      <c r="P144" s="205"/>
      <c r="Q144" s="205"/>
      <c r="R144" s="326" t="str">
        <f>IF(R143="","","ueff")</f>
        <v>ueff</v>
      </c>
      <c r="S144" s="267" t="str">
        <f>IFERROR(IF($S$96=1,(O143^4)/(((M143^4)/(7-1))+((N143^4)/(42-1))),""),"")</f>
        <v/>
      </c>
      <c r="T144" s="115"/>
      <c r="U144" s="326"/>
      <c r="V144" s="325"/>
      <c r="W144" s="148"/>
      <c r="X144" s="326"/>
      <c r="Y144" s="325"/>
      <c r="Z144" s="148"/>
      <c r="AA144" s="326"/>
      <c r="AB144" s="325"/>
      <c r="AC144" s="148"/>
      <c r="AD144" s="326" t="str">
        <f>IF(AD143="","","Fração mássica da amostra (mg.kg-1)")</f>
        <v/>
      </c>
      <c r="AE144" s="325"/>
      <c r="AF144" s="148" t="str">
        <f>IFERROR(IF($S$96=5,AVERAGE(J144:J150,J153:J159,J162:J168,J171:J177,J180:J186),""),"")</f>
        <v/>
      </c>
    </row>
    <row r="145" spans="1:32" x14ac:dyDescent="0.2">
      <c r="A145" s="150" t="str">
        <f>IF('Massas Corrigidas'!I51="","","Massa total")</f>
        <v>Massa total</v>
      </c>
      <c r="B145" s="215">
        <f>'Massas Corrigidas'!K54</f>
        <v>50.519457473620001</v>
      </c>
      <c r="C145" s="265">
        <f>IF(B145="","",'Massas Corrigidas'!L54)</f>
        <v>2.6925824035672523E-5</v>
      </c>
      <c r="D145" s="205"/>
      <c r="E145" s="246"/>
      <c r="G145" s="141"/>
      <c r="H145" s="270">
        <f>IF('Entrada das intensidades'!F44&gt;0,'Entrada das intensidades'!F44,"")</f>
        <v>707499.39571428578</v>
      </c>
      <c r="I145" s="327"/>
      <c r="J145" s="205">
        <f t="shared" si="12"/>
        <v>7.9602053739904317</v>
      </c>
      <c r="K145" s="205"/>
      <c r="L145" s="205"/>
      <c r="M145" s="205"/>
      <c r="N145" s="205"/>
      <c r="O145" s="205"/>
      <c r="P145" s="205"/>
      <c r="Q145" s="205"/>
      <c r="R145" s="326" t="str">
        <f>IF(R143="","","K 0,05")</f>
        <v>K 0,05</v>
      </c>
      <c r="S145" s="135" t="str">
        <f>IFERROR(IF($S$96=1,TINV(0.05,S144),""),"")</f>
        <v/>
      </c>
      <c r="T145" s="115"/>
      <c r="U145" s="326"/>
      <c r="V145" s="325"/>
      <c r="W145" s="148"/>
      <c r="X145" s="326"/>
      <c r="Y145" s="325"/>
      <c r="Z145" s="148"/>
      <c r="AA145" s="326"/>
      <c r="AB145" s="325"/>
      <c r="AC145" s="148"/>
      <c r="AD145" s="326" t="str">
        <f>IF(AD143="","","Incerteza expandida (mg.kg-1)")</f>
        <v/>
      </c>
      <c r="AE145" s="325"/>
      <c r="AF145" s="148" t="str">
        <f>IF(Q143="","",IF($S$96=5,2*(SQRT(SUMSQ(Q143,Q152,Q161,Q170,Q179))/SQRT($S$96)),""))</f>
        <v/>
      </c>
    </row>
    <row r="146" spans="1:32" x14ac:dyDescent="0.2">
      <c r="A146" s="141" t="str">
        <f>IF('Massas Corrigidas'!P51="","",CONCATENATE("Segunda diluição Amostra ",'Massas Corrigidas'!I51))</f>
        <v>Segunda diluição Amostra CCQMK56B</v>
      </c>
      <c r="B146" s="205"/>
      <c r="C146" s="213"/>
      <c r="D146" s="214"/>
      <c r="E146" s="247"/>
      <c r="G146" s="141"/>
      <c r="H146" s="270">
        <f>IF('Entrada das intensidades'!F45&gt;0,'Entrada das intensidades'!F45,"")</f>
        <v>703501.82571428572</v>
      </c>
      <c r="I146" s="327"/>
      <c r="J146" s="205">
        <f t="shared" si="12"/>
        <v>7.9151778981673431</v>
      </c>
      <c r="K146" s="205"/>
      <c r="L146" s="205"/>
      <c r="M146" s="205"/>
      <c r="N146" s="205"/>
      <c r="O146" s="205"/>
      <c r="P146" s="205"/>
      <c r="Q146" s="205"/>
      <c r="R146" s="326" t="str">
        <f>IF(R143="","","Fração mássica da amostra (mg.kg-1)")</f>
        <v>Fração mássica da amostra (mg.kg-1)</v>
      </c>
      <c r="S146" s="148">
        <f>IFERROR(IF($S$96=1,AVERAGE(J144:J150),""),"")</f>
        <v>7.8797860771214365</v>
      </c>
      <c r="T146" s="311"/>
    </row>
    <row r="147" spans="1:32" x14ac:dyDescent="0.2">
      <c r="A147" s="150" t="str">
        <f>IF('Massas Corrigidas'!P51="","","Massa da amostra")</f>
        <v>Massa da amostra</v>
      </c>
      <c r="B147" s="215" t="str">
        <f>'Massas Corrigidas'!R53</f>
        <v/>
      </c>
      <c r="C147" s="265" t="str">
        <f>IF(B147="","",'Massas Corrigidas'!S53)</f>
        <v/>
      </c>
      <c r="D147" s="272">
        <f>IF(B147="",D144,B148/B147*D144)</f>
        <v>166.95713180454419</v>
      </c>
      <c r="E147" s="245">
        <f>IF(B147="",E144,D147*((((((C145/B144)^2)+(((B145*C144)/(B144^2))^2))^0.5/(B145/B144))^2+((((C148/B147)^2+(B148*C147/(B147^2))^2))^0.5/(B148/B147))^2)^0.5))</f>
        <v>7.8035911532853266E-3</v>
      </c>
      <c r="G147" s="141"/>
      <c r="H147" s="270">
        <f>IF('Entrada das intensidades'!F46&gt;0,'Entrada das intensidades'!F46,"")</f>
        <v>702866.25571428577</v>
      </c>
      <c r="I147" s="327"/>
      <c r="J147" s="205">
        <f t="shared" si="12"/>
        <v>7.9080190209472114</v>
      </c>
      <c r="K147" s="205"/>
      <c r="L147" s="205"/>
      <c r="M147" s="205"/>
      <c r="N147" s="205"/>
      <c r="O147" s="205"/>
      <c r="P147" s="205"/>
      <c r="Q147" s="205"/>
      <c r="R147" s="326" t="str">
        <f>IF(R143="","","Incerteza expandida (mg.kg-1)")</f>
        <v>Incerteza expandida (mg.kg-1)</v>
      </c>
      <c r="S147" s="148" t="str">
        <f>IFERROR(IF($S$96=1,S145*J143*O143,""),"")</f>
        <v/>
      </c>
      <c r="T147" s="115"/>
    </row>
    <row r="148" spans="1:32" x14ac:dyDescent="0.2">
      <c r="A148" s="150" t="str">
        <f>IF('Massas Corrigidas'!P51="","","Massa total")</f>
        <v>Massa total</v>
      </c>
      <c r="B148" s="215" t="str">
        <f>'Massas Corrigidas'!R54</f>
        <v/>
      </c>
      <c r="C148" s="265" t="str">
        <f>IF(B148="","",'Massas Corrigidas'!S54)</f>
        <v/>
      </c>
      <c r="D148" s="205"/>
      <c r="E148" s="220"/>
      <c r="G148" s="141"/>
      <c r="H148" s="270">
        <f>IF('Entrada das intensidades'!F47&gt;0,'Entrada das intensidades'!F47,"")</f>
        <v>700094.67571428569</v>
      </c>
      <c r="I148" s="327"/>
      <c r="J148" s="205">
        <f t="shared" si="12"/>
        <v>7.8768007429829092</v>
      </c>
      <c r="K148" s="205"/>
      <c r="L148" s="205"/>
      <c r="M148" s="205"/>
      <c r="N148" s="205"/>
      <c r="O148" s="205"/>
      <c r="P148" s="205"/>
      <c r="Q148" s="205"/>
      <c r="R148" s="214"/>
      <c r="S148" s="214"/>
      <c r="T148" s="115"/>
    </row>
    <row r="149" spans="1:32" x14ac:dyDescent="0.2">
      <c r="A149" s="141" t="str">
        <f>IF('Massas Corrigidas'!W51="","",CONCATENATE("Terceira diluição Amostra ",'Massas Corrigidas'!I51))</f>
        <v/>
      </c>
      <c r="B149" s="205"/>
      <c r="C149" s="213"/>
      <c r="D149" s="214"/>
      <c r="E149" s="247"/>
      <c r="G149" s="141"/>
      <c r="H149" s="270">
        <f>IF('Entrada das intensidades'!F48&gt;0,'Entrada das intensidades'!F48,"")</f>
        <v>691659.78571428568</v>
      </c>
      <c r="I149" s="327"/>
      <c r="J149" s="205">
        <f t="shared" si="12"/>
        <v>7.7817925741339833</v>
      </c>
      <c r="K149" s="205"/>
      <c r="L149" s="205"/>
      <c r="M149" s="205"/>
      <c r="N149" s="205"/>
      <c r="O149" s="205"/>
      <c r="P149" s="205"/>
      <c r="Q149" s="205"/>
      <c r="R149" s="214"/>
      <c r="S149" s="214"/>
      <c r="T149" s="115"/>
    </row>
    <row r="150" spans="1:32" x14ac:dyDescent="0.2">
      <c r="A150" s="150" t="str">
        <f>IF('Massas Corrigidas'!W51="","","Massa da amostra")</f>
        <v/>
      </c>
      <c r="B150" s="215" t="str">
        <f>'Massas Corrigidas'!Y53</f>
        <v/>
      </c>
      <c r="C150" s="265" t="str">
        <f>IF(B150="","",'Massas Corrigidas'!Z53)</f>
        <v/>
      </c>
      <c r="D150" s="272">
        <f>IF(B150="",D147,B151/B150*D147)</f>
        <v>166.95713180454419</v>
      </c>
      <c r="E150" s="273">
        <f>IF(B150="",E147,D150*(((((C145/B144)^2)+(((B145*C144)/(B144^2))^2))^0.5/(B145/B144))^2+((((C148/B147)^2+(B148*C147/(B147^2))^2))^0.5/(B148/B147))^2+(((((C151/B150)^2+(B151*C150/(B150^2))^2))^0.5)/(B151/B150))^2)^0.5)</f>
        <v>7.8035911532853266E-3</v>
      </c>
      <c r="G150" s="141"/>
      <c r="H150" s="270">
        <f>IF('Entrada das intensidades'!F49&gt;0,'Entrada das intensidades'!F49,"")</f>
        <v>686126.38571428577</v>
      </c>
      <c r="I150" s="327"/>
      <c r="J150" s="205">
        <f t="shared" si="12"/>
        <v>7.7194659520311886</v>
      </c>
      <c r="K150" s="205"/>
      <c r="L150" s="205"/>
      <c r="M150" s="205"/>
      <c r="N150" s="205"/>
      <c r="O150" s="205"/>
      <c r="P150" s="205"/>
      <c r="Q150" s="205"/>
      <c r="R150" s="214"/>
      <c r="S150" s="214"/>
      <c r="T150" s="115"/>
    </row>
    <row r="151" spans="1:32" x14ac:dyDescent="0.2">
      <c r="A151" s="150" t="str">
        <f>IF('Massas Corrigidas'!W51="","","Massa total")</f>
        <v/>
      </c>
      <c r="B151" s="215" t="str">
        <f>'Massas Corrigidas'!Y54</f>
        <v/>
      </c>
      <c r="C151" s="265" t="str">
        <f>IF(B151="","",'Massas Corrigidas'!Z54)</f>
        <v/>
      </c>
      <c r="D151" s="205"/>
      <c r="E151" s="247"/>
      <c r="G151" s="141"/>
      <c r="H151" s="270"/>
      <c r="I151" s="327"/>
      <c r="J151" s="205"/>
      <c r="K151" s="205"/>
      <c r="L151" s="205"/>
      <c r="M151" s="205"/>
      <c r="N151" s="205"/>
      <c r="O151" s="205"/>
      <c r="P151" s="205"/>
      <c r="Q151" s="205"/>
      <c r="R151" s="214"/>
      <c r="S151" s="214"/>
      <c r="T151" s="115"/>
    </row>
    <row r="152" spans="1:32" x14ac:dyDescent="0.2">
      <c r="A152" s="141" t="str">
        <f>IF('Massas Corrigidas'!I56="","",CONCATENATE("Primeira diluição Amostra ",'Massas Corrigidas'!I56))</f>
        <v/>
      </c>
      <c r="B152" s="205"/>
      <c r="C152" s="205"/>
      <c r="D152" s="205"/>
      <c r="E152" s="270"/>
      <c r="G152" s="262" t="str">
        <f>IF('Massas Corrigidas'!I56="","",CONCATENATE("Amostra ",'Massas Corrigidas'!I56))</f>
        <v/>
      </c>
      <c r="H152" s="270" t="str">
        <f>IFERROR(AVERAGE(H153:H159),"")</f>
        <v/>
      </c>
      <c r="I152" s="327" t="str">
        <f>IFERROR(STDEV(H153:H159),"")</f>
        <v/>
      </c>
      <c r="J152" s="205" t="str">
        <f>IFERROR(AVERAGE(J153:J159),"")</f>
        <v/>
      </c>
      <c r="K152" s="263" t="str">
        <f>IF(H152="","",(E159/D159))</f>
        <v/>
      </c>
      <c r="L152" s="264" t="str">
        <f t="shared" ref="L152" si="13">IF(H152="","",IFERROR(((($B$48/$B$47)^2+($B$51/$B$50)^2+($B$54/$B$53)^2+($B$57/$B$56)^2+($B$60/$B$59)^2+($B$63/$B$62)^2)^0.5),((($B$48/$B$47)^2+($B$51/$B$50)^2+($B$54/$B$53)^2+($B$57/$B$56)^2+($B$60/$B$59)^2)^0.5)))</f>
        <v/>
      </c>
      <c r="M152" s="264" t="str">
        <f>IF(J152="","",STDEV(J153:J159)/J152)</f>
        <v/>
      </c>
      <c r="N152" s="264" t="str">
        <f>IF(H152="","",((($P$10/$P$7)*(SQRT((1/$E$12)+(1/$E$10)+(((J152/D159)-$P$16)^2)/$P$18))))/(J152/D159))</f>
        <v/>
      </c>
      <c r="O152" s="264" t="str">
        <f>IF(H152="","",(SQRT(L152^2+M152^2+N152^2+K152^2)))</f>
        <v/>
      </c>
      <c r="P152" s="271"/>
      <c r="Q152" s="209"/>
      <c r="R152" s="590" t="str">
        <f>IF($J$152="","",IF($S$96=1,CONCATENATE("Resultado final amostra ", 'Massas Corrigidas'!$I$56),""))</f>
        <v/>
      </c>
      <c r="S152" s="590"/>
      <c r="T152" s="145"/>
      <c r="U152" s="590" t="str">
        <f>IF($J$152="","",IF($S$96=2,CONCATENATE("Resultado final amostra ", 'Massas Corrigidas'!$I$56),""))</f>
        <v/>
      </c>
      <c r="V152" s="590"/>
      <c r="W152" s="590"/>
      <c r="X152" s="590" t="str">
        <f>IF($J$152="","",IF($S$96=3,CONCATENATE("Resultado final amostra ", 'Massas Corrigidas'!$I$56),""))</f>
        <v/>
      </c>
      <c r="Y152" s="590"/>
      <c r="Z152" s="590"/>
      <c r="AA152" s="590"/>
      <c r="AB152" s="590"/>
      <c r="AC152" s="590"/>
      <c r="AD152" s="590"/>
      <c r="AE152" s="590"/>
      <c r="AF152" s="590"/>
    </row>
    <row r="153" spans="1:32" x14ac:dyDescent="0.2">
      <c r="A153" s="150" t="str">
        <f>IF('Massas Corrigidas'!I56="","","Massa da amostra")</f>
        <v/>
      </c>
      <c r="B153" s="215" t="str">
        <f>'Massas Corrigidas'!K58</f>
        <v/>
      </c>
      <c r="C153" s="265" t="str">
        <f>IF(B153="","",'Massas Corrigidas'!L58)</f>
        <v/>
      </c>
      <c r="D153" s="272" t="str">
        <f>IF(A152="","",IF(B153="",1,B154/B153))</f>
        <v/>
      </c>
      <c r="E153" s="245" t="str">
        <f>IF(B153="","",IF(D153=1,0,(((C154/B153)^2)+(((B154*C153)/(B153^2))^2))^0.5))</f>
        <v/>
      </c>
      <c r="G153" s="141"/>
      <c r="H153" s="270" t="str">
        <f>IF('Entrada das intensidades'!B52&gt;0,'Entrada das intensidades'!B52,"")</f>
        <v/>
      </c>
      <c r="I153" s="327"/>
      <c r="J153" s="205" t="str">
        <f t="shared" ref="J153:J159" si="14">IFERROR(((H153-$P$8)/$P$7)*$D$159,"")</f>
        <v/>
      </c>
      <c r="K153" s="205"/>
      <c r="L153" s="205"/>
      <c r="M153" s="205"/>
      <c r="N153" s="205"/>
      <c r="O153" s="205"/>
      <c r="P153" s="205"/>
      <c r="Q153" s="205"/>
      <c r="R153" s="326" t="str">
        <f>IF(R152="","","ueff")</f>
        <v/>
      </c>
      <c r="S153" s="267" t="str">
        <f>IFERROR(IF($S$96=1,(O152^4)/(((M152^4)/(7-1))+((N152^4)/(42-1))),""),"")</f>
        <v/>
      </c>
      <c r="T153" s="115"/>
      <c r="U153" s="326" t="str">
        <f>IF(U152="","","ueff")</f>
        <v/>
      </c>
      <c r="V153" s="267" t="str">
        <f>IFERROR(IF($S$96=2,(O152^4)/(((M152^4)/(7-1))+((N152^4)/(42-1))),""),"")</f>
        <v/>
      </c>
      <c r="W153" s="148"/>
      <c r="X153" s="326" t="str">
        <f>IF(X152="","","Fração mássica da amostra (mg.kg-1)")</f>
        <v/>
      </c>
      <c r="Y153" s="325"/>
      <c r="Z153" s="148" t="str">
        <f>IFERROR(IF($S$96=3,AVERAGE(J153:J159,J162:J168,J171:J177),""),"")</f>
        <v/>
      </c>
      <c r="AA153" s="326"/>
      <c r="AB153" s="325"/>
      <c r="AC153" s="148"/>
      <c r="AD153" s="326"/>
      <c r="AE153" s="325"/>
      <c r="AF153" s="148"/>
    </row>
    <row r="154" spans="1:32" x14ac:dyDescent="0.2">
      <c r="A154" s="150" t="str">
        <f>IF('Massas Corrigidas'!I56="","","Massa total")</f>
        <v/>
      </c>
      <c r="B154" s="215" t="str">
        <f>'Massas Corrigidas'!K59</f>
        <v/>
      </c>
      <c r="C154" s="265" t="str">
        <f>IF(B154="","",'Massas Corrigidas'!L59)</f>
        <v/>
      </c>
      <c r="D154" s="205"/>
      <c r="E154" s="246"/>
      <c r="G154" s="141"/>
      <c r="H154" s="270" t="str">
        <f>IF('Entrada das intensidades'!B53&gt;0,'Entrada das intensidades'!B53,"")</f>
        <v/>
      </c>
      <c r="I154" s="327"/>
      <c r="J154" s="205" t="str">
        <f t="shared" si="14"/>
        <v/>
      </c>
      <c r="K154" s="205"/>
      <c r="L154" s="205"/>
      <c r="M154" s="205"/>
      <c r="N154" s="205"/>
      <c r="O154" s="205"/>
      <c r="P154" s="205"/>
      <c r="Q154" s="205"/>
      <c r="R154" s="326" t="str">
        <f>IF(R152="","","K 0,05")</f>
        <v/>
      </c>
      <c r="S154" s="135" t="str">
        <f>IFERROR(IF($S$96=1,TINV(0.05,S153),""),"")</f>
        <v/>
      </c>
      <c r="T154" s="115"/>
      <c r="U154" s="326" t="str">
        <f>IF(U152="","","K 0,05")</f>
        <v/>
      </c>
      <c r="V154" s="162" t="str">
        <f>IFERROR(IF($S$96=2,TINV(0.05,V153),""),"")</f>
        <v/>
      </c>
      <c r="W154" s="148"/>
      <c r="X154" s="326" t="str">
        <f>IF(X152="","","Incerteza expandida (mg.kg-1)")</f>
        <v/>
      </c>
      <c r="Y154" s="325"/>
      <c r="Z154" s="148" t="str">
        <f>IF(Q152="","",IF($S$96=3,2*(SQRT(SUMSQ(Q152,Q161,Q170))/SQRT($S$96)),""))</f>
        <v/>
      </c>
      <c r="AA154" s="326"/>
      <c r="AB154" s="325"/>
      <c r="AC154" s="148"/>
      <c r="AD154" s="326"/>
      <c r="AE154" s="325"/>
      <c r="AF154" s="148"/>
    </row>
    <row r="155" spans="1:32" x14ac:dyDescent="0.2">
      <c r="A155" s="141" t="str">
        <f>IF('Massas Corrigidas'!P56="","",CONCATENATE("Segunda diluição Amostra ",'Massas Corrigidas'!I56))</f>
        <v/>
      </c>
      <c r="B155" s="205"/>
      <c r="C155" s="213"/>
      <c r="D155" s="214"/>
      <c r="E155" s="247"/>
      <c r="G155" s="141"/>
      <c r="H155" s="270" t="str">
        <f>IF('Entrada das intensidades'!B54&gt;0,'Entrada das intensidades'!B54,"")</f>
        <v/>
      </c>
      <c r="I155" s="327"/>
      <c r="J155" s="205" t="str">
        <f t="shared" si="14"/>
        <v/>
      </c>
      <c r="K155" s="205"/>
      <c r="L155" s="205"/>
      <c r="M155" s="205"/>
      <c r="N155" s="205"/>
      <c r="O155" s="205"/>
      <c r="P155" s="205"/>
      <c r="Q155" s="205"/>
      <c r="R155" s="326" t="str">
        <f>IF(R152="","","Fração mássica da amostra (mg.kg-1)")</f>
        <v/>
      </c>
      <c r="S155" s="148" t="str">
        <f>IFERROR(IF($S$96=1,AVERAGE(J153:J159),""),"")</f>
        <v/>
      </c>
      <c r="T155" s="311"/>
      <c r="U155" s="326" t="str">
        <f>IF(U152="","","Fração mássica da amostra (mg.kg-1)")</f>
        <v/>
      </c>
      <c r="V155" s="155" t="str">
        <f>IFERROR(IF($S$96=2,AVERAGE(J152,J161),""),"")</f>
        <v/>
      </c>
    </row>
    <row r="156" spans="1:32" x14ac:dyDescent="0.2">
      <c r="A156" s="150" t="str">
        <f>IF('Massas Corrigidas'!P56="","","Massa da amostra")</f>
        <v/>
      </c>
      <c r="B156" s="215" t="str">
        <f>'Massas Corrigidas'!R58</f>
        <v/>
      </c>
      <c r="C156" s="265" t="str">
        <f>IF(B156="","",'Massas Corrigidas'!S58)</f>
        <v/>
      </c>
      <c r="D156" s="272" t="str">
        <f>IF(B156="",D153,B157/B156*D153)</f>
        <v/>
      </c>
      <c r="E156" s="245" t="str">
        <f>IF(B156="",E153,D156*((((((C154/B153)^2)+(((B154*C153)/(B153^2))^2))^0.5/(B154/B153))^2+((((C157/B156)^2+(B157*C156/(B156^2))^2))^0.5/(B157/B156))^2)^0.5))</f>
        <v/>
      </c>
      <c r="G156" s="141"/>
      <c r="H156" s="270" t="str">
        <f>IF('Entrada das intensidades'!B55&gt;0,'Entrada das intensidades'!B55,"")</f>
        <v/>
      </c>
      <c r="I156" s="327"/>
      <c r="J156" s="205" t="str">
        <f t="shared" si="14"/>
        <v/>
      </c>
      <c r="K156" s="205"/>
      <c r="L156" s="205"/>
      <c r="M156" s="205"/>
      <c r="N156" s="205"/>
      <c r="O156" s="205"/>
      <c r="P156" s="205"/>
      <c r="Q156" s="205"/>
      <c r="R156" s="326" t="str">
        <f>IF(R152="","","Incerteza expandida (mg.kg-1)")</f>
        <v/>
      </c>
      <c r="S156" s="148" t="str">
        <f>IFERROR(IF($S$96=1,S154*J152*O152,""),"")</f>
        <v/>
      </c>
      <c r="T156" s="115"/>
      <c r="U156" s="326" t="str">
        <f>IF(U152="","","Incerteza expandida (mg.kg-1)")</f>
        <v/>
      </c>
      <c r="V156" s="155" t="str">
        <f>IFERROR(IF($S$96=2,V154*AVERAGE(J152,J161)*(SQRT(SUMSQ(O152,O161))/SQRT($S$96)),""),"")</f>
        <v/>
      </c>
    </row>
    <row r="157" spans="1:32" x14ac:dyDescent="0.2">
      <c r="A157" s="150" t="str">
        <f>IF('Massas Corrigidas'!P56="","","Massa total")</f>
        <v/>
      </c>
      <c r="B157" s="215" t="str">
        <f>'Massas Corrigidas'!R59</f>
        <v/>
      </c>
      <c r="C157" s="265" t="str">
        <f>IF(B157="","",'Massas Corrigidas'!S59)</f>
        <v/>
      </c>
      <c r="D157" s="205"/>
      <c r="E157" s="220"/>
      <c r="G157" s="141"/>
      <c r="H157" s="270" t="str">
        <f>IF('Entrada das intensidades'!B56&gt;0,'Entrada das intensidades'!B56,"")</f>
        <v/>
      </c>
      <c r="I157" s="327"/>
      <c r="J157" s="205" t="str">
        <f t="shared" si="14"/>
        <v/>
      </c>
      <c r="K157" s="205"/>
      <c r="L157" s="205"/>
      <c r="M157" s="205"/>
      <c r="N157" s="205"/>
      <c r="O157" s="205"/>
      <c r="P157" s="205"/>
      <c r="Q157" s="205"/>
      <c r="R157" s="214"/>
      <c r="S157" s="214"/>
      <c r="T157" s="115"/>
    </row>
    <row r="158" spans="1:32" x14ac:dyDescent="0.2">
      <c r="A158" s="141" t="str">
        <f>IF('Massas Corrigidas'!W56="","",CONCATENATE("Terceira diluição Amostra ",'Massas Corrigidas'!I56))</f>
        <v/>
      </c>
      <c r="B158" s="205"/>
      <c r="C158" s="213"/>
      <c r="D158" s="214"/>
      <c r="E158" s="247"/>
      <c r="G158" s="141"/>
      <c r="H158" s="270" t="str">
        <f>IF('Entrada das intensidades'!B57&gt;0,'Entrada das intensidades'!B57,"")</f>
        <v/>
      </c>
      <c r="I158" s="327"/>
      <c r="J158" s="205" t="str">
        <f t="shared" si="14"/>
        <v/>
      </c>
      <c r="K158" s="205"/>
      <c r="L158" s="205"/>
      <c r="M158" s="205"/>
      <c r="N158" s="205"/>
      <c r="O158" s="205"/>
      <c r="P158" s="205"/>
      <c r="Q158" s="205"/>
      <c r="R158" s="214"/>
      <c r="S158" s="214"/>
      <c r="T158" s="115"/>
    </row>
    <row r="159" spans="1:32" x14ac:dyDescent="0.2">
      <c r="A159" s="150" t="str">
        <f>IF('Massas Corrigidas'!W56="","","Massa da amostra")</f>
        <v/>
      </c>
      <c r="B159" s="215" t="str">
        <f>'Massas Corrigidas'!Y58</f>
        <v/>
      </c>
      <c r="C159" s="265" t="str">
        <f>IF(B159="","",'Massas Corrigidas'!Z58)</f>
        <v/>
      </c>
      <c r="D159" s="272" t="str">
        <f>IF(B159="",D156,B160/B159*D156)</f>
        <v/>
      </c>
      <c r="E159" s="273" t="str">
        <f>IF(B159="",E156,D159*(((((C154/B153)^2)+(((B154*C153)/(B153^2))^2))^0.5/(B154/B153))^2+((((C157/B156)^2+(B157*C156/(B156^2))^2))^0.5/(B157/B156))^2+(((((C160/B159)^2+(B160*C159/(B159^2))^2))^0.5)/(B160/B159))^2)^0.5)</f>
        <v/>
      </c>
      <c r="G159" s="141"/>
      <c r="H159" s="270" t="str">
        <f>IF('Entrada das intensidades'!B58&gt;0,'Entrada das intensidades'!B58,"")</f>
        <v/>
      </c>
      <c r="I159" s="327"/>
      <c r="J159" s="205" t="str">
        <f t="shared" si="14"/>
        <v/>
      </c>
      <c r="K159" s="205"/>
      <c r="L159" s="205"/>
      <c r="M159" s="205"/>
      <c r="N159" s="205"/>
      <c r="O159" s="205"/>
      <c r="P159" s="205"/>
      <c r="Q159" s="205"/>
      <c r="R159" s="214"/>
      <c r="S159" s="214"/>
      <c r="T159" s="115"/>
    </row>
    <row r="160" spans="1:32" x14ac:dyDescent="0.2">
      <c r="A160" s="150" t="str">
        <f>IF('Massas Corrigidas'!W56="","","Massa total")</f>
        <v/>
      </c>
      <c r="B160" s="215" t="str">
        <f>'Massas Corrigidas'!Y59</f>
        <v/>
      </c>
      <c r="C160" s="265" t="str">
        <f>IF(B160="","",'Massas Corrigidas'!Z59)</f>
        <v/>
      </c>
      <c r="D160" s="205"/>
      <c r="E160" s="247"/>
      <c r="G160" s="141"/>
      <c r="H160" s="270"/>
      <c r="I160" s="327"/>
      <c r="J160" s="205"/>
      <c r="K160" s="205"/>
      <c r="L160" s="205"/>
      <c r="M160" s="205"/>
      <c r="N160" s="205"/>
      <c r="O160" s="205"/>
      <c r="P160" s="205"/>
      <c r="Q160" s="205"/>
      <c r="R160" s="214"/>
      <c r="S160" s="214"/>
      <c r="T160" s="115"/>
    </row>
    <row r="161" spans="1:32" x14ac:dyDescent="0.2">
      <c r="A161" s="141" t="str">
        <f>IF('Massas Corrigidas'!I61="","",CONCATENATE("Primeira diluição Amostra ",'Massas Corrigidas'!I61))</f>
        <v/>
      </c>
      <c r="B161" s="205"/>
      <c r="C161" s="205"/>
      <c r="D161" s="205"/>
      <c r="E161" s="270"/>
      <c r="G161" s="262" t="str">
        <f>IF('Massas Corrigidas'!I61="","",CONCATENATE("Amostra ",'Massas Corrigidas'!I61))</f>
        <v/>
      </c>
      <c r="H161" s="270" t="str">
        <f>IFERROR(AVERAGE(H162:H168),"")</f>
        <v/>
      </c>
      <c r="I161" s="327" t="str">
        <f>IFERROR(STDEV(H162:H168),"")</f>
        <v/>
      </c>
      <c r="J161" s="205" t="str">
        <f>IFERROR(AVERAGE(J162:J168),"")</f>
        <v/>
      </c>
      <c r="K161" s="263" t="str">
        <f>IF(H161="","",(E168/D168))</f>
        <v/>
      </c>
      <c r="L161" s="264" t="str">
        <f t="shared" ref="L161" si="15">IF(H161="","",IFERROR(((($B$48/$B$47)^2+($B$51/$B$50)^2+($B$54/$B$53)^2+($B$57/$B$56)^2+($B$60/$B$59)^2+($B$63/$B$62)^2)^0.5),((($B$48/$B$47)^2+($B$51/$B$50)^2+($B$54/$B$53)^2+($B$57/$B$56)^2+($B$60/$B$59)^2)^0.5)))</f>
        <v/>
      </c>
      <c r="M161" s="264" t="str">
        <f>IF(J161="","",STDEV(J162:J168)/J161)</f>
        <v/>
      </c>
      <c r="N161" s="264" t="str">
        <f>IF(H161="","",((($P$10/$P$7)*(SQRT((1/$E$12)+(1/$E$10)+(((J161/D168)-$P$16)^2)/$P$18))))/(J161/D168))</f>
        <v/>
      </c>
      <c r="O161" s="264" t="str">
        <f>IF(H161="","",(SQRT(L161^2+M161^2+N161^2+K161^2)))</f>
        <v/>
      </c>
      <c r="P161" s="271"/>
      <c r="Q161" s="209"/>
      <c r="R161" s="590" t="str">
        <f>IF($J$161="","",IF($S$96=1,CONCATENATE("Resultado final amostra ", 'Massas Corrigidas'!$I$61),""))</f>
        <v/>
      </c>
      <c r="S161" s="590"/>
      <c r="T161" s="145"/>
      <c r="U161" s="590"/>
      <c r="V161" s="590"/>
      <c r="W161" s="590"/>
      <c r="X161" s="590"/>
      <c r="Y161" s="590"/>
      <c r="Z161" s="590"/>
      <c r="AA161" s="590" t="str">
        <f>IF(S161="","",IF($S$96=4,CONCATENATE("Resultado final amostra ", 'Massas Corrigidas'!$I$61),""))</f>
        <v/>
      </c>
      <c r="AB161" s="590"/>
      <c r="AC161" s="590"/>
      <c r="AD161" s="590"/>
      <c r="AE161" s="590"/>
      <c r="AF161" s="590"/>
    </row>
    <row r="162" spans="1:32" x14ac:dyDescent="0.2">
      <c r="A162" s="150" t="str">
        <f>IF('Massas Corrigidas'!I61="","","Massa da amostra")</f>
        <v/>
      </c>
      <c r="B162" s="215" t="str">
        <f>'Massas Corrigidas'!K63</f>
        <v/>
      </c>
      <c r="C162" s="265" t="str">
        <f>IF(B162="","",'Massas Corrigidas'!L63)</f>
        <v/>
      </c>
      <c r="D162" s="272" t="str">
        <f>IF(A161="","",IF(B162="",1,B163/B162))</f>
        <v/>
      </c>
      <c r="E162" s="245" t="str">
        <f>IF(B162="","",IF(D162=1,0,(((C163/B162)^2)+(((B163*C162)/(B162^2))^2))^0.5))</f>
        <v/>
      </c>
      <c r="G162" s="141"/>
      <c r="H162" s="270" t="str">
        <f>IF('Entrada das intensidades'!F52&gt;0,'Entrada das intensidades'!F52,"")</f>
        <v/>
      </c>
      <c r="I162" s="327"/>
      <c r="J162" s="205" t="str">
        <f t="shared" ref="J162:J168" si="16">IFERROR(((H162-$P$8)/$P$7)*$D$168,"")</f>
        <v/>
      </c>
      <c r="K162" s="205"/>
      <c r="L162" s="205"/>
      <c r="M162" s="205"/>
      <c r="N162" s="205"/>
      <c r="O162" s="205"/>
      <c r="P162" s="205"/>
      <c r="Q162" s="205"/>
      <c r="R162" s="326" t="str">
        <f>IF(R161="","","ueff")</f>
        <v/>
      </c>
      <c r="S162" s="267" t="str">
        <f>IFERROR(IF($S$96=1,(O161^4)/(((M161^4)/(7-1))+((N161^4)/(42-1))),""),"")</f>
        <v/>
      </c>
      <c r="T162" s="115"/>
      <c r="U162" s="326"/>
      <c r="V162" s="325"/>
      <c r="W162" s="148"/>
      <c r="X162" s="326"/>
      <c r="Y162" s="325"/>
      <c r="Z162" s="148"/>
      <c r="AA162" s="326" t="str">
        <f>IF(AA161="","","Fração mássica da amostra (mg.kg-1)")</f>
        <v/>
      </c>
      <c r="AB162" s="325"/>
      <c r="AC162" s="148" t="str">
        <f>IFERROR(IF($S$96=4,AVERAGE(J162:J168,J171:J177,J180:J186,J189:J195),""),"")</f>
        <v/>
      </c>
      <c r="AD162" s="326"/>
      <c r="AE162" s="325"/>
      <c r="AF162" s="148"/>
    </row>
    <row r="163" spans="1:32" x14ac:dyDescent="0.2">
      <c r="A163" s="150" t="str">
        <f>IF('Massas Corrigidas'!I61="","","Massa total")</f>
        <v/>
      </c>
      <c r="B163" s="215" t="str">
        <f>'Massas Corrigidas'!K64</f>
        <v/>
      </c>
      <c r="C163" s="265" t="str">
        <f>IF(B163="","",'Massas Corrigidas'!L64)</f>
        <v/>
      </c>
      <c r="D163" s="205"/>
      <c r="E163" s="246"/>
      <c r="G163" s="141"/>
      <c r="H163" s="270" t="str">
        <f>IF('Entrada das intensidades'!F53&gt;0,'Entrada das intensidades'!F53,"")</f>
        <v/>
      </c>
      <c r="I163" s="327"/>
      <c r="J163" s="205" t="str">
        <f t="shared" si="16"/>
        <v/>
      </c>
      <c r="K163" s="205"/>
      <c r="L163" s="205"/>
      <c r="M163" s="205"/>
      <c r="N163" s="205"/>
      <c r="O163" s="205"/>
      <c r="P163" s="205"/>
      <c r="Q163" s="205"/>
      <c r="R163" s="326" t="str">
        <f>IF(R161="","","K 0,05")</f>
        <v/>
      </c>
      <c r="S163" s="135" t="str">
        <f>IFERROR(IF($S$96=1,TINV(0.05,S162),""),"")</f>
        <v/>
      </c>
      <c r="T163" s="115"/>
      <c r="U163" s="326"/>
      <c r="V163" s="325"/>
      <c r="W163" s="148"/>
      <c r="X163" s="326"/>
      <c r="Y163" s="325"/>
      <c r="Z163" s="148"/>
      <c r="AA163" s="326" t="str">
        <f>IF(AA161="","","Incerteza expandida (mg.kg-1)")</f>
        <v/>
      </c>
      <c r="AB163" s="325"/>
      <c r="AC163" s="148" t="str">
        <f>IF(Q161="","",IF($S$96=4,2*(SQRT(SUMSQ(Q161,Q170,Q179,Q188))/SQRT($S$96)),""))</f>
        <v/>
      </c>
      <c r="AD163" s="326"/>
      <c r="AE163" s="325"/>
      <c r="AF163" s="148"/>
    </row>
    <row r="164" spans="1:32" x14ac:dyDescent="0.2">
      <c r="A164" s="141" t="str">
        <f>IF('Massas Corrigidas'!P61="","",CONCATENATE("Segunda diluição Amostra ",'Massas Corrigidas'!I61))</f>
        <v/>
      </c>
      <c r="B164" s="205"/>
      <c r="C164" s="213"/>
      <c r="D164" s="214"/>
      <c r="E164" s="247"/>
      <c r="G164" s="141"/>
      <c r="H164" s="270" t="str">
        <f>IF('Entrada das intensidades'!F54&gt;0,'Entrada das intensidades'!F54,"")</f>
        <v/>
      </c>
      <c r="I164" s="327"/>
      <c r="J164" s="205" t="str">
        <f t="shared" si="16"/>
        <v/>
      </c>
      <c r="K164" s="205"/>
      <c r="L164" s="205"/>
      <c r="M164" s="205"/>
      <c r="N164" s="205"/>
      <c r="O164" s="205"/>
      <c r="P164" s="205"/>
      <c r="Q164" s="205"/>
      <c r="R164" s="326" t="str">
        <f>IF(R161="","","Fração mássica da amostra (mg.kg-1)")</f>
        <v/>
      </c>
      <c r="S164" s="148" t="str">
        <f>IFERROR(IF($S$96=1,AVERAGE(J162:J168),""),"")</f>
        <v/>
      </c>
      <c r="T164" s="311"/>
    </row>
    <row r="165" spans="1:32" x14ac:dyDescent="0.2">
      <c r="A165" s="150" t="str">
        <f>IF('Massas Corrigidas'!P61="","","Massa da amostra")</f>
        <v/>
      </c>
      <c r="B165" s="215" t="str">
        <f>'Massas Corrigidas'!R63</f>
        <v/>
      </c>
      <c r="C165" s="265" t="str">
        <f>IF(B165="","",'Massas Corrigidas'!S63)</f>
        <v/>
      </c>
      <c r="D165" s="272" t="str">
        <f>IF(B165="",D162,B166/B165*D162)</f>
        <v/>
      </c>
      <c r="E165" s="245" t="str">
        <f>IF(B165="",E162,D165*((((((C163/B162)^2)+(((B163*C162)/(B162^2))^2))^0.5/(B163/B162))^2+((((C166/B165)^2+(B166*C165/(B165^2))^2))^0.5/(B166/B165))^2)^0.5))</f>
        <v/>
      </c>
      <c r="G165" s="141"/>
      <c r="H165" s="270" t="str">
        <f>IF('Entrada das intensidades'!F55&gt;0,'Entrada das intensidades'!F55,"")</f>
        <v/>
      </c>
      <c r="I165" s="327"/>
      <c r="J165" s="205" t="str">
        <f t="shared" si="16"/>
        <v/>
      </c>
      <c r="K165" s="205"/>
      <c r="L165" s="205"/>
      <c r="M165" s="205"/>
      <c r="N165" s="205"/>
      <c r="O165" s="205"/>
      <c r="P165" s="205"/>
      <c r="Q165" s="205"/>
      <c r="R165" s="326" t="str">
        <f>IF(R161="","","Incerteza expandida (mg.kg-1)")</f>
        <v/>
      </c>
      <c r="S165" s="148" t="str">
        <f>IFERROR(IF($S$96=1,S163*J161*O161,""),"")</f>
        <v/>
      </c>
      <c r="T165" s="115"/>
    </row>
    <row r="166" spans="1:32" x14ac:dyDescent="0.2">
      <c r="A166" s="150" t="str">
        <f>IF('Massas Corrigidas'!P61="","","Massa total")</f>
        <v/>
      </c>
      <c r="B166" s="215" t="str">
        <f>'Massas Corrigidas'!R64</f>
        <v/>
      </c>
      <c r="C166" s="265" t="str">
        <f>IF(B166="","",'Massas Corrigidas'!S64)</f>
        <v/>
      </c>
      <c r="D166" s="205"/>
      <c r="E166" s="220"/>
      <c r="G166" s="141"/>
      <c r="H166" s="270" t="str">
        <f>IF('Entrada das intensidades'!F56&gt;0,'Entrada das intensidades'!F56,"")</f>
        <v/>
      </c>
      <c r="I166" s="327"/>
      <c r="J166" s="205" t="str">
        <f t="shared" si="16"/>
        <v/>
      </c>
      <c r="K166" s="205"/>
      <c r="L166" s="205"/>
      <c r="M166" s="205"/>
      <c r="N166" s="205"/>
      <c r="O166" s="205"/>
      <c r="P166" s="205"/>
      <c r="Q166" s="205"/>
      <c r="R166" s="214"/>
      <c r="S166" s="214"/>
      <c r="T166" s="115"/>
    </row>
    <row r="167" spans="1:32" x14ac:dyDescent="0.2">
      <c r="A167" s="141" t="str">
        <f>IF('Massas Corrigidas'!W61="","",CONCATENATE("Terceira diluição Amostra ",'Massas Corrigidas'!I61))</f>
        <v/>
      </c>
      <c r="B167" s="205"/>
      <c r="C167" s="213"/>
      <c r="D167" s="214"/>
      <c r="E167" s="247"/>
      <c r="G167" s="141"/>
      <c r="H167" s="270" t="str">
        <f>IF('Entrada das intensidades'!F57&gt;0,'Entrada das intensidades'!F57,"")</f>
        <v/>
      </c>
      <c r="I167" s="327"/>
      <c r="J167" s="205" t="str">
        <f t="shared" si="16"/>
        <v/>
      </c>
      <c r="K167" s="205"/>
      <c r="L167" s="205"/>
      <c r="M167" s="205"/>
      <c r="N167" s="205"/>
      <c r="O167" s="205"/>
      <c r="P167" s="205"/>
      <c r="Q167" s="205"/>
      <c r="R167" s="214"/>
      <c r="S167" s="214"/>
      <c r="T167" s="115"/>
    </row>
    <row r="168" spans="1:32" x14ac:dyDescent="0.2">
      <c r="A168" s="150" t="str">
        <f>IF('Massas Corrigidas'!W61="","","Massa da amostra")</f>
        <v/>
      </c>
      <c r="B168" s="215" t="str">
        <f>'Massas Corrigidas'!Y63</f>
        <v/>
      </c>
      <c r="C168" s="265" t="str">
        <f>IF(B168="","",'Massas Corrigidas'!Z63)</f>
        <v/>
      </c>
      <c r="D168" s="272" t="str">
        <f>IF(B168="",D165,B169/B168*D165)</f>
        <v/>
      </c>
      <c r="E168" s="273" t="str">
        <f>IF(B168="",E165,D168*(((((C163/B162)^2)+(((B163*C162)/(B162^2))^2))^0.5/(B163/B162))^2+((((C166/B165)^2+(B166*C165/(B165^2))^2))^0.5/(B166/B165))^2+(((((C169/B168)^2+(B169*C168/(B168^2))^2))^0.5)/(B169/B168))^2)^0.5)</f>
        <v/>
      </c>
      <c r="G168" s="141"/>
      <c r="H168" s="270" t="str">
        <f>IF('Entrada das intensidades'!F58&gt;0,'Entrada das intensidades'!F58,"")</f>
        <v/>
      </c>
      <c r="I168" s="327"/>
      <c r="J168" s="205" t="str">
        <f t="shared" si="16"/>
        <v/>
      </c>
      <c r="K168" s="205"/>
      <c r="L168" s="205"/>
      <c r="M168" s="205"/>
      <c r="N168" s="205"/>
      <c r="O168" s="205"/>
      <c r="P168" s="205"/>
      <c r="Q168" s="205"/>
      <c r="R168" s="214"/>
      <c r="S168" s="214"/>
      <c r="T168" s="115"/>
    </row>
    <row r="169" spans="1:32" x14ac:dyDescent="0.2">
      <c r="A169" s="150" t="str">
        <f>IF('Massas Corrigidas'!W61="","","Massa total")</f>
        <v/>
      </c>
      <c r="B169" s="215" t="str">
        <f>'Massas Corrigidas'!Y64</f>
        <v/>
      </c>
      <c r="C169" s="265" t="str">
        <f>IF(B169="","",'Massas Corrigidas'!Z64)</f>
        <v/>
      </c>
      <c r="D169" s="205"/>
      <c r="E169" s="247"/>
      <c r="G169" s="141"/>
      <c r="H169" s="270"/>
      <c r="I169" s="327"/>
      <c r="J169" s="205"/>
      <c r="K169" s="205"/>
      <c r="L169" s="205"/>
      <c r="M169" s="205"/>
      <c r="N169" s="205"/>
      <c r="O169" s="205"/>
      <c r="P169" s="205"/>
      <c r="Q169" s="205"/>
      <c r="R169" s="214"/>
      <c r="S169" s="214"/>
      <c r="T169" s="115"/>
    </row>
    <row r="170" spans="1:32" x14ac:dyDescent="0.2">
      <c r="A170" s="141" t="str">
        <f>IF('Massas Corrigidas'!I66="","",CONCATENATE("Primeira diluição Amostra ",'Massas Corrigidas'!I66))</f>
        <v/>
      </c>
      <c r="B170" s="205"/>
      <c r="C170" s="205"/>
      <c r="D170" s="205"/>
      <c r="E170" s="270"/>
      <c r="G170" s="262" t="str">
        <f>IF('Massas Corrigidas'!I66="","",CONCATENATE("Amostra ",'Massas Corrigidas'!I66))</f>
        <v/>
      </c>
      <c r="H170" s="270" t="str">
        <f>IFERROR(AVERAGE(H171:H177),"")</f>
        <v/>
      </c>
      <c r="I170" s="327" t="str">
        <f>IFERROR(STDEV(H171:H177),"")</f>
        <v/>
      </c>
      <c r="J170" s="205" t="str">
        <f>IFERROR(AVERAGE(J171:J177),"")</f>
        <v/>
      </c>
      <c r="K170" s="263" t="str">
        <f>IF(H170="","",(E177/D177))</f>
        <v/>
      </c>
      <c r="L170" s="264" t="str">
        <f t="shared" ref="L170" si="17">IF(H170="","",IFERROR(((($B$48/$B$47)^2+($B$51/$B$50)^2+($B$54/$B$53)^2+($B$57/$B$56)^2+($B$60/$B$59)^2+($B$63/$B$62)^2)^0.5),((($B$48/$B$47)^2+($B$51/$B$50)^2+($B$54/$B$53)^2+($B$57/$B$56)^2+($B$60/$B$59)^2)^0.5)))</f>
        <v/>
      </c>
      <c r="M170" s="264" t="str">
        <f>IF(J170="","",STDEV(J171:J177)/J170)</f>
        <v/>
      </c>
      <c r="N170" s="264" t="str">
        <f>IF(H170="","",((($P$10/$P$7)*(SQRT((1/$E$12)+(1/$E$10)+(((J170/D177)-$P$16)^2)/$P$18))))/(J170/D177))</f>
        <v/>
      </c>
      <c r="O170" s="264" t="str">
        <f>IF(H170="","",(SQRT(L170^2+M170^2+N170^2+K170^2)))</f>
        <v/>
      </c>
      <c r="P170" s="271"/>
      <c r="Q170" s="209"/>
      <c r="R170" s="590" t="str">
        <f>IF($J$170="","",IF($S$96=1,CONCATENATE("Resultado final amostra ", 'Massas Corrigidas'!$I$66),""))</f>
        <v/>
      </c>
      <c r="S170" s="590"/>
      <c r="T170" s="145"/>
      <c r="U170" s="590" t="str">
        <f>IF($J$170="","",IF($S$96=2,CONCATENATE("Resultado final amostra ", 'Massas Corrigidas'!$I$66),""))</f>
        <v/>
      </c>
      <c r="V170" s="590"/>
      <c r="W170" s="590"/>
      <c r="X170" s="590"/>
      <c r="Y170" s="590"/>
      <c r="Z170" s="590"/>
      <c r="AA170" s="590"/>
      <c r="AB170" s="590"/>
      <c r="AC170" s="590"/>
      <c r="AD170" s="590"/>
      <c r="AE170" s="590"/>
      <c r="AF170" s="590"/>
    </row>
    <row r="171" spans="1:32" x14ac:dyDescent="0.2">
      <c r="A171" s="150" t="str">
        <f>IF('Massas Corrigidas'!I66="","","Massa da amostra")</f>
        <v/>
      </c>
      <c r="B171" s="215" t="str">
        <f>'Massas Corrigidas'!K68</f>
        <v/>
      </c>
      <c r="C171" s="265" t="str">
        <f>IF(B171="","",'Massas Corrigidas'!L68)</f>
        <v/>
      </c>
      <c r="D171" s="272" t="str">
        <f>IF(A170="","",IF(B171="",1,B172/B171))</f>
        <v/>
      </c>
      <c r="E171" s="245" t="str">
        <f>IF(B171="","",IF(D171=1,0,(((C172/B171)^2)+(((B172*C171)/(B171^2))^2))^0.5))</f>
        <v/>
      </c>
      <c r="G171" s="141"/>
      <c r="H171" s="270" t="str">
        <f>IF('Entrada das intensidades'!B61&gt;0,'Entrada das intensidades'!B61,"")</f>
        <v/>
      </c>
      <c r="I171" s="327"/>
      <c r="J171" s="205" t="str">
        <f t="shared" ref="J171:J177" si="18">IFERROR(((H171-$P$8)/$P$7)*$D$177,"")</f>
        <v/>
      </c>
      <c r="K171" s="205"/>
      <c r="L171" s="205"/>
      <c r="M171" s="205"/>
      <c r="N171" s="205"/>
      <c r="O171" s="205"/>
      <c r="P171" s="205"/>
      <c r="Q171" s="205"/>
      <c r="R171" s="326" t="str">
        <f>IF(R170="","","ueff")</f>
        <v/>
      </c>
      <c r="S171" s="267" t="str">
        <f>IFERROR(IF($S$96=1,(O170^4)/(((M170^4)/(7-1))+((N170^4)/(42-1))),""),"")</f>
        <v/>
      </c>
      <c r="T171" s="115"/>
      <c r="U171" s="326" t="str">
        <f>IF(U170="","","Fração mássica da amostra (mg.kg-1)")</f>
        <v/>
      </c>
      <c r="V171" s="325"/>
      <c r="W171" s="148" t="str">
        <f>IFERROR(IF($S$96=2,AVERAGE(J171:J177,J180:J186),""),"")</f>
        <v/>
      </c>
      <c r="X171" s="326"/>
      <c r="Y171" s="325"/>
      <c r="Z171" s="148"/>
      <c r="AA171" s="326"/>
      <c r="AB171" s="325"/>
      <c r="AC171" s="148"/>
      <c r="AD171" s="326"/>
      <c r="AE171" s="325"/>
      <c r="AF171" s="148"/>
    </row>
    <row r="172" spans="1:32" x14ac:dyDescent="0.2">
      <c r="A172" s="150" t="str">
        <f>IF('Massas Corrigidas'!I66="","","Massa total")</f>
        <v/>
      </c>
      <c r="B172" s="215" t="str">
        <f>'Massas Corrigidas'!K69</f>
        <v/>
      </c>
      <c r="C172" s="265" t="str">
        <f>IF(B172="","",'Massas Corrigidas'!L69)</f>
        <v/>
      </c>
      <c r="D172" s="205"/>
      <c r="E172" s="246"/>
      <c r="G172" s="141"/>
      <c r="H172" s="270" t="str">
        <f>IF('Entrada das intensidades'!B62&gt;0,'Entrada das intensidades'!B62,"")</f>
        <v/>
      </c>
      <c r="I172" s="327"/>
      <c r="J172" s="205" t="str">
        <f t="shared" si="18"/>
        <v/>
      </c>
      <c r="K172" s="205"/>
      <c r="L172" s="205"/>
      <c r="M172" s="205"/>
      <c r="N172" s="205"/>
      <c r="O172" s="205"/>
      <c r="P172" s="205"/>
      <c r="Q172" s="205"/>
      <c r="R172" s="326" t="str">
        <f>IF(R170="","","K 0,05")</f>
        <v/>
      </c>
      <c r="S172" s="135" t="str">
        <f>IFERROR(IF($S$96=1,TINV(0.05,S171),""),"")</f>
        <v/>
      </c>
      <c r="T172" s="115"/>
      <c r="U172" s="326" t="str">
        <f>IF(U170="","","Incerteza expandida (mg.kg-1)")</f>
        <v/>
      </c>
      <c r="V172" s="325"/>
      <c r="W172" s="148" t="str">
        <f>IF(Q170="","",IF($S$96=2,2*(SQRT(SUMSQ(Q170,Q179))/SQRT($S$96)),""))</f>
        <v/>
      </c>
      <c r="X172" s="326"/>
      <c r="Y172" s="325"/>
      <c r="Z172" s="148"/>
      <c r="AA172" s="326"/>
      <c r="AB172" s="325"/>
      <c r="AC172" s="148"/>
      <c r="AD172" s="326"/>
      <c r="AE172" s="325"/>
      <c r="AF172" s="148"/>
    </row>
    <row r="173" spans="1:32" x14ac:dyDescent="0.2">
      <c r="A173" s="141" t="str">
        <f>IF('Massas Corrigidas'!P66="","",CONCATENATE("Segunda diluição Amostra ",'Massas Corrigidas'!I66))</f>
        <v/>
      </c>
      <c r="B173" s="205"/>
      <c r="C173" s="213"/>
      <c r="D173" s="214"/>
      <c r="E173" s="247"/>
      <c r="G173" s="141"/>
      <c r="H173" s="270" t="str">
        <f>IF('Entrada das intensidades'!B63&gt;0,'Entrada das intensidades'!B63,"")</f>
        <v/>
      </c>
      <c r="I173" s="327"/>
      <c r="J173" s="205" t="str">
        <f t="shared" si="18"/>
        <v/>
      </c>
      <c r="K173" s="205"/>
      <c r="L173" s="205"/>
      <c r="M173" s="205"/>
      <c r="N173" s="205"/>
      <c r="O173" s="205"/>
      <c r="P173" s="205"/>
      <c r="Q173" s="205"/>
      <c r="R173" s="326" t="str">
        <f>IF(R170="","","Fração mássica da amostra (mg.kg-1)")</f>
        <v/>
      </c>
      <c r="S173" s="148" t="str">
        <f>IFERROR(IF($S$96=1,AVERAGE(J171:J177),""),"")</f>
        <v/>
      </c>
      <c r="T173" s="311"/>
    </row>
    <row r="174" spans="1:32" x14ac:dyDescent="0.2">
      <c r="A174" s="150" t="str">
        <f>IF('Massas Corrigidas'!P66="","","Massa da amostra")</f>
        <v/>
      </c>
      <c r="B174" s="215" t="str">
        <f>'Massas Corrigidas'!R68</f>
        <v/>
      </c>
      <c r="C174" s="265" t="str">
        <f>IF(B174="","",'Massas Corrigidas'!S68)</f>
        <v/>
      </c>
      <c r="D174" s="272" t="str">
        <f>IF(B174="",D171,B175/B174*D171)</f>
        <v/>
      </c>
      <c r="E174" s="245" t="str">
        <f>IF(B174="",E171,D174*((((((C172/B171)^2)+(((B172*C171)/(B171^2))^2))^0.5/(B172/B171))^2+((((C175/B174)^2+(B175*C174/(B174^2))^2))^0.5/(B175/B174))^2)^0.5))</f>
        <v/>
      </c>
      <c r="G174" s="141"/>
      <c r="H174" s="270" t="str">
        <f>IF('Entrada das intensidades'!B64&gt;0,'Entrada das intensidades'!B64,"")</f>
        <v/>
      </c>
      <c r="I174" s="327"/>
      <c r="J174" s="205" t="str">
        <f t="shared" si="18"/>
        <v/>
      </c>
      <c r="K174" s="205"/>
      <c r="L174" s="205"/>
      <c r="M174" s="205"/>
      <c r="N174" s="205"/>
      <c r="O174" s="205"/>
      <c r="P174" s="205"/>
      <c r="Q174" s="205"/>
      <c r="R174" s="326" t="str">
        <f>IF(R170="","","Incerteza expandida (mg.kg-1)")</f>
        <v/>
      </c>
      <c r="S174" s="148" t="str">
        <f>IFERROR(IF($S$96=1,S172*J170*O170,""),"")</f>
        <v/>
      </c>
      <c r="T174" s="115"/>
    </row>
    <row r="175" spans="1:32" x14ac:dyDescent="0.2">
      <c r="A175" s="150" t="str">
        <f>IF('Massas Corrigidas'!P66="","","Massa total")</f>
        <v/>
      </c>
      <c r="B175" s="215" t="str">
        <f>'Massas Corrigidas'!R69</f>
        <v/>
      </c>
      <c r="C175" s="265" t="str">
        <f>IF(B175="","",'Massas Corrigidas'!S69)</f>
        <v/>
      </c>
      <c r="D175" s="205"/>
      <c r="E175" s="220"/>
      <c r="G175" s="141"/>
      <c r="H175" s="270" t="str">
        <f>IF('Entrada das intensidades'!B65&gt;0,'Entrada das intensidades'!B65,"")</f>
        <v/>
      </c>
      <c r="I175" s="327"/>
      <c r="J175" s="205" t="str">
        <f t="shared" si="18"/>
        <v/>
      </c>
      <c r="K175" s="205"/>
      <c r="L175" s="205"/>
      <c r="M175" s="205"/>
      <c r="N175" s="205"/>
      <c r="O175" s="205"/>
      <c r="P175" s="205"/>
      <c r="Q175" s="205"/>
      <c r="R175" s="214"/>
      <c r="S175" s="214"/>
      <c r="T175" s="115"/>
    </row>
    <row r="176" spans="1:32" x14ac:dyDescent="0.2">
      <c r="A176" s="141" t="str">
        <f>IF('Massas Corrigidas'!W66="","",CONCATENATE("Terceira diluição Amostra ",'Massas Corrigidas'!I66))</f>
        <v/>
      </c>
      <c r="B176" s="205"/>
      <c r="C176" s="213"/>
      <c r="D176" s="214"/>
      <c r="E176" s="247"/>
      <c r="G176" s="141"/>
      <c r="H176" s="270" t="str">
        <f>IF('Entrada das intensidades'!B66&gt;0,'Entrada das intensidades'!B66,"")</f>
        <v/>
      </c>
      <c r="I176" s="327"/>
      <c r="J176" s="205" t="str">
        <f t="shared" si="18"/>
        <v/>
      </c>
      <c r="K176" s="205"/>
      <c r="L176" s="205"/>
      <c r="M176" s="205"/>
      <c r="N176" s="205"/>
      <c r="O176" s="205"/>
      <c r="P176" s="205"/>
      <c r="Q176" s="205"/>
      <c r="R176" s="214"/>
      <c r="S176" s="214"/>
      <c r="T176" s="115"/>
    </row>
    <row r="177" spans="1:32" x14ac:dyDescent="0.2">
      <c r="A177" s="150" t="str">
        <f>IF('Massas Corrigidas'!W66="","","Massa da amostra")</f>
        <v/>
      </c>
      <c r="B177" s="215" t="str">
        <f>'Massas Corrigidas'!Y68</f>
        <v/>
      </c>
      <c r="C177" s="265" t="str">
        <f>IF(B177="","",'Massas Corrigidas'!Z68)</f>
        <v/>
      </c>
      <c r="D177" s="272" t="str">
        <f>IF(B177="",D174,B178/B177*D174)</f>
        <v/>
      </c>
      <c r="E177" s="273" t="str">
        <f>IF(B177="",E174,D177*(((((C172/B171)^2)+(((B172*C171)/(B171^2))^2))^0.5/(B172/B171))^2+((((C175/B174)^2+(B175*C174/(B174^2))^2))^0.5/(B175/B174))^2+(((((C178/B177)^2+(B178*C177/(B177^2))^2))^0.5)/(B178/B177))^2)^0.5)</f>
        <v/>
      </c>
      <c r="G177" s="141"/>
      <c r="H177" s="270" t="str">
        <f>IF('Entrada das intensidades'!B67&gt;0,'Entrada das intensidades'!B67,"")</f>
        <v/>
      </c>
      <c r="I177" s="327"/>
      <c r="J177" s="205" t="str">
        <f t="shared" si="18"/>
        <v/>
      </c>
      <c r="K177" s="205"/>
      <c r="L177" s="205"/>
      <c r="M177" s="205"/>
      <c r="N177" s="205"/>
      <c r="O177" s="205"/>
      <c r="P177" s="205"/>
      <c r="Q177" s="205"/>
      <c r="R177" s="214"/>
      <c r="S177" s="214"/>
      <c r="T177" s="115"/>
    </row>
    <row r="178" spans="1:32" x14ac:dyDescent="0.2">
      <c r="A178" s="150" t="str">
        <f>IF('Massas Corrigidas'!W66="","","Massa total")</f>
        <v/>
      </c>
      <c r="B178" s="215" t="str">
        <f>'Massas Corrigidas'!Y69</f>
        <v/>
      </c>
      <c r="C178" s="265" t="str">
        <f>IF(B178="","",'Massas Corrigidas'!Z69)</f>
        <v/>
      </c>
      <c r="D178" s="205"/>
      <c r="E178" s="247"/>
      <c r="G178" s="141"/>
      <c r="H178" s="270"/>
      <c r="I178" s="327"/>
      <c r="J178" s="205"/>
      <c r="K178" s="205"/>
      <c r="L178" s="205"/>
      <c r="M178" s="205"/>
      <c r="N178" s="205"/>
      <c r="O178" s="205"/>
      <c r="P178" s="205"/>
      <c r="Q178" s="205"/>
      <c r="R178" s="214"/>
      <c r="S178" s="214"/>
      <c r="T178" s="115"/>
    </row>
    <row r="179" spans="1:32" x14ac:dyDescent="0.2">
      <c r="A179" s="141" t="str">
        <f>IF('Massas Corrigidas'!I71="","",CONCATENATE("Primeira diluição Amostra ",'Massas Corrigidas'!I71))</f>
        <v/>
      </c>
      <c r="B179" s="205"/>
      <c r="C179" s="205"/>
      <c r="D179" s="205"/>
      <c r="E179" s="270"/>
      <c r="G179" s="262" t="str">
        <f>IF('Massas Corrigidas'!I71="","",CONCATENATE("Amostra ",'Massas Corrigidas'!I71))</f>
        <v/>
      </c>
      <c r="H179" s="270" t="str">
        <f>IFERROR(AVERAGE(H180:H186),"")</f>
        <v/>
      </c>
      <c r="I179" s="327" t="str">
        <f>IFERROR(STDEV(H180:H186),"")</f>
        <v/>
      </c>
      <c r="J179" s="205" t="str">
        <f>IFERROR(AVERAGE(J180:J186),"")</f>
        <v/>
      </c>
      <c r="K179" s="263" t="str">
        <f>IF(H179="","",(E186/D186))</f>
        <v/>
      </c>
      <c r="L179" s="264" t="str">
        <f t="shared" ref="L179" si="19">IF(H179="","",IFERROR(((($B$48/$B$47)^2+($B$51/$B$50)^2+($B$54/$B$53)^2+($B$57/$B$56)^2+($B$60/$B$59)^2+($B$63/$B$62)^2)^0.5),((($B$48/$B$47)^2+($B$51/$B$50)^2+($B$54/$B$53)^2+($B$57/$B$56)^2+($B$60/$B$59)^2)^0.5)))</f>
        <v/>
      </c>
      <c r="M179" s="264" t="str">
        <f>IF(J179="","",STDEV(J180:J186)/J179)</f>
        <v/>
      </c>
      <c r="N179" s="264" t="str">
        <f>IF(H179="","",((($P$10/$P$7)*(SQRT((1/$E$12)+(1/$E$10)+(((J179/D186)-$P$16)^2)/$P$18))))/(J179/D186))</f>
        <v/>
      </c>
      <c r="O179" s="264" t="str">
        <f>IF(H179="","",(SQRT(L179^2+M179^2+N179^2+K179^2)))</f>
        <v/>
      </c>
      <c r="P179" s="271"/>
      <c r="Q179" s="209"/>
      <c r="R179" s="590" t="str">
        <f>IF($J$179="","",IF($S$96=1,CONCATENATE("Resultado final amostra ", 'Massas Corrigidas'!$I$71),""))</f>
        <v/>
      </c>
      <c r="S179" s="590"/>
      <c r="T179" s="145"/>
      <c r="U179" s="590"/>
      <c r="V179" s="590"/>
      <c r="W179" s="590"/>
      <c r="X179" s="590" t="str">
        <f>IF($J$179="","",IF($S$96=3,CONCATENATE("Resultado final amostra ", 'Massas Corrigidas'!$I$71),""))</f>
        <v/>
      </c>
      <c r="Y179" s="590"/>
      <c r="Z179" s="590"/>
      <c r="AA179" s="590"/>
      <c r="AB179" s="590"/>
      <c r="AC179" s="590"/>
      <c r="AD179" s="590"/>
      <c r="AE179" s="590"/>
      <c r="AF179" s="590"/>
    </row>
    <row r="180" spans="1:32" x14ac:dyDescent="0.2">
      <c r="A180" s="150" t="str">
        <f>IF('Massas Corrigidas'!$I$71="","","Massa da amostra")</f>
        <v/>
      </c>
      <c r="B180" s="215" t="str">
        <f>'Massas Corrigidas'!K73</f>
        <v/>
      </c>
      <c r="C180" s="265" t="str">
        <f>IF(B180="","",'Massas Corrigidas'!L73)</f>
        <v/>
      </c>
      <c r="D180" s="272" t="str">
        <f>IF(A179="","",IF(B180="",1,B181/B180))</f>
        <v/>
      </c>
      <c r="E180" s="245" t="str">
        <f>IF(B180="","",IF(D180=1,0,(((C181/B180)^2)+(((B181*C180)/(B180^2))^2))^0.5))</f>
        <v/>
      </c>
      <c r="G180" s="141"/>
      <c r="H180" s="270" t="str">
        <f>IF('Entrada das intensidades'!F61&gt;0,'Entrada das intensidades'!F61,"")</f>
        <v/>
      </c>
      <c r="I180" s="327"/>
      <c r="J180" s="205" t="str">
        <f t="shared" ref="J180:J186" si="20">IFERROR(((H180-$P$8)/$P$7)*$D$186,"")</f>
        <v/>
      </c>
      <c r="K180" s="205"/>
      <c r="L180" s="205"/>
      <c r="M180" s="205"/>
      <c r="N180" s="205"/>
      <c r="O180" s="205"/>
      <c r="P180" s="205"/>
      <c r="Q180" s="205"/>
      <c r="R180" s="326" t="str">
        <f>IF(R179="","","ueff")</f>
        <v/>
      </c>
      <c r="S180" s="267" t="str">
        <f>IFERROR(IF($S$96=1,(O179^4)/(((M179^4)/(7-1))+((N179^4)/(42-1))),""),"")</f>
        <v/>
      </c>
      <c r="T180" s="148"/>
      <c r="U180" s="326"/>
      <c r="V180" s="325"/>
      <c r="W180" s="148"/>
      <c r="X180" s="326" t="str">
        <f>IF(X179="","","Fração mássica da amostra (mg.kg-1)")</f>
        <v/>
      </c>
      <c r="Y180" s="325"/>
      <c r="Z180" s="148" t="str">
        <f>IFERROR(IF($S$96=3,AVERAGE(J180:J186,J189:J195,J198:J204),""),"")</f>
        <v/>
      </c>
      <c r="AA180" s="326"/>
      <c r="AB180" s="325"/>
      <c r="AC180" s="148"/>
      <c r="AD180" s="326"/>
      <c r="AE180" s="325"/>
      <c r="AF180" s="148"/>
    </row>
    <row r="181" spans="1:32" x14ac:dyDescent="0.2">
      <c r="A181" s="150" t="str">
        <f>IF('Massas Corrigidas'!$I$71="","","Massa total")</f>
        <v/>
      </c>
      <c r="B181" s="215" t="str">
        <f>'Massas Corrigidas'!K74</f>
        <v/>
      </c>
      <c r="C181" s="265" t="str">
        <f>IF(B181="","",'Massas Corrigidas'!L74)</f>
        <v/>
      </c>
      <c r="D181" s="205"/>
      <c r="E181" s="246"/>
      <c r="G181" s="141"/>
      <c r="H181" s="270" t="str">
        <f>IF('Entrada das intensidades'!F62&gt;0,'Entrada das intensidades'!F62,"")</f>
        <v/>
      </c>
      <c r="I181" s="327"/>
      <c r="J181" s="205" t="str">
        <f t="shared" si="20"/>
        <v/>
      </c>
      <c r="K181" s="205"/>
      <c r="L181" s="205"/>
      <c r="M181" s="205"/>
      <c r="N181" s="205"/>
      <c r="O181" s="205"/>
      <c r="P181" s="205"/>
      <c r="Q181" s="205"/>
      <c r="R181" s="326" t="str">
        <f>IF(R179="","","K 0,05")</f>
        <v/>
      </c>
      <c r="S181" s="135" t="str">
        <f>IFERROR(IF($S$96=1,TINV(0.05,S180),""),"")</f>
        <v/>
      </c>
      <c r="T181" s="148"/>
      <c r="U181" s="326"/>
      <c r="V181" s="325"/>
      <c r="W181" s="148"/>
      <c r="X181" s="326" t="str">
        <f>IF(X179="","","Incerteza expandida (mg.kg-1)")</f>
        <v/>
      </c>
      <c r="Y181" s="325"/>
      <c r="Z181" s="148" t="str">
        <f>IF(Q179="","",IF($S$96=3,2*(SQRT(SUMSQ(Q179,Q188,Q197))/SQRT($S$96)),""))</f>
        <v/>
      </c>
      <c r="AA181" s="326"/>
      <c r="AB181" s="325"/>
      <c r="AC181" s="148"/>
      <c r="AD181" s="326"/>
      <c r="AE181" s="325"/>
      <c r="AF181" s="148"/>
    </row>
    <row r="182" spans="1:32" x14ac:dyDescent="0.2">
      <c r="A182" s="141" t="str">
        <f>IF('Massas Corrigidas'!P71="","",CONCATENATE("Segunda diluição Amostra ",'Massas Corrigidas'!I71))</f>
        <v/>
      </c>
      <c r="B182" s="205"/>
      <c r="C182" s="213"/>
      <c r="D182" s="214"/>
      <c r="E182" s="247"/>
      <c r="G182" s="141"/>
      <c r="H182" s="270" t="str">
        <f>IF('Entrada das intensidades'!F63&gt;0,'Entrada das intensidades'!F63,"")</f>
        <v/>
      </c>
      <c r="I182" s="327"/>
      <c r="J182" s="205" t="str">
        <f t="shared" si="20"/>
        <v/>
      </c>
      <c r="K182" s="205"/>
      <c r="L182" s="205"/>
      <c r="M182" s="205"/>
      <c r="N182" s="205"/>
      <c r="O182" s="205"/>
      <c r="P182" s="205"/>
      <c r="Q182" s="205"/>
      <c r="R182" s="326" t="str">
        <f>IF(R179="","","Fração mássica da amostra (mg.kg-1)")</f>
        <v/>
      </c>
      <c r="S182" s="148" t="str">
        <f>IFERROR(IF($S$96=1,AVERAGE(J180:J186),""),"")</f>
        <v/>
      </c>
      <c r="T182" s="311"/>
    </row>
    <row r="183" spans="1:32" x14ac:dyDescent="0.2">
      <c r="A183" s="150" t="str">
        <f>IF('Massas Corrigidas'!$P$71="","","Massa da amostra")</f>
        <v/>
      </c>
      <c r="B183" s="215" t="str">
        <f>'Massas Corrigidas'!R73</f>
        <v/>
      </c>
      <c r="C183" s="265" t="str">
        <f>IF(B183="","",'Massas Corrigidas'!S73)</f>
        <v/>
      </c>
      <c r="D183" s="272" t="str">
        <f>IF(B183="",D180,B184/B183*D180)</f>
        <v/>
      </c>
      <c r="E183" s="245" t="str">
        <f>IF(B183="",E180,D183*((((((C181/B180)^2)+(((B181*C180)/(B180^2))^2))^0.5/(B181/B180))^2+((((C184/B183)^2+(B184*C183/(B183^2))^2))^0.5/(B184/B183))^2)^0.5))</f>
        <v/>
      </c>
      <c r="G183" s="141"/>
      <c r="H183" s="270" t="str">
        <f>IF('Entrada das intensidades'!F64&gt;0,'Entrada das intensidades'!F64,"")</f>
        <v/>
      </c>
      <c r="I183" s="327"/>
      <c r="J183" s="205" t="str">
        <f t="shared" si="20"/>
        <v/>
      </c>
      <c r="K183" s="205"/>
      <c r="L183" s="205"/>
      <c r="M183" s="205"/>
      <c r="N183" s="205"/>
      <c r="O183" s="205"/>
      <c r="P183" s="205"/>
      <c r="Q183" s="205"/>
      <c r="R183" s="326" t="str">
        <f>IF(R179="","","Incerteza expandida (mg.kg-1)")</f>
        <v/>
      </c>
      <c r="S183" s="148" t="str">
        <f>IFERROR(IF($S$96=1,S181*J179*O179,""),"")</f>
        <v/>
      </c>
      <c r="T183" s="214"/>
    </row>
    <row r="184" spans="1:32" x14ac:dyDescent="0.2">
      <c r="A184" s="150" t="str">
        <f>IF('Massas Corrigidas'!$P$71="","","Massa total")</f>
        <v/>
      </c>
      <c r="B184" s="215" t="str">
        <f>'Massas Corrigidas'!R74</f>
        <v/>
      </c>
      <c r="C184" s="265" t="str">
        <f>IF(B184="","",'Massas Corrigidas'!S74)</f>
        <v/>
      </c>
      <c r="D184" s="205"/>
      <c r="E184" s="220"/>
      <c r="G184" s="141"/>
      <c r="H184" s="270" t="str">
        <f>IF('Entrada das intensidades'!F65&gt;0,'Entrada das intensidades'!F65,"")</f>
        <v/>
      </c>
      <c r="I184" s="327"/>
      <c r="J184" s="205" t="str">
        <f t="shared" si="20"/>
        <v/>
      </c>
      <c r="K184" s="205"/>
      <c r="L184" s="205"/>
      <c r="M184" s="205"/>
      <c r="N184" s="205"/>
      <c r="O184" s="205"/>
      <c r="P184" s="205"/>
      <c r="Q184" s="205"/>
      <c r="R184" s="214"/>
      <c r="S184" s="214"/>
      <c r="T184" s="214"/>
    </row>
    <row r="185" spans="1:32" x14ac:dyDescent="0.2">
      <c r="A185" s="141" t="str">
        <f>IF('Massas Corrigidas'!W71="","",CONCATENATE("Terceira diluição Amostra ",'Massas Corrigidas'!I71))</f>
        <v/>
      </c>
      <c r="B185" s="205"/>
      <c r="C185" s="213"/>
      <c r="D185" s="214"/>
      <c r="E185" s="247"/>
      <c r="G185" s="141"/>
      <c r="H185" s="270" t="str">
        <f>IF('Entrada das intensidades'!F66&gt;0,'Entrada das intensidades'!F66,"")</f>
        <v/>
      </c>
      <c r="I185" s="327"/>
      <c r="J185" s="205" t="str">
        <f t="shared" si="20"/>
        <v/>
      </c>
      <c r="K185" s="205"/>
      <c r="L185" s="205"/>
      <c r="M185" s="205"/>
      <c r="N185" s="205"/>
      <c r="O185" s="205"/>
      <c r="P185" s="205"/>
      <c r="Q185" s="205"/>
      <c r="R185" s="214"/>
      <c r="S185" s="214"/>
      <c r="T185" s="214"/>
    </row>
    <row r="186" spans="1:32" x14ac:dyDescent="0.2">
      <c r="A186" s="150" t="str">
        <f>IF('Massas Corrigidas'!$W$71="","","Massa da amostra")</f>
        <v/>
      </c>
      <c r="B186" s="215" t="str">
        <f>'Massas Corrigidas'!Y73</f>
        <v/>
      </c>
      <c r="C186" s="265" t="str">
        <f>IF(B186="","",'Massas Corrigidas'!Z73)</f>
        <v/>
      </c>
      <c r="D186" s="272" t="str">
        <f>IF(B186="",D183,B187/B186*D183)</f>
        <v/>
      </c>
      <c r="E186" s="273" t="str">
        <f>IF(B186="",E183,D186*(((((C181/B180)^2)+(((B181*C180)/(B180^2))^2))^0.5/(B181/B180))^2+((((C184/B183)^2+(B184*C183/(B183^2))^2))^0.5/(B184/B183))^2+(((((C187/B186)^2+(B187*C186/(B186^2))^2))^0.5)/(B187/B186))^2)^0.5)</f>
        <v/>
      </c>
      <c r="G186" s="141"/>
      <c r="H186" s="270" t="str">
        <f>IF('Entrada das intensidades'!F67&gt;0,'Entrada das intensidades'!F67,"")</f>
        <v/>
      </c>
      <c r="I186" s="327"/>
      <c r="J186" s="205" t="str">
        <f t="shared" si="20"/>
        <v/>
      </c>
      <c r="K186" s="205"/>
      <c r="L186" s="205"/>
      <c r="M186" s="205"/>
      <c r="N186" s="205"/>
      <c r="O186" s="205"/>
      <c r="P186" s="205"/>
      <c r="Q186" s="205"/>
      <c r="R186" s="214"/>
      <c r="S186" s="214"/>
      <c r="T186" s="214"/>
    </row>
    <row r="187" spans="1:32" x14ac:dyDescent="0.2">
      <c r="A187" s="150" t="str">
        <f>IF('Massas Corrigidas'!$W$71="","","Massa total")</f>
        <v/>
      </c>
      <c r="B187" s="215" t="str">
        <f>'Massas Corrigidas'!Y74</f>
        <v/>
      </c>
      <c r="C187" s="265" t="str">
        <f>IF(B187="","",'Massas Corrigidas'!Z74)</f>
        <v/>
      </c>
      <c r="D187" s="205"/>
      <c r="E187" s="247"/>
      <c r="G187" s="141"/>
      <c r="H187" s="270"/>
      <c r="I187" s="327"/>
      <c r="J187" s="205"/>
      <c r="K187" s="205"/>
      <c r="L187" s="205"/>
      <c r="M187" s="205"/>
      <c r="N187" s="205"/>
      <c r="O187" s="205"/>
      <c r="P187" s="205"/>
      <c r="Q187" s="205"/>
      <c r="R187" s="214"/>
      <c r="S187" s="214"/>
      <c r="T187" s="214"/>
    </row>
    <row r="188" spans="1:32" x14ac:dyDescent="0.2">
      <c r="A188" s="262" t="str">
        <f>IF('Massas Corrigidas'!I76="","",CONCATENATE("Primeira diluição Amostra ",'Massas Corrigidas'!I76))</f>
        <v/>
      </c>
      <c r="B188" s="205"/>
      <c r="C188" s="205"/>
      <c r="D188" s="205"/>
      <c r="E188" s="270"/>
      <c r="G188" s="262" t="str">
        <f>IF('Massas Corrigidas'!I76="","",CONCATENATE("Amostra ",'Massas Corrigidas'!I76))</f>
        <v/>
      </c>
      <c r="H188" s="270" t="str">
        <f>IFERROR(AVERAGE(H189:H195),"")</f>
        <v/>
      </c>
      <c r="I188" s="327" t="str">
        <f>IFERROR(STDEV(H189:H195),"")</f>
        <v/>
      </c>
      <c r="J188" s="205" t="str">
        <f>IFERROR(AVERAGE(J189:J195),"")</f>
        <v/>
      </c>
      <c r="K188" s="263" t="str">
        <f>IF(H188="","",(E195/D195))</f>
        <v/>
      </c>
      <c r="L188" s="264" t="str">
        <f t="shared" ref="L188" si="21">IF(H188="","",IFERROR(((($B$48/$B$47)^2+($B$51/$B$50)^2+($B$54/$B$53)^2+($B$57/$B$56)^2+($B$60/$B$59)^2+($B$63/$B$62)^2)^0.5),((($B$48/$B$47)^2+($B$51/$B$50)^2+($B$54/$B$53)^2+($B$57/$B$56)^2+($B$60/$B$59)^2)^0.5)))</f>
        <v/>
      </c>
      <c r="M188" s="264" t="str">
        <f>IF(J188="","",STDEV(J189:J195)/J188)</f>
        <v/>
      </c>
      <c r="N188" s="264" t="str">
        <f>IF(H188="","",((($P$10/$P$7)*(SQRT((1/$E$12)+(1/$E$10)+(((J188/D195)-$P$16)^2)/$P$18))))/(J188/D195))</f>
        <v/>
      </c>
      <c r="O188" s="264" t="str">
        <f>IF(H188="","",(SQRT(L188^2+M188^2+N188^2+K188^2)))</f>
        <v/>
      </c>
      <c r="P188" s="271"/>
      <c r="Q188" s="209"/>
      <c r="R188" s="590" t="str">
        <f>IF($J$188="","",IF($S$96=1,CONCATENATE("Resultado final amostra ", 'Massas Corrigidas'!$I$76),""))</f>
        <v/>
      </c>
      <c r="S188" s="590"/>
      <c r="T188" s="145"/>
      <c r="U188" s="590" t="str">
        <f>IF($J$188="","",IF($S$96=2,CONCATENATE("Resultado final amostra ", 'Massas Corrigidas'!$I$76),""))</f>
        <v/>
      </c>
      <c r="V188" s="590"/>
      <c r="W188" s="590"/>
      <c r="X188" s="590"/>
      <c r="Y188" s="590"/>
      <c r="Z188" s="590"/>
      <c r="AA188" s="590"/>
      <c r="AB188" s="590"/>
      <c r="AC188" s="590"/>
      <c r="AD188" s="590" t="str">
        <f>IF($J$188="","",IF($S$96=5,CONCATENATE("Resultado final amostra ", 'Massas Corrigidas'!$I$76),""))</f>
        <v/>
      </c>
      <c r="AE188" s="590"/>
      <c r="AF188" s="590"/>
    </row>
    <row r="189" spans="1:32" x14ac:dyDescent="0.2">
      <c r="A189" s="150" t="str">
        <f>IF('Massas Corrigidas'!$I$76="","","Massa da amostra")</f>
        <v/>
      </c>
      <c r="B189" s="215" t="str">
        <f>'Massas Corrigidas'!K78</f>
        <v/>
      </c>
      <c r="C189" s="265" t="str">
        <f>IF(B189="","",'Massas Corrigidas'!L78)</f>
        <v/>
      </c>
      <c r="D189" s="272" t="str">
        <f>IF(A188="","",IF(B189="",1,B190/B189))</f>
        <v/>
      </c>
      <c r="E189" s="245" t="str">
        <f>IF(B189="","",IF(D189=1,0,(((C190/B189)^2)+(((B190*C189)/(B189^2))^2))^0.5))</f>
        <v/>
      </c>
      <c r="G189" s="141"/>
      <c r="H189" s="270" t="str">
        <f>IF('Entrada das intensidades'!B70&gt;0,'Entrada das intensidades'!B70,"")</f>
        <v/>
      </c>
      <c r="I189" s="327"/>
      <c r="J189" s="205" t="str">
        <f t="shared" ref="J189:J195" si="22">IFERROR(((H189-$P$8)/$P$7)*$D$195,"")</f>
        <v/>
      </c>
      <c r="K189" s="205"/>
      <c r="L189" s="205"/>
      <c r="M189" s="205"/>
      <c r="N189" s="205"/>
      <c r="O189" s="205"/>
      <c r="P189" s="205"/>
      <c r="Q189" s="205"/>
      <c r="R189" s="326" t="str">
        <f>IF(R188="","","ueff")</f>
        <v/>
      </c>
      <c r="S189" s="267" t="str">
        <f>IFERROR(IF($S$96=1,(O188^4)/(((M188^4)/(7-1))+((N188^4)/(42-1))),""),"")</f>
        <v/>
      </c>
      <c r="T189" s="115"/>
      <c r="U189" s="326" t="str">
        <f>IF(U188="","","Fração mássica da amostra (mg.kg-1)")</f>
        <v/>
      </c>
      <c r="V189" s="325"/>
      <c r="W189" s="148" t="str">
        <f>IFERROR(IF($S$96=2,AVERAGE(J189:J195,J198:J204),""),"")</f>
        <v/>
      </c>
      <c r="X189" s="326"/>
      <c r="Y189" s="325"/>
      <c r="Z189" s="148"/>
      <c r="AA189" s="326"/>
      <c r="AB189" s="325"/>
      <c r="AC189" s="148"/>
      <c r="AD189" s="326" t="str">
        <f>IF(AD188="","","Fração mássica da amostra (mg.kg-1)")</f>
        <v/>
      </c>
      <c r="AE189" s="325"/>
      <c r="AF189" s="148" t="str">
        <f>IFERROR(IF($S$96=5,AVERAGE(J189:J195,J198:J204,J207:J213,J216:J222,J225:J231),""),"")</f>
        <v/>
      </c>
    </row>
    <row r="190" spans="1:32" x14ac:dyDescent="0.2">
      <c r="A190" s="150" t="str">
        <f>IF('Massas Corrigidas'!$I$76="","","Massa total")</f>
        <v/>
      </c>
      <c r="B190" s="215" t="str">
        <f>'Massas Corrigidas'!K79</f>
        <v/>
      </c>
      <c r="C190" s="265" t="str">
        <f>IF(B190="","",'Massas Corrigidas'!L79)</f>
        <v/>
      </c>
      <c r="D190" s="205"/>
      <c r="E190" s="246"/>
      <c r="G190" s="141"/>
      <c r="H190" s="270" t="str">
        <f>IF('Entrada das intensidades'!B71&gt;0,'Entrada das intensidades'!B71,"")</f>
        <v/>
      </c>
      <c r="I190" s="327"/>
      <c r="J190" s="205" t="str">
        <f t="shared" si="22"/>
        <v/>
      </c>
      <c r="K190" s="205"/>
      <c r="L190" s="205"/>
      <c r="M190" s="205"/>
      <c r="N190" s="205"/>
      <c r="O190" s="205"/>
      <c r="P190" s="205"/>
      <c r="Q190" s="205"/>
      <c r="R190" s="326" t="str">
        <f>IF(R188="","","K 0,05")</f>
        <v/>
      </c>
      <c r="S190" s="135" t="str">
        <f>IFERROR(IF($S$96=1,TINV(0.05,S189),""),"")</f>
        <v/>
      </c>
      <c r="T190" s="115"/>
      <c r="U190" s="326" t="str">
        <f>IF(U188="","","Incerteza expandida (mg.kg-1)")</f>
        <v/>
      </c>
      <c r="V190" s="325"/>
      <c r="W190" s="148" t="str">
        <f>IF(Q188="","",IF($S$96=2,2*(SQRT(SUMSQ(Q188,Q197))/SQRT($S$96)),""))</f>
        <v/>
      </c>
      <c r="X190" s="326"/>
      <c r="Y190" s="325"/>
      <c r="Z190" s="148"/>
      <c r="AA190" s="326"/>
      <c r="AB190" s="325"/>
      <c r="AC190" s="148"/>
      <c r="AD190" s="326" t="str">
        <f>IF(AD188="","","Incerteza expandida (mg.kg-1)")</f>
        <v/>
      </c>
      <c r="AE190" s="325"/>
      <c r="AF190" s="148" t="str">
        <f>IF(Q188="","",IF($S$96=5,2*(SQRT(SUMSQ(Q188,Q197,Q206,Q215,Q224))/SQRT($S$96)),""))</f>
        <v/>
      </c>
    </row>
    <row r="191" spans="1:32" x14ac:dyDescent="0.2">
      <c r="A191" s="141" t="str">
        <f>IF('Massas Corrigidas'!P76="","",CONCATENATE("Segunda diluição Amostra ",'Massas Corrigidas'!I76))</f>
        <v/>
      </c>
      <c r="B191" s="205"/>
      <c r="C191" s="213"/>
      <c r="D191" s="214"/>
      <c r="E191" s="247"/>
      <c r="G191" s="141"/>
      <c r="H191" s="270" t="str">
        <f>IF('Entrada das intensidades'!B72&gt;0,'Entrada das intensidades'!B72,"")</f>
        <v/>
      </c>
      <c r="I191" s="327"/>
      <c r="J191" s="205" t="str">
        <f t="shared" si="22"/>
        <v/>
      </c>
      <c r="K191" s="205"/>
      <c r="L191" s="205"/>
      <c r="M191" s="205"/>
      <c r="N191" s="205"/>
      <c r="O191" s="205"/>
      <c r="P191" s="205"/>
      <c r="Q191" s="205"/>
      <c r="R191" s="326" t="str">
        <f>IF(R188="","","Fração mássica da amostra (mg.kg-1)")</f>
        <v/>
      </c>
      <c r="S191" s="148" t="str">
        <f>IFERROR(IF($S$96=1,AVERAGE(J189:J195),""),"")</f>
        <v/>
      </c>
      <c r="T191" s="311"/>
    </row>
    <row r="192" spans="1:32" x14ac:dyDescent="0.2">
      <c r="A192" s="150" t="str">
        <f>IF('Massas Corrigidas'!$P$76="","","Massa da amostra")</f>
        <v/>
      </c>
      <c r="B192" s="215" t="str">
        <f>'Massas Corrigidas'!R78</f>
        <v/>
      </c>
      <c r="C192" s="265" t="str">
        <f>IF(B192="","",'Massas Corrigidas'!S78)</f>
        <v/>
      </c>
      <c r="D192" s="272" t="str">
        <f>IF(B192="",D189,B193/B192*D189)</f>
        <v/>
      </c>
      <c r="E192" s="245" t="str">
        <f>IF(B192="",E189,D192*((((((C190/B189)^2)+(((B190*C189)/(B189^2))^2))^0.5/(B190/B189))^2+((((C193/B192)^2+(B193*C192/(B192^2))^2))^0.5/(B193/B192))^2)^0.5))</f>
        <v/>
      </c>
      <c r="G192" s="141"/>
      <c r="H192" s="270" t="str">
        <f>IF('Entrada das intensidades'!B73&gt;0,'Entrada das intensidades'!B73,"")</f>
        <v/>
      </c>
      <c r="I192" s="327"/>
      <c r="J192" s="205" t="str">
        <f t="shared" si="22"/>
        <v/>
      </c>
      <c r="K192" s="205"/>
      <c r="L192" s="205"/>
      <c r="M192" s="205"/>
      <c r="N192" s="205"/>
      <c r="O192" s="205"/>
      <c r="P192" s="205"/>
      <c r="Q192" s="205"/>
      <c r="R192" s="326" t="str">
        <f>IF(R188="","","Incerteza expandida (mg.kg-1)")</f>
        <v/>
      </c>
      <c r="S192" s="148" t="str">
        <f>IFERROR(IF($S$96=1,S190*J188*O188,""),"")</f>
        <v/>
      </c>
      <c r="T192" s="115"/>
    </row>
    <row r="193" spans="1:32" x14ac:dyDescent="0.2">
      <c r="A193" s="150" t="str">
        <f>IF('Massas Corrigidas'!$P$76="","","Massa total")</f>
        <v/>
      </c>
      <c r="B193" s="215" t="str">
        <f>'Massas Corrigidas'!R79</f>
        <v/>
      </c>
      <c r="C193" s="265" t="str">
        <f>IF(B193="","",'Massas Corrigidas'!S79)</f>
        <v/>
      </c>
      <c r="D193" s="205"/>
      <c r="E193" s="220"/>
      <c r="G193" s="141"/>
      <c r="H193" s="270" t="str">
        <f>IF('Entrada das intensidades'!B74&gt;0,'Entrada das intensidades'!B74,"")</f>
        <v/>
      </c>
      <c r="I193" s="327"/>
      <c r="J193" s="205" t="str">
        <f t="shared" si="22"/>
        <v/>
      </c>
      <c r="K193" s="205"/>
      <c r="L193" s="205"/>
      <c r="M193" s="205"/>
      <c r="N193" s="205"/>
      <c r="O193" s="205"/>
      <c r="P193" s="205"/>
      <c r="Q193" s="205"/>
      <c r="R193" s="214"/>
      <c r="S193" s="214"/>
      <c r="T193" s="115"/>
    </row>
    <row r="194" spans="1:32" x14ac:dyDescent="0.2">
      <c r="A194" s="141" t="str">
        <f>IF('Massas Corrigidas'!W76="","",CONCATENATE("Terceira diluição Amostra ",'Massas Corrigidas'!I76))</f>
        <v/>
      </c>
      <c r="B194" s="205"/>
      <c r="C194" s="213"/>
      <c r="D194" s="214"/>
      <c r="E194" s="247"/>
      <c r="G194" s="141"/>
      <c r="H194" s="270" t="str">
        <f>IF('Entrada das intensidades'!B75&gt;0,'Entrada das intensidades'!B75,"")</f>
        <v/>
      </c>
      <c r="I194" s="327"/>
      <c r="J194" s="205" t="str">
        <f t="shared" si="22"/>
        <v/>
      </c>
      <c r="K194" s="205"/>
      <c r="L194" s="205"/>
      <c r="M194" s="205"/>
      <c r="N194" s="205"/>
      <c r="O194" s="205"/>
      <c r="P194" s="205"/>
      <c r="Q194" s="205"/>
      <c r="R194" s="214"/>
      <c r="S194" s="214"/>
      <c r="T194" s="115"/>
    </row>
    <row r="195" spans="1:32" x14ac:dyDescent="0.2">
      <c r="A195" s="150" t="str">
        <f>IF('Massas Corrigidas'!$W$76="","","Massa da amostra")</f>
        <v/>
      </c>
      <c r="B195" s="215" t="str">
        <f>'Massas Corrigidas'!Y78</f>
        <v/>
      </c>
      <c r="C195" s="265" t="str">
        <f>IF(B195="","",'Massas Corrigidas'!Z78)</f>
        <v/>
      </c>
      <c r="D195" s="272" t="str">
        <f>IF(B195="",D192,B196/B195*D192)</f>
        <v/>
      </c>
      <c r="E195" s="273" t="str">
        <f>IF(B195="",E192,D195*(((((C190/B189)^2)+(((B190*C189)/(B189^2))^2))^0.5/(B190/B189))^2+((((C193/B192)^2+(B193*C192/(B192^2))^2))^0.5/(B193/B192))^2+(((((C196/B195)^2+(B196*C195/(B195^2))^2))^0.5)/(B196/B195))^2)^0.5)</f>
        <v/>
      </c>
      <c r="G195" s="141"/>
      <c r="H195" s="270" t="str">
        <f>IF('Entrada das intensidades'!B76&gt;0,'Entrada das intensidades'!B76,"")</f>
        <v/>
      </c>
      <c r="I195" s="327"/>
      <c r="J195" s="205" t="str">
        <f t="shared" si="22"/>
        <v/>
      </c>
      <c r="K195" s="205"/>
      <c r="L195" s="205"/>
      <c r="M195" s="205"/>
      <c r="N195" s="205"/>
      <c r="O195" s="205"/>
      <c r="P195" s="205"/>
      <c r="Q195" s="205"/>
      <c r="R195" s="214"/>
      <c r="S195" s="214"/>
      <c r="T195" s="115"/>
    </row>
    <row r="196" spans="1:32" x14ac:dyDescent="0.2">
      <c r="A196" s="150" t="str">
        <f>IF('Massas Corrigidas'!$W$76="","","Massa total")</f>
        <v/>
      </c>
      <c r="B196" s="215" t="str">
        <f>'Massas Corrigidas'!Y79</f>
        <v/>
      </c>
      <c r="C196" s="265" t="str">
        <f>IF(B196="","",'Massas Corrigidas'!Z79)</f>
        <v/>
      </c>
      <c r="D196" s="205"/>
      <c r="E196" s="247"/>
      <c r="G196" s="141"/>
      <c r="H196" s="270"/>
      <c r="I196" s="327"/>
      <c r="J196" s="205"/>
      <c r="K196" s="205"/>
      <c r="L196" s="205"/>
      <c r="M196" s="205"/>
      <c r="N196" s="205"/>
      <c r="O196" s="205"/>
      <c r="P196" s="205"/>
      <c r="Q196" s="205"/>
      <c r="R196" s="214"/>
      <c r="S196" s="214"/>
      <c r="T196" s="115"/>
    </row>
    <row r="197" spans="1:32" x14ac:dyDescent="0.2">
      <c r="A197" s="141" t="str">
        <f>IF('Massas Corrigidas'!I81="","",CONCATENATE("Primeira diluição Amostra ",'Massas Corrigidas'!I81))</f>
        <v/>
      </c>
      <c r="B197" s="205"/>
      <c r="C197" s="205"/>
      <c r="D197" s="205"/>
      <c r="E197" s="270"/>
      <c r="G197" s="262" t="str">
        <f>IF('Massas Corrigidas'!I81="","",CONCATENATE("Amostra ",'Massas Corrigidas'!I81))</f>
        <v/>
      </c>
      <c r="H197" s="270" t="str">
        <f>IFERROR(AVERAGE(H198:H204),"")</f>
        <v/>
      </c>
      <c r="I197" s="327" t="str">
        <f>IFERROR(STDEV(H198:H204),"")</f>
        <v/>
      </c>
      <c r="J197" s="205" t="str">
        <f>IFERROR(AVERAGE(J198:J204),"")</f>
        <v/>
      </c>
      <c r="K197" s="263" t="str">
        <f>IF(H197="","",(E204/D204))</f>
        <v/>
      </c>
      <c r="L197" s="264" t="str">
        <f t="shared" ref="L197" si="23">IF(H197="","",IFERROR(((($B$48/$B$47)^2+($B$51/$B$50)^2+($B$54/$B$53)^2+($B$57/$B$56)^2+($B$60/$B$59)^2+($B$63/$B$62)^2)^0.5),((($B$48/$B$47)^2+($B$51/$B$50)^2+($B$54/$B$53)^2+($B$57/$B$56)^2+($B$60/$B$59)^2)^0.5)))</f>
        <v/>
      </c>
      <c r="M197" s="264" t="str">
        <f>IF(J197="","",STDEV(J198:J204)/J197)</f>
        <v/>
      </c>
      <c r="N197" s="264" t="str">
        <f>IF(H197="","",((($P$10/$P$7)*(SQRT((1/$E$12)+(1/$E$10)+(((J197/D204)-$P$16)^2)/$P$18))))/(J197/D204))</f>
        <v/>
      </c>
      <c r="O197" s="264" t="str">
        <f>IF(H197="","",(SQRT(L197^2+M197^2+N197^2+K197^2)))</f>
        <v/>
      </c>
      <c r="P197" s="271"/>
      <c r="Q197" s="209"/>
      <c r="R197" s="590" t="str">
        <f>IF($J$197="","",IF($S$96=1,CONCATENATE("Resultado final amostra ", 'Massas Corrigidas'!$I$81),""))</f>
        <v/>
      </c>
      <c r="S197" s="590"/>
      <c r="T197" s="145"/>
      <c r="U197" s="590"/>
      <c r="V197" s="590"/>
      <c r="W197" s="590"/>
      <c r="X197" s="590"/>
      <c r="Y197" s="590"/>
      <c r="Z197" s="590"/>
      <c r="AA197" s="590" t="str">
        <f>IF($J$197="","",IF($S$96=4,CONCATENATE("Resultado final amostra ", 'Massas Corrigidas'!$I$81),""))</f>
        <v/>
      </c>
      <c r="AB197" s="590"/>
      <c r="AC197" s="590"/>
      <c r="AD197" s="590"/>
      <c r="AE197" s="590"/>
      <c r="AF197" s="590"/>
    </row>
    <row r="198" spans="1:32" x14ac:dyDescent="0.2">
      <c r="A198" s="150" t="str">
        <f>IF('Massas Corrigidas'!$I$81="","","Massa da amostra")</f>
        <v/>
      </c>
      <c r="B198" s="215" t="str">
        <f>'Massas Corrigidas'!K83</f>
        <v/>
      </c>
      <c r="C198" s="265" t="str">
        <f>IF(B198="","",'Massas Corrigidas'!L83)</f>
        <v/>
      </c>
      <c r="D198" s="272" t="str">
        <f>IF(A197="","",IF(B198="",1,B199/B198))</f>
        <v/>
      </c>
      <c r="E198" s="245" t="str">
        <f>IF(B198="","",IF(D198=1,0,(((C199/B198)^2)+(((B199*C198)/(B198^2))^2))^0.5))</f>
        <v/>
      </c>
      <c r="G198" s="141"/>
      <c r="H198" s="270" t="str">
        <f>IF('Entrada das intensidades'!F70&gt;0,'Entrada das intensidades'!F70,"")</f>
        <v/>
      </c>
      <c r="I198" s="327"/>
      <c r="J198" s="205" t="str">
        <f t="shared" ref="J198:J204" si="24">IFERROR(((H198-$P$8)/$P$7)*$D$204,"")</f>
        <v/>
      </c>
      <c r="K198" s="205"/>
      <c r="L198" s="205"/>
      <c r="M198" s="205"/>
      <c r="N198" s="205"/>
      <c r="O198" s="205"/>
      <c r="P198" s="205"/>
      <c r="Q198" s="205"/>
      <c r="R198" s="326" t="str">
        <f>IF(R197="","","ueff")</f>
        <v/>
      </c>
      <c r="S198" s="267" t="str">
        <f>IFERROR(IF($S$96=1,(O197^4)/(((M197^4)/(7-1))+((N197^4)/(42-1))),""),"")</f>
        <v/>
      </c>
      <c r="T198" s="115"/>
      <c r="U198" s="326"/>
      <c r="V198" s="325"/>
      <c r="W198" s="148"/>
      <c r="X198" s="326"/>
      <c r="Y198" s="325"/>
      <c r="Z198" s="148"/>
      <c r="AA198" s="326" t="str">
        <f>IF(AA197="","","Fração mássica da amostra (mg.kg-1)")</f>
        <v/>
      </c>
      <c r="AB198" s="325"/>
      <c r="AC198" s="148" t="str">
        <f>IFERROR(IF($S$96=4,AVERAGE(J198:J204,J207:J213,J216:J222,J225:J231),""),"")</f>
        <v/>
      </c>
      <c r="AD198" s="326"/>
      <c r="AE198" s="325"/>
      <c r="AF198" s="148"/>
    </row>
    <row r="199" spans="1:32" x14ac:dyDescent="0.2">
      <c r="A199" s="150" t="str">
        <f>IF('Massas Corrigidas'!$I$81="","","Massa total")</f>
        <v/>
      </c>
      <c r="B199" s="215" t="str">
        <f>'Massas Corrigidas'!K84</f>
        <v/>
      </c>
      <c r="C199" s="265" t="str">
        <f>IF(B199="","",'Massas Corrigidas'!L84)</f>
        <v/>
      </c>
      <c r="D199" s="205"/>
      <c r="E199" s="246"/>
      <c r="G199" s="141"/>
      <c r="H199" s="270" t="str">
        <f>IF('Entrada das intensidades'!F71&gt;0,'Entrada das intensidades'!F71,"")</f>
        <v/>
      </c>
      <c r="I199" s="327"/>
      <c r="J199" s="205" t="str">
        <f t="shared" si="24"/>
        <v/>
      </c>
      <c r="K199" s="205"/>
      <c r="L199" s="205"/>
      <c r="M199" s="205"/>
      <c r="N199" s="205"/>
      <c r="O199" s="205"/>
      <c r="P199" s="205"/>
      <c r="Q199" s="205"/>
      <c r="R199" s="326" t="str">
        <f>IF(R197="","","K 0,05")</f>
        <v/>
      </c>
      <c r="S199" s="135" t="str">
        <f>IFERROR(IF($S$96=1,TINV(0.05,S198),""),"")</f>
        <v/>
      </c>
      <c r="T199" s="115"/>
      <c r="U199" s="326"/>
      <c r="V199" s="325"/>
      <c r="W199" s="148"/>
      <c r="X199" s="326"/>
      <c r="Y199" s="325"/>
      <c r="Z199" s="148"/>
      <c r="AA199" s="326" t="str">
        <f>IF(AA197="","","Incerteza expandida (mg.kg-1)")</f>
        <v/>
      </c>
      <c r="AB199" s="325"/>
      <c r="AC199" s="148" t="str">
        <f>IF(Q197="","",IF($S$96=4,2*(SQRT(SUMSQ(Q197,Q206,Q215,Q224))/SQRT($S$96)),""))</f>
        <v/>
      </c>
      <c r="AD199" s="326"/>
      <c r="AE199" s="325"/>
      <c r="AF199" s="148"/>
    </row>
    <row r="200" spans="1:32" x14ac:dyDescent="0.2">
      <c r="A200" s="141" t="str">
        <f>IF('Massas Corrigidas'!P81="","",CONCATENATE("Segunda diluição Amostra ",'Massas Corrigidas'!I81))</f>
        <v/>
      </c>
      <c r="B200" s="205"/>
      <c r="C200" s="213"/>
      <c r="D200" s="214"/>
      <c r="E200" s="247"/>
      <c r="G200" s="141"/>
      <c r="H200" s="270" t="str">
        <f>IF('Entrada das intensidades'!F72&gt;0,'Entrada das intensidades'!F72,"")</f>
        <v/>
      </c>
      <c r="I200" s="327"/>
      <c r="J200" s="205" t="str">
        <f t="shared" si="24"/>
        <v/>
      </c>
      <c r="K200" s="205"/>
      <c r="L200" s="205"/>
      <c r="M200" s="205"/>
      <c r="N200" s="205"/>
      <c r="O200" s="205"/>
      <c r="P200" s="205"/>
      <c r="Q200" s="205"/>
      <c r="R200" s="326" t="str">
        <f>IF(R197="","","Fração mássica da amostra (mg.kg-1)")</f>
        <v/>
      </c>
      <c r="S200" s="148" t="str">
        <f>IFERROR(IF($S$96=1,AVERAGE(J198:J204),""),"")</f>
        <v/>
      </c>
      <c r="T200" s="311"/>
    </row>
    <row r="201" spans="1:32" x14ac:dyDescent="0.2">
      <c r="A201" s="150" t="str">
        <f>IF('Massas Corrigidas'!$P$81="","","Massa da amostra")</f>
        <v/>
      </c>
      <c r="B201" s="215" t="str">
        <f>'Massas Corrigidas'!R83</f>
        <v/>
      </c>
      <c r="C201" s="265" t="str">
        <f>IF(B201="","",'Massas Corrigidas'!S83)</f>
        <v/>
      </c>
      <c r="D201" s="272" t="str">
        <f>IF(B201="",D198,B202/B201*D198)</f>
        <v/>
      </c>
      <c r="E201" s="245" t="str">
        <f>IF(B201="",E198,D201*((((((C199/B198)^2)+(((B199*C198)/(B198^2))^2))^0.5/(B199/B198))^2+((((C202/B201)^2+(B202*C201/(B201^2))^2))^0.5/(B202/B201))^2)^0.5))</f>
        <v/>
      </c>
      <c r="G201" s="141"/>
      <c r="H201" s="270" t="str">
        <f>IF('Entrada das intensidades'!F73&gt;0,'Entrada das intensidades'!F73,"")</f>
        <v/>
      </c>
      <c r="I201" s="327"/>
      <c r="J201" s="205" t="str">
        <f t="shared" si="24"/>
        <v/>
      </c>
      <c r="K201" s="205"/>
      <c r="L201" s="205"/>
      <c r="M201" s="205"/>
      <c r="N201" s="205"/>
      <c r="O201" s="205"/>
      <c r="P201" s="205"/>
      <c r="Q201" s="205"/>
      <c r="R201" s="326" t="str">
        <f>IF(R197="","","Incerteza expandida (mg.kg-1)")</f>
        <v/>
      </c>
      <c r="S201" s="148" t="str">
        <f>IFERROR(IF($S$96=1,S199*J197*O197,""),"")</f>
        <v/>
      </c>
      <c r="T201" s="115"/>
    </row>
    <row r="202" spans="1:32" x14ac:dyDescent="0.2">
      <c r="A202" s="150" t="str">
        <f>IF('Massas Corrigidas'!$P$81="","","Massa total")</f>
        <v/>
      </c>
      <c r="B202" s="215" t="str">
        <f>'Massas Corrigidas'!R84</f>
        <v/>
      </c>
      <c r="C202" s="265" t="str">
        <f>IF(B202="","",'Massas Corrigidas'!S84)</f>
        <v/>
      </c>
      <c r="D202" s="205"/>
      <c r="E202" s="220"/>
      <c r="G202" s="141"/>
      <c r="H202" s="270" t="str">
        <f>IF('Entrada das intensidades'!F74&gt;0,'Entrada das intensidades'!F74,"")</f>
        <v/>
      </c>
      <c r="I202" s="327"/>
      <c r="J202" s="205" t="str">
        <f t="shared" si="24"/>
        <v/>
      </c>
      <c r="K202" s="205"/>
      <c r="L202" s="205"/>
      <c r="M202" s="205"/>
      <c r="N202" s="205"/>
      <c r="O202" s="205"/>
      <c r="P202" s="205"/>
      <c r="Q202" s="205"/>
      <c r="R202" s="214"/>
      <c r="S202" s="214"/>
      <c r="T202" s="115"/>
    </row>
    <row r="203" spans="1:32" x14ac:dyDescent="0.2">
      <c r="A203" s="141" t="str">
        <f>IF('Massas Corrigidas'!W81="","",CONCATENATE("Terceira diluição Amostra ",'Massas Corrigidas'!I81))</f>
        <v/>
      </c>
      <c r="B203" s="205"/>
      <c r="C203" s="213"/>
      <c r="D203" s="214"/>
      <c r="E203" s="247"/>
      <c r="G203" s="141"/>
      <c r="H203" s="270" t="str">
        <f>IF('Entrada das intensidades'!F75&gt;0,'Entrada das intensidades'!F75,"")</f>
        <v/>
      </c>
      <c r="I203" s="327"/>
      <c r="J203" s="205" t="str">
        <f t="shared" si="24"/>
        <v/>
      </c>
      <c r="K203" s="205"/>
      <c r="L203" s="205"/>
      <c r="M203" s="205"/>
      <c r="N203" s="205"/>
      <c r="O203" s="205"/>
      <c r="P203" s="205"/>
      <c r="Q203" s="205"/>
      <c r="R203" s="214"/>
      <c r="S203" s="214"/>
      <c r="T203" s="115"/>
    </row>
    <row r="204" spans="1:32" x14ac:dyDescent="0.2">
      <c r="A204" s="150" t="str">
        <f>IF('Massas Corrigidas'!$SO$81="","","Massa da amostra")</f>
        <v/>
      </c>
      <c r="B204" s="215" t="str">
        <f>'Massas Corrigidas'!Y83</f>
        <v/>
      </c>
      <c r="C204" s="265" t="str">
        <f>IF(B204="","",'Massas Corrigidas'!Z83)</f>
        <v/>
      </c>
      <c r="D204" s="272" t="str">
        <f>IF(B204="",D201,B205/B204*D201)</f>
        <v/>
      </c>
      <c r="E204" s="273" t="str">
        <f>IF(B204="",E201,D204*(((((C199/B198)^2)+(((B199*C198)/(B198^2))^2))^0.5/(B199/B198))^2+((((C202/B201)^2+(B202*C201/(B201^2))^2))^0.5/(B202/B201))^2+(((((C205/B204)^2+(B205*C204/(B204^2))^2))^0.5)/(B205/B204))^2)^0.5)</f>
        <v/>
      </c>
      <c r="G204" s="141"/>
      <c r="H204" s="270" t="str">
        <f>IF('Entrada das intensidades'!F76&gt;0,'Entrada das intensidades'!F76,"")</f>
        <v/>
      </c>
      <c r="I204" s="327"/>
      <c r="J204" s="205" t="str">
        <f t="shared" si="24"/>
        <v/>
      </c>
      <c r="K204" s="205"/>
      <c r="L204" s="205"/>
      <c r="M204" s="205"/>
      <c r="N204" s="205"/>
      <c r="O204" s="205"/>
      <c r="P204" s="205"/>
      <c r="Q204" s="205"/>
      <c r="R204" s="214"/>
      <c r="S204" s="214"/>
      <c r="T204" s="115"/>
    </row>
    <row r="205" spans="1:32" x14ac:dyDescent="0.2">
      <c r="A205" s="150" t="str">
        <f>IF('Massas Corrigidas'!$W$81="","","Massa total")</f>
        <v/>
      </c>
      <c r="B205" s="215" t="str">
        <f>'Massas Corrigidas'!Y84</f>
        <v/>
      </c>
      <c r="C205" s="265" t="str">
        <f>IF(B205="","",'Massas Corrigidas'!Z84)</f>
        <v/>
      </c>
      <c r="D205" s="205"/>
      <c r="E205" s="247"/>
      <c r="G205" s="141"/>
      <c r="H205" s="270"/>
      <c r="I205" s="327"/>
      <c r="J205" s="205"/>
      <c r="K205" s="205"/>
      <c r="L205" s="205"/>
      <c r="M205" s="205"/>
      <c r="N205" s="205"/>
      <c r="O205" s="205"/>
      <c r="P205" s="205"/>
      <c r="Q205" s="205"/>
      <c r="R205" s="214"/>
      <c r="S205" s="214"/>
      <c r="T205" s="115"/>
    </row>
    <row r="206" spans="1:32" x14ac:dyDescent="0.2">
      <c r="A206" s="141" t="str">
        <f>IF('Massas Corrigidas'!I86="","",CONCATENATE("Primeira diluição Amostra ",'Massas Corrigidas'!I86))</f>
        <v/>
      </c>
      <c r="B206" s="205"/>
      <c r="C206" s="205"/>
      <c r="D206" s="205"/>
      <c r="E206" s="270"/>
      <c r="G206" s="262" t="str">
        <f>IF('Massas Corrigidas'!I86="","",CONCATENATE("Amostra ",'Massas Corrigidas'!I86))</f>
        <v/>
      </c>
      <c r="H206" s="270" t="str">
        <f>IFERROR(AVERAGE(H207:H213),"")</f>
        <v/>
      </c>
      <c r="I206" s="327" t="str">
        <f>IFERROR(STDEV(H207:H213),"")</f>
        <v/>
      </c>
      <c r="J206" s="205" t="str">
        <f>IFERROR(AVERAGE(J207:J213),"")</f>
        <v/>
      </c>
      <c r="K206" s="263" t="str">
        <f>IF(H206="","",(E213/D213))</f>
        <v/>
      </c>
      <c r="L206" s="264" t="str">
        <f t="shared" ref="L206" si="25">IF(H206="","",IFERROR(((($B$48/$B$47)^2+($B$51/$B$50)^2+($B$54/$B$53)^2+($B$57/$B$56)^2+($B$60/$B$59)^2+($B$63/$B$62)^2)^0.5),((($B$48/$B$47)^2+($B$51/$B$50)^2+($B$54/$B$53)^2+($B$57/$B$56)^2+($B$60/$B$59)^2)^0.5)))</f>
        <v/>
      </c>
      <c r="M206" s="264" t="str">
        <f>IF(J206="","",STDEV(J207:J213)/J206)</f>
        <v/>
      </c>
      <c r="N206" s="264" t="str">
        <f>IF(H206="","",((($P$10/$P$7)*(SQRT((1/$E$12)+(1/$E$10)+(((J206/D213)-$P$16)^2)/$P$18))))/(J206/D213))</f>
        <v/>
      </c>
      <c r="O206" s="264" t="str">
        <f>IF(H206="","",(SQRT(L206^2+M206^2+N206^2+K206^2)))</f>
        <v/>
      </c>
      <c r="P206" s="271"/>
      <c r="Q206" s="209"/>
      <c r="R206" s="590" t="str">
        <f>IF($J$206="","",IF($S$96=1,CONCATENATE("Resultado final amostra ", 'Massas Corrigidas'!$I$86),""))</f>
        <v/>
      </c>
      <c r="S206" s="590"/>
      <c r="T206" s="145"/>
      <c r="U206" s="590" t="str">
        <f>IF($J$206="","",IF($S$96=2,CONCATENATE("Resultado final amostra ", 'Massas Corrigidas'!$I$86),""))</f>
        <v/>
      </c>
      <c r="V206" s="590"/>
      <c r="W206" s="590"/>
      <c r="X206" s="590" t="str">
        <f>IF($J$206="","",IF($S$96=3,CONCATENATE("Resultado final amostra ", 'Massas Corrigidas'!$I$86),""))</f>
        <v/>
      </c>
      <c r="Y206" s="590"/>
      <c r="Z206" s="590"/>
      <c r="AA206" s="590"/>
      <c r="AB206" s="590"/>
      <c r="AC206" s="590"/>
      <c r="AD206" s="590"/>
      <c r="AE206" s="590"/>
      <c r="AF206" s="590"/>
    </row>
    <row r="207" spans="1:32" x14ac:dyDescent="0.2">
      <c r="A207" s="150" t="str">
        <f>IF('Massas Corrigidas'!$I$86="","","Massa da amostra")</f>
        <v/>
      </c>
      <c r="B207" s="215" t="str">
        <f>'Massas Corrigidas'!K88</f>
        <v/>
      </c>
      <c r="C207" s="265" t="str">
        <f>IF(B207="","",'Massas Corrigidas'!L88)</f>
        <v/>
      </c>
      <c r="D207" s="272" t="str">
        <f>IF(A206="","",IF(B207="",1,B208/B207))</f>
        <v/>
      </c>
      <c r="E207" s="245" t="str">
        <f>IF(B207="","",IF(D207=1,0,(((C208/B207)^2)+(((B208*C207)/(B207^2))^2))^0.5))</f>
        <v/>
      </c>
      <c r="G207" s="141"/>
      <c r="H207" s="270" t="str">
        <f>IF('Entrada das intensidades'!B79&gt;0,'Entrada das intensidades'!B79,"")</f>
        <v/>
      </c>
      <c r="I207" s="327"/>
      <c r="J207" s="205" t="str">
        <f t="shared" ref="J207:J213" si="26">IFERROR(((H207-$P$8)/$P$7)*$D$213,"")</f>
        <v/>
      </c>
      <c r="K207" s="205"/>
      <c r="L207" s="205"/>
      <c r="M207" s="205"/>
      <c r="N207" s="205"/>
      <c r="O207" s="205"/>
      <c r="P207" s="205"/>
      <c r="Q207" s="205"/>
      <c r="R207" s="326" t="str">
        <f>IF(R206="","","ueff")</f>
        <v/>
      </c>
      <c r="S207" s="267" t="str">
        <f>IFERROR(IF($S$96=1,(O206^4)/(((M206^4)/(7-1))+((N206^4)/(42-1))),""),"")</f>
        <v/>
      </c>
      <c r="T207" s="115"/>
      <c r="U207" s="326" t="str">
        <f>IF(U206="","","Fração mássica da amostra (mg.kg-1)")</f>
        <v/>
      </c>
      <c r="V207" s="325"/>
      <c r="W207" s="148" t="str">
        <f>IFERROR(IF($S$96=2,AVERAGE(J207:J213,J216:J222),""),"")</f>
        <v/>
      </c>
      <c r="X207" s="326" t="str">
        <f>IF(X206="","","Fração mássica da amostra (mg.kg-1)")</f>
        <v/>
      </c>
      <c r="Y207" s="325"/>
      <c r="Z207" s="148" t="str">
        <f>IFERROR(IF($S$96=3,AVERAGE(J207:J213,J216:J222,J225:J231),""),"")</f>
        <v/>
      </c>
      <c r="AA207" s="326"/>
      <c r="AB207" s="325"/>
      <c r="AC207" s="148"/>
      <c r="AD207" s="326"/>
      <c r="AE207" s="325"/>
      <c r="AF207" s="148"/>
    </row>
    <row r="208" spans="1:32" x14ac:dyDescent="0.2">
      <c r="A208" s="150" t="str">
        <f>IF('Massas Corrigidas'!$I$86="","","Massa total")</f>
        <v/>
      </c>
      <c r="B208" s="215" t="str">
        <f>'Massas Corrigidas'!K89</f>
        <v/>
      </c>
      <c r="C208" s="265" t="str">
        <f>IF(B208="","",'Massas Corrigidas'!L89)</f>
        <v/>
      </c>
      <c r="D208" s="205"/>
      <c r="E208" s="246"/>
      <c r="G208" s="141"/>
      <c r="H208" s="270" t="str">
        <f>IF('Entrada das intensidades'!B80&gt;0,'Entrada das intensidades'!B80,"")</f>
        <v/>
      </c>
      <c r="I208" s="327"/>
      <c r="J208" s="205" t="str">
        <f t="shared" si="26"/>
        <v/>
      </c>
      <c r="K208" s="205"/>
      <c r="L208" s="205"/>
      <c r="M208" s="205"/>
      <c r="N208" s="205"/>
      <c r="O208" s="205"/>
      <c r="P208" s="205"/>
      <c r="Q208" s="205"/>
      <c r="R208" s="326" t="str">
        <f>IF(R206="","","K 0,05")</f>
        <v/>
      </c>
      <c r="S208" s="135" t="str">
        <f>IFERROR(IF($S$96=1,TINV(0.05,S207),""),"")</f>
        <v/>
      </c>
      <c r="T208" s="115"/>
      <c r="U208" s="326" t="str">
        <f>IF(U206="","","Incerteza expandida (mg.kg-1)")</f>
        <v/>
      </c>
      <c r="V208" s="325"/>
      <c r="W208" s="148" t="str">
        <f>IF(Q206="","",IF($S$96=2,2*(SQRT(SUMSQ(Q206,Q215))/SQRT($S$96)),""))</f>
        <v/>
      </c>
      <c r="X208" s="326" t="str">
        <f>IF(X206="","","Incerteza expandida (mg.kg-1)")</f>
        <v/>
      </c>
      <c r="Y208" s="325"/>
      <c r="Z208" s="148" t="str">
        <f>IF(Q206="","",IF($S$96=3,2*(SQRT(SUMSQ(Q206,Q215,Q224))/SQRT($S$96)),""))</f>
        <v/>
      </c>
      <c r="AA208" s="326"/>
      <c r="AB208" s="325"/>
      <c r="AC208" s="148"/>
      <c r="AD208" s="326"/>
      <c r="AE208" s="325"/>
      <c r="AF208" s="148"/>
    </row>
    <row r="209" spans="1:32" x14ac:dyDescent="0.2">
      <c r="A209" s="141" t="str">
        <f>IF('Massas Corrigidas'!P86="","",CONCATENATE("Segunda diluição Amostra ",'Massas Corrigidas'!I86))</f>
        <v/>
      </c>
      <c r="B209" s="205"/>
      <c r="C209" s="213"/>
      <c r="D209" s="214"/>
      <c r="E209" s="247"/>
      <c r="G209" s="141"/>
      <c r="H209" s="270" t="str">
        <f>IF('Entrada das intensidades'!B81&gt;0,'Entrada das intensidades'!B81,"")</f>
        <v/>
      </c>
      <c r="I209" s="327"/>
      <c r="J209" s="205" t="str">
        <f t="shared" si="26"/>
        <v/>
      </c>
      <c r="K209" s="205"/>
      <c r="L209" s="205"/>
      <c r="M209" s="205"/>
      <c r="N209" s="205"/>
      <c r="O209" s="205"/>
      <c r="P209" s="205"/>
      <c r="Q209" s="205"/>
      <c r="R209" s="326" t="str">
        <f>IF(R206="","","Fração mássica da amostra (mg.kg-1)")</f>
        <v/>
      </c>
      <c r="S209" s="148" t="str">
        <f>IFERROR(IF($S$96=1,AVERAGE(J207:J213),""),"")</f>
        <v/>
      </c>
      <c r="T209" s="311"/>
    </row>
    <row r="210" spans="1:32" x14ac:dyDescent="0.2">
      <c r="A210" s="150" t="str">
        <f>IF('Massas Corrigidas'!$P$86="","","Massa da amostra")</f>
        <v/>
      </c>
      <c r="B210" s="215" t="str">
        <f>'Massas Corrigidas'!R88</f>
        <v/>
      </c>
      <c r="C210" s="265" t="str">
        <f>IF(B210="","",'Massas Corrigidas'!S88)</f>
        <v/>
      </c>
      <c r="D210" s="272" t="str">
        <f>IF(B210="",D207,B211/B210*D207)</f>
        <v/>
      </c>
      <c r="E210" s="245" t="str">
        <f>IF(B210="",E207,D210*((((((C208/B207)^2)+(((B208*C207)/(B207^2))^2))^0.5/(B208/B207))^2+((((C211/B210)^2+(B211*C210/(B210^2))^2))^0.5/(B211/B210))^2)^0.5))</f>
        <v/>
      </c>
      <c r="G210" s="141"/>
      <c r="H210" s="270" t="str">
        <f>IF('Entrada das intensidades'!B82&gt;0,'Entrada das intensidades'!B82,"")</f>
        <v/>
      </c>
      <c r="I210" s="327"/>
      <c r="J210" s="205" t="str">
        <f t="shared" si="26"/>
        <v/>
      </c>
      <c r="K210" s="205"/>
      <c r="L210" s="205"/>
      <c r="M210" s="205"/>
      <c r="N210" s="205"/>
      <c r="O210" s="205"/>
      <c r="P210" s="205"/>
      <c r="Q210" s="205"/>
      <c r="R210" s="326" t="str">
        <f>IF(R206="","","Incerteza expandida (mg.kg-1)")</f>
        <v/>
      </c>
      <c r="S210" s="148" t="str">
        <f>IFERROR(IF($S$96=1,S208*J206*O206,""),"")</f>
        <v/>
      </c>
      <c r="T210" s="115"/>
    </row>
    <row r="211" spans="1:32" x14ac:dyDescent="0.2">
      <c r="A211" s="150" t="str">
        <f>IF('Massas Corrigidas'!$P$86="","","Massa total")</f>
        <v/>
      </c>
      <c r="B211" s="215" t="str">
        <f>'Massas Corrigidas'!R89</f>
        <v/>
      </c>
      <c r="C211" s="265" t="str">
        <f>IF(B211="","",'Massas Corrigidas'!S89)</f>
        <v/>
      </c>
      <c r="D211" s="205"/>
      <c r="E211" s="220"/>
      <c r="G211" s="141"/>
      <c r="H211" s="270" t="str">
        <f>IF('Entrada das intensidades'!B83&gt;0,'Entrada das intensidades'!B83,"")</f>
        <v/>
      </c>
      <c r="I211" s="327"/>
      <c r="J211" s="205" t="str">
        <f t="shared" si="26"/>
        <v/>
      </c>
      <c r="K211" s="205"/>
      <c r="L211" s="205"/>
      <c r="M211" s="205"/>
      <c r="N211" s="205"/>
      <c r="O211" s="205"/>
      <c r="P211" s="205"/>
      <c r="Q211" s="205"/>
      <c r="R211" s="214"/>
      <c r="S211" s="214"/>
      <c r="T211" s="115"/>
    </row>
    <row r="212" spans="1:32" x14ac:dyDescent="0.2">
      <c r="A212" s="141" t="str">
        <f>IF('Massas Corrigidas'!W86="","",CONCATENATE("Terceira diluição Amostra ",'Massas Corrigidas'!I86))</f>
        <v/>
      </c>
      <c r="B212" s="205"/>
      <c r="C212" s="213"/>
      <c r="D212" s="214"/>
      <c r="E212" s="247"/>
      <c r="G212" s="141"/>
      <c r="H212" s="270" t="str">
        <f>IF('Entrada das intensidades'!B84&gt;0,'Entrada das intensidades'!B84,"")</f>
        <v/>
      </c>
      <c r="I212" s="327"/>
      <c r="J212" s="205" t="str">
        <f t="shared" si="26"/>
        <v/>
      </c>
      <c r="K212" s="205"/>
      <c r="L212" s="205"/>
      <c r="M212" s="205"/>
      <c r="N212" s="205"/>
      <c r="O212" s="205"/>
      <c r="P212" s="205"/>
      <c r="Q212" s="205"/>
      <c r="R212" s="214"/>
      <c r="S212" s="214"/>
      <c r="T212" s="115"/>
    </row>
    <row r="213" spans="1:32" x14ac:dyDescent="0.2">
      <c r="A213" s="150" t="str">
        <f>IF('Massas Corrigidas'!$W$86="","","Massa da amostra")</f>
        <v/>
      </c>
      <c r="B213" s="215" t="str">
        <f>'Massas Corrigidas'!Y88</f>
        <v/>
      </c>
      <c r="C213" s="265" t="str">
        <f>IF(B213="","",'Massas Corrigidas'!Z88)</f>
        <v/>
      </c>
      <c r="D213" s="272" t="str">
        <f>IF(B213="",D210,B214/B213*D210)</f>
        <v/>
      </c>
      <c r="E213" s="273" t="str">
        <f>IF(B213="",E210,D213*(((((C208/B207)^2)+(((B208*C207)/(B207^2))^2))^0.5/(B208/B207))^2+((((C211/B210)^2+(B211*C210/(B210^2))^2))^0.5/(B211/B210))^2+(((((C214/B213)^2+(B214*C213/(B213^2))^2))^0.5)/(B214/B213))^2)^0.5)</f>
        <v/>
      </c>
      <c r="G213" s="141"/>
      <c r="H213" s="270" t="str">
        <f>IF('Entrada das intensidades'!B85&gt;0,'Entrada das intensidades'!B85,"")</f>
        <v/>
      </c>
      <c r="I213" s="327"/>
      <c r="J213" s="205" t="str">
        <f t="shared" si="26"/>
        <v/>
      </c>
      <c r="K213" s="205"/>
      <c r="L213" s="205"/>
      <c r="M213" s="205"/>
      <c r="N213" s="205"/>
      <c r="O213" s="205"/>
      <c r="P213" s="205"/>
      <c r="Q213" s="205"/>
      <c r="R213" s="214"/>
      <c r="S213" s="214"/>
      <c r="T213" s="115"/>
    </row>
    <row r="214" spans="1:32" x14ac:dyDescent="0.2">
      <c r="A214" s="150" t="str">
        <f>IF('Massas Corrigidas'!$W$86="","","Massa total")</f>
        <v/>
      </c>
      <c r="B214" s="215" t="str">
        <f>'Massas Corrigidas'!Y89</f>
        <v/>
      </c>
      <c r="C214" s="265" t="str">
        <f>IF(B214="","",'Massas Corrigidas'!Z89)</f>
        <v/>
      </c>
      <c r="D214" s="205"/>
      <c r="E214" s="247"/>
      <c r="G214" s="141"/>
      <c r="H214" s="270"/>
      <c r="I214" s="327"/>
      <c r="J214" s="205"/>
      <c r="K214" s="205"/>
      <c r="L214" s="205"/>
      <c r="M214" s="205"/>
      <c r="N214" s="205"/>
      <c r="O214" s="205"/>
      <c r="P214" s="205"/>
      <c r="Q214" s="205"/>
      <c r="R214" s="214"/>
      <c r="S214" s="214"/>
      <c r="T214" s="115"/>
    </row>
    <row r="215" spans="1:32" x14ac:dyDescent="0.2">
      <c r="A215" s="141" t="str">
        <f>IF('Massas Corrigidas'!I91="","",CONCATENATE("Primeira diluição Amostra ",'Massas Corrigidas'!I91))</f>
        <v/>
      </c>
      <c r="B215" s="205"/>
      <c r="C215" s="205"/>
      <c r="D215" s="205"/>
      <c r="E215" s="270"/>
      <c r="G215" s="262" t="str">
        <f>IF('Massas Corrigidas'!I91="","",CONCATENATE("Amostra ",'Massas Corrigidas'!I91))</f>
        <v/>
      </c>
      <c r="H215" s="270" t="str">
        <f>IFERROR(AVERAGE(H216:H222),"")</f>
        <v/>
      </c>
      <c r="I215" s="327" t="str">
        <f>IFERROR(STDEV(H216:H222),"")</f>
        <v/>
      </c>
      <c r="J215" s="205" t="str">
        <f>IFERROR(AVERAGE(J216:J222),"")</f>
        <v/>
      </c>
      <c r="K215" s="263" t="str">
        <f>IF(H215="","",(E222/D222))</f>
        <v/>
      </c>
      <c r="L215" s="264" t="str">
        <f t="shared" ref="L215" si="27">IF(H215="","",IFERROR(((($B$48/$B$47)^2+($B$51/$B$50)^2+($B$54/$B$53)^2+($B$57/$B$56)^2+($B$60/$B$59)^2+($B$63/$B$62)^2)^0.5),((($B$48/$B$47)^2+($B$51/$B$50)^2+($B$54/$B$53)^2+($B$57/$B$56)^2+($B$60/$B$59)^2)^0.5)))</f>
        <v/>
      </c>
      <c r="M215" s="264" t="str">
        <f>IF(J215="","",STDEV(J216:J222)/J215)</f>
        <v/>
      </c>
      <c r="N215" s="264" t="str">
        <f>IF(H215="","",((($P$10/$P$7)*(SQRT((1/$E$12)+(1/$E$10)+(((J215/D222)-$P$16)^2)/$P$18))))/(J215/D222))</f>
        <v/>
      </c>
      <c r="O215" s="264" t="str">
        <f>IF(H215="","",(SQRT(L215^2+M215^2+N215^2+K215^2)))</f>
        <v/>
      </c>
      <c r="P215" s="271"/>
      <c r="Q215" s="209"/>
      <c r="R215" s="590" t="str">
        <f>IF($J$215="","",IF($S$96=1,CONCATENATE("Resultado final amostra ", 'Massas Corrigidas'!$I$91),""))</f>
        <v/>
      </c>
      <c r="S215" s="590"/>
      <c r="T215" s="145"/>
      <c r="U215" s="590"/>
      <c r="V215" s="590"/>
      <c r="W215" s="590"/>
      <c r="X215" s="590"/>
      <c r="Y215" s="590"/>
      <c r="Z215" s="590"/>
      <c r="AA215" s="590"/>
      <c r="AB215" s="590"/>
      <c r="AC215" s="590"/>
      <c r="AD215" s="590"/>
      <c r="AE215" s="590"/>
      <c r="AF215" s="590"/>
    </row>
    <row r="216" spans="1:32" x14ac:dyDescent="0.2">
      <c r="A216" s="150" t="str">
        <f>IF('Massas Corrigidas'!$I$91="","","Massa da amostra")</f>
        <v/>
      </c>
      <c r="B216" s="215" t="str">
        <f>'Massas Corrigidas'!K93</f>
        <v/>
      </c>
      <c r="C216" s="265" t="str">
        <f>IF(B216="","",'Massas Corrigidas'!L93)</f>
        <v/>
      </c>
      <c r="D216" s="272" t="str">
        <f>IF(A215="","",IF(B216="",1,B217/B216))</f>
        <v/>
      </c>
      <c r="E216" s="245" t="str">
        <f>IF(B216="","",IF(D216=1,0,(((C217/B216)^2)+(((B217*C216)/(B216^2))^2))^0.5))</f>
        <v/>
      </c>
      <c r="G216" s="141"/>
      <c r="H216" s="270" t="str">
        <f>IF('Entrada das intensidades'!F79&gt;0,'Entrada das intensidades'!F79,"")</f>
        <v/>
      </c>
      <c r="I216" s="327"/>
      <c r="J216" s="205" t="str">
        <f t="shared" ref="J216:J222" si="28">IFERROR(((H216-$P$8)/$P$7)*$D$222,"")</f>
        <v/>
      </c>
      <c r="K216" s="205"/>
      <c r="L216" s="205"/>
      <c r="M216" s="205"/>
      <c r="N216" s="205"/>
      <c r="O216" s="205"/>
      <c r="P216" s="205"/>
      <c r="Q216" s="205"/>
      <c r="R216" s="326" t="str">
        <f>IF(R215="","","ueff")</f>
        <v/>
      </c>
      <c r="S216" s="267" t="str">
        <f>IFERROR(IF($S$96=1,(O215^4)/(((M215^4)/(7-1))+((N215^4)/(42-1))),""),"")</f>
        <v/>
      </c>
      <c r="T216" s="115"/>
      <c r="U216" s="326"/>
      <c r="V216" s="325"/>
      <c r="W216" s="148"/>
      <c r="X216" s="326"/>
      <c r="Y216" s="325"/>
      <c r="Z216" s="148"/>
      <c r="AA216" s="326"/>
      <c r="AB216" s="325"/>
      <c r="AC216" s="148"/>
      <c r="AD216" s="326"/>
      <c r="AE216" s="325"/>
      <c r="AF216" s="148"/>
    </row>
    <row r="217" spans="1:32" x14ac:dyDescent="0.2">
      <c r="A217" s="150" t="str">
        <f>IF('Massas Corrigidas'!$I$91="","","Massa total")</f>
        <v/>
      </c>
      <c r="B217" s="215" t="str">
        <f>'Massas Corrigidas'!K94</f>
        <v/>
      </c>
      <c r="C217" s="265" t="str">
        <f>IF(B217="","",'Massas Corrigidas'!L94)</f>
        <v/>
      </c>
      <c r="D217" s="205"/>
      <c r="E217" s="246"/>
      <c r="G217" s="141"/>
      <c r="H217" s="270" t="str">
        <f>IF('Entrada das intensidades'!F80&gt;0,'Entrada das intensidades'!F80,"")</f>
        <v/>
      </c>
      <c r="I217" s="327"/>
      <c r="J217" s="205" t="str">
        <f t="shared" si="28"/>
        <v/>
      </c>
      <c r="K217" s="205"/>
      <c r="L217" s="205"/>
      <c r="M217" s="205"/>
      <c r="N217" s="205"/>
      <c r="O217" s="205"/>
      <c r="P217" s="205"/>
      <c r="Q217" s="205"/>
      <c r="R217" s="326" t="str">
        <f>IF(R215="","","K 0,05")</f>
        <v/>
      </c>
      <c r="S217" s="135" t="str">
        <f>IFERROR(IF($S$96=1,TINV(0.05,S216),""),"")</f>
        <v/>
      </c>
      <c r="T217" s="115"/>
      <c r="U217" s="326"/>
      <c r="V217" s="325"/>
      <c r="W217" s="148"/>
      <c r="X217" s="326"/>
      <c r="Y217" s="325"/>
      <c r="Z217" s="148"/>
      <c r="AA217" s="326"/>
      <c r="AB217" s="325"/>
      <c r="AC217" s="148"/>
      <c r="AD217" s="326"/>
      <c r="AE217" s="325"/>
      <c r="AF217" s="148"/>
    </row>
    <row r="218" spans="1:32" x14ac:dyDescent="0.2">
      <c r="A218" s="141" t="str">
        <f>IF('Massas Corrigidas'!P91="","",CONCATENATE("Segunda diluição Amostra ",'Massas Corrigidas'!I91))</f>
        <v/>
      </c>
      <c r="B218" s="205"/>
      <c r="C218" s="213"/>
      <c r="D218" s="214"/>
      <c r="E218" s="247"/>
      <c r="G218" s="141"/>
      <c r="H218" s="270" t="str">
        <f>IF('Entrada das intensidades'!F81&gt;0,'Entrada das intensidades'!F81,"")</f>
        <v/>
      </c>
      <c r="I218" s="327"/>
      <c r="J218" s="205" t="str">
        <f t="shared" si="28"/>
        <v/>
      </c>
      <c r="K218" s="205"/>
      <c r="L218" s="205"/>
      <c r="M218" s="205"/>
      <c r="N218" s="205"/>
      <c r="O218" s="205"/>
      <c r="P218" s="205"/>
      <c r="Q218" s="205"/>
      <c r="R218" s="326" t="str">
        <f>IF(R215="","","Fração mássica da amostra (mg.kg-1)")</f>
        <v/>
      </c>
      <c r="S218" s="148" t="str">
        <f>IFERROR(IF($S$96=1,AVERAGE(J216:J222),""),"")</f>
        <v/>
      </c>
      <c r="T218" s="311"/>
    </row>
    <row r="219" spans="1:32" x14ac:dyDescent="0.2">
      <c r="A219" s="150" t="str">
        <f>IF('Massas Corrigidas'!$P$91="","","Massa da amostra")</f>
        <v/>
      </c>
      <c r="B219" s="215" t="str">
        <f>'Massas Corrigidas'!R93</f>
        <v/>
      </c>
      <c r="C219" s="265" t="str">
        <f>IF(B219="","",'Massas Corrigidas'!S93)</f>
        <v/>
      </c>
      <c r="D219" s="272" t="str">
        <f>IF(B219="",D216,B220/B219*D216)</f>
        <v/>
      </c>
      <c r="E219" s="245" t="str">
        <f>IF(B219="",E216,D219*((((((C217/B216)^2)+(((B217*C216)/(B216^2))^2))^0.5/(B217/B216))^2+((((C220/B219)^2+(B220*C219/(B219^2))^2))^0.5/(B220/B219))^2)^0.5))</f>
        <v/>
      </c>
      <c r="G219" s="141"/>
      <c r="H219" s="270" t="str">
        <f>IF('Entrada das intensidades'!F82&gt;0,'Entrada das intensidades'!F82,"")</f>
        <v/>
      </c>
      <c r="I219" s="327"/>
      <c r="J219" s="205" t="str">
        <f t="shared" si="28"/>
        <v/>
      </c>
      <c r="K219" s="205"/>
      <c r="L219" s="205"/>
      <c r="M219" s="205"/>
      <c r="N219" s="205"/>
      <c r="O219" s="205"/>
      <c r="P219" s="205"/>
      <c r="Q219" s="205"/>
      <c r="R219" s="326" t="str">
        <f>IF(R215="","","Incerteza expandida (mg.kg-1)")</f>
        <v/>
      </c>
      <c r="S219" s="148" t="str">
        <f>IFERROR(IF($S$96=1,S217*J215*O215,""),"")</f>
        <v/>
      </c>
      <c r="T219" s="115"/>
    </row>
    <row r="220" spans="1:32" x14ac:dyDescent="0.2">
      <c r="A220" s="150" t="str">
        <f>IF('Massas Corrigidas'!$P$91="","","Massa total")</f>
        <v/>
      </c>
      <c r="B220" s="215" t="str">
        <f>'Massas Corrigidas'!R94</f>
        <v/>
      </c>
      <c r="C220" s="265" t="str">
        <f>IF(B220="","",'Massas Corrigidas'!S94)</f>
        <v/>
      </c>
      <c r="D220" s="205"/>
      <c r="E220" s="220"/>
      <c r="G220" s="141"/>
      <c r="H220" s="270" t="str">
        <f>IF('Entrada das intensidades'!F83&gt;0,'Entrada das intensidades'!F83,"")</f>
        <v/>
      </c>
      <c r="I220" s="327"/>
      <c r="J220" s="205" t="str">
        <f t="shared" si="28"/>
        <v/>
      </c>
      <c r="K220" s="205"/>
      <c r="L220" s="205"/>
      <c r="M220" s="205"/>
      <c r="N220" s="205"/>
      <c r="O220" s="205"/>
      <c r="P220" s="205"/>
      <c r="Q220" s="205"/>
      <c r="R220" s="214"/>
      <c r="S220" s="214"/>
      <c r="T220" s="115"/>
    </row>
    <row r="221" spans="1:32" x14ac:dyDescent="0.2">
      <c r="A221" s="141" t="str">
        <f>IF('Massas Corrigidas'!W91="","",CONCATENATE("Terceira diluição Amostra ",'Massas Corrigidas'!I91))</f>
        <v/>
      </c>
      <c r="B221" s="205"/>
      <c r="C221" s="213"/>
      <c r="D221" s="214"/>
      <c r="E221" s="247"/>
      <c r="G221" s="141"/>
      <c r="H221" s="270" t="str">
        <f>IF('Entrada das intensidades'!F84&gt;0,'Entrada das intensidades'!F84,"")</f>
        <v/>
      </c>
      <c r="I221" s="327"/>
      <c r="J221" s="205" t="str">
        <f t="shared" si="28"/>
        <v/>
      </c>
      <c r="K221" s="205"/>
      <c r="L221" s="205"/>
      <c r="M221" s="205"/>
      <c r="N221" s="205"/>
      <c r="O221" s="205"/>
      <c r="P221" s="205"/>
      <c r="Q221" s="205"/>
      <c r="R221" s="214"/>
      <c r="S221" s="214"/>
      <c r="T221" s="115"/>
    </row>
    <row r="222" spans="1:32" x14ac:dyDescent="0.2">
      <c r="A222" s="150" t="str">
        <f>IF('Massas Corrigidas'!$W$91="","","Massa da amostra")</f>
        <v/>
      </c>
      <c r="B222" s="215" t="str">
        <f>'Massas Corrigidas'!Y93</f>
        <v/>
      </c>
      <c r="C222" s="265" t="str">
        <f>IF(B222="","",'Massas Corrigidas'!Z93)</f>
        <v/>
      </c>
      <c r="D222" s="272" t="str">
        <f>IF(B222="",D219,B223/B222*D219)</f>
        <v/>
      </c>
      <c r="E222" s="273" t="str">
        <f>IF(B222="",E219,D222*(((((C217/B216)^2)+(((B217*C216)/(B216^2))^2))^0.5/(B217/B216))^2+((((C220/B219)^2+(B220*C219/(B219^2))^2))^0.5/(B220/B219))^2+(((((C223/B222)^2+(B223*C222/(B222^2))^2))^0.5)/(B223/B222))^2)^0.5)</f>
        <v/>
      </c>
      <c r="G222" s="141"/>
      <c r="H222" s="270" t="str">
        <f>IF('Entrada das intensidades'!F85&gt;0,'Entrada das intensidades'!F85,"")</f>
        <v/>
      </c>
      <c r="I222" s="327"/>
      <c r="J222" s="205" t="str">
        <f t="shared" si="28"/>
        <v/>
      </c>
      <c r="K222" s="205"/>
      <c r="L222" s="205"/>
      <c r="M222" s="205"/>
      <c r="N222" s="205"/>
      <c r="O222" s="205"/>
      <c r="P222" s="205"/>
      <c r="Q222" s="205"/>
      <c r="R222" s="214"/>
      <c r="S222" s="214"/>
      <c r="T222" s="115"/>
    </row>
    <row r="223" spans="1:32" x14ac:dyDescent="0.2">
      <c r="A223" s="150" t="str">
        <f>IF('Massas Corrigidas'!$W$91="","","Massa total")</f>
        <v/>
      </c>
      <c r="B223" s="215" t="str">
        <f>'Massas Corrigidas'!Y94</f>
        <v/>
      </c>
      <c r="C223" s="265" t="str">
        <f>IF(B223="","",'Massas Corrigidas'!Z94)</f>
        <v/>
      </c>
      <c r="D223" s="205"/>
      <c r="E223" s="247"/>
      <c r="G223" s="141"/>
      <c r="H223" s="270"/>
      <c r="I223" s="327"/>
      <c r="J223" s="205"/>
      <c r="K223" s="205"/>
      <c r="L223" s="205"/>
      <c r="M223" s="205"/>
      <c r="N223" s="205"/>
      <c r="O223" s="205"/>
      <c r="P223" s="205"/>
      <c r="Q223" s="205"/>
      <c r="R223" s="214"/>
      <c r="S223" s="214"/>
      <c r="T223" s="115"/>
    </row>
    <row r="224" spans="1:32" x14ac:dyDescent="0.2">
      <c r="A224" s="262" t="str">
        <f>IF('Massas Corrigidas'!I96="","",CONCATENATE("Primeira diluição Amostra ",'Massas Corrigidas'!I96))</f>
        <v/>
      </c>
      <c r="B224" s="205"/>
      <c r="C224" s="205"/>
      <c r="D224" s="205"/>
      <c r="E224" s="270"/>
      <c r="G224" s="262" t="str">
        <f>IF('Massas Corrigidas'!I96="","",CONCATENATE("Amostra ",'Massas Corrigidas'!I96))</f>
        <v/>
      </c>
      <c r="H224" s="328" t="str">
        <f>IFERROR(AVERAGE(H225:H231),"")</f>
        <v/>
      </c>
      <c r="I224" s="327" t="str">
        <f>IFERROR(STDEV(H225:H231),"")</f>
        <v/>
      </c>
      <c r="J224" s="205" t="str">
        <f>IFERROR(AVERAGE(J225:J231),"")</f>
        <v/>
      </c>
      <c r="K224" s="263" t="str">
        <f>IF(H224="","",(E231/D231))</f>
        <v/>
      </c>
      <c r="L224" s="264" t="str">
        <f t="shared" ref="L224" si="29">IF(H224="","",IFERROR(((($B$48/$B$47)^2+($B$51/$B$50)^2+($B$54/$B$53)^2+($B$57/$B$56)^2+($B$60/$B$59)^2+($B$63/$B$62)^2)^0.5),((($B$48/$B$47)^2+($B$51/$B$50)^2+($B$54/$B$53)^2+($B$57/$B$56)^2+($B$60/$B$59)^2)^0.5)))</f>
        <v/>
      </c>
      <c r="M224" s="264" t="str">
        <f>IF(J224="","",STDEV(J225:J231)/J224)</f>
        <v/>
      </c>
      <c r="N224" s="264" t="str">
        <f>IF(H224="","",((($P$10/$P$7)*(SQRT((1/$E$12)+(1/$E$10)+(((J224/D231)-$P$16)^2)/$P$18))))/(J224/D231))</f>
        <v/>
      </c>
      <c r="O224" s="264" t="str">
        <f>IF(H224="","",(SQRT(L224^2+M224^2+N224^2+K224^2)))</f>
        <v/>
      </c>
      <c r="P224" s="271"/>
      <c r="Q224" s="209"/>
      <c r="R224" s="590" t="str">
        <f>IF($J$224="","",IF($S$96=1,CONCATENATE("Resultado final amostra ", 'Massas Corrigidas'!$I$96),""))</f>
        <v/>
      </c>
      <c r="S224" s="590"/>
      <c r="T224" s="145"/>
      <c r="U224" s="590" t="str">
        <f>IF($J$224="","",IF($S$96=2,CONCATENATE("Resultado final amostra ", 'Massas Corrigidas'!$I$96),""))</f>
        <v/>
      </c>
      <c r="V224" s="590"/>
      <c r="W224" s="590"/>
      <c r="X224" s="590"/>
      <c r="Y224" s="590"/>
      <c r="Z224" s="590"/>
      <c r="AA224" s="590"/>
      <c r="AB224" s="590"/>
      <c r="AC224" s="590"/>
      <c r="AD224" s="590"/>
      <c r="AE224" s="590"/>
      <c r="AF224" s="590"/>
    </row>
    <row r="225" spans="1:32" x14ac:dyDescent="0.2">
      <c r="A225" s="150" t="str">
        <f>IF('Massas Corrigidas'!I96="","","Massa da amostra")</f>
        <v/>
      </c>
      <c r="B225" s="215" t="str">
        <f>'Massas Corrigidas'!K98</f>
        <v/>
      </c>
      <c r="C225" s="265" t="str">
        <f>IF(B225="","",'Massas Corrigidas'!L98)</f>
        <v/>
      </c>
      <c r="D225" s="272" t="str">
        <f>IF(A224="","",IF(B225="",1,B226/B225))</f>
        <v/>
      </c>
      <c r="E225" s="245" t="str">
        <f>IF(B225="","",IF(D225=1,0,(((C226/B225)^2)+(((B226*C225)/(B225^2))^2))^0.5))</f>
        <v/>
      </c>
      <c r="G225" s="141"/>
      <c r="H225" s="270" t="str">
        <f>IF('Entrada das intensidades'!B88&gt;0,'Entrada das intensidades'!B88,"")</f>
        <v/>
      </c>
      <c r="I225" s="327"/>
      <c r="J225" s="205" t="str">
        <f>IFERROR(((H225-$P$8)/$P$7)*$D$231,"")</f>
        <v/>
      </c>
      <c r="L225" s="205"/>
      <c r="R225" s="326" t="str">
        <f>IF(R224="","","ueff")</f>
        <v/>
      </c>
      <c r="S225" s="267" t="str">
        <f>IFERROR(IF($S$96=1,(O224^4)/(((M224^4)/(7-1))+((N224^4)/(42-1))),""),"")</f>
        <v/>
      </c>
      <c r="T225" s="148"/>
      <c r="U225" s="326" t="str">
        <f>IF(U224="","","Fração mássica da amostra (mg.kg-1)")</f>
        <v/>
      </c>
      <c r="V225" s="325"/>
      <c r="W225" s="148" t="str">
        <f>IFERROR(IF($S$96=2,AVERAGE(J225:J231,J234:J240),""),"")</f>
        <v/>
      </c>
      <c r="X225" s="326"/>
      <c r="Y225" s="325"/>
      <c r="Z225" s="148"/>
      <c r="AA225" s="326"/>
      <c r="AB225" s="325"/>
      <c r="AC225" s="148"/>
      <c r="AD225" s="326"/>
      <c r="AE225" s="325"/>
      <c r="AF225" s="148"/>
    </row>
    <row r="226" spans="1:32" x14ac:dyDescent="0.2">
      <c r="A226" s="150" t="str">
        <f>IF('Massas Corrigidas'!I96="","","Massa total")</f>
        <v/>
      </c>
      <c r="B226" s="215" t="str">
        <f>'Massas Corrigidas'!K99</f>
        <v/>
      </c>
      <c r="C226" s="265" t="str">
        <f>IF(B226="","",'Massas Corrigidas'!L99)</f>
        <v/>
      </c>
      <c r="D226" s="205"/>
      <c r="E226" s="246"/>
      <c r="G226" s="141"/>
      <c r="H226" s="270" t="str">
        <f>IF('Entrada das intensidades'!B89&gt;0,'Entrada das intensidades'!B89,"")</f>
        <v/>
      </c>
      <c r="I226" s="327"/>
      <c r="J226" s="205" t="str">
        <f t="shared" ref="J226:J231" si="30">IFERROR(((H226-$P$8)/$P$7)*$D$231,"")</f>
        <v/>
      </c>
      <c r="L226" s="205"/>
      <c r="R226" s="326" t="str">
        <f>IF(R224="","","K 0,05")</f>
        <v/>
      </c>
      <c r="S226" s="135" t="str">
        <f>IFERROR(IF($S$96=1,TINV(0.05,S225),""),"")</f>
        <v/>
      </c>
      <c r="T226" s="148"/>
      <c r="U226" s="326" t="str">
        <f>IF(U224="","","Incerteza expandida (mg.kg-1)")</f>
        <v/>
      </c>
      <c r="V226" s="325"/>
      <c r="W226" s="148" t="str">
        <f>IF(Q224="","",IF($S$96=2,2*(SQRT(SUMSQ(Q224,Q233))/SQRT($S$96)),""))</f>
        <v/>
      </c>
      <c r="X226" s="326"/>
      <c r="Y226" s="325"/>
      <c r="Z226" s="148"/>
      <c r="AA226" s="326"/>
      <c r="AB226" s="325"/>
      <c r="AC226" s="148"/>
      <c r="AD226" s="326"/>
      <c r="AE226" s="325"/>
      <c r="AF226" s="148"/>
    </row>
    <row r="227" spans="1:32" x14ac:dyDescent="0.2">
      <c r="A227" s="141" t="str">
        <f>IF('Massas Corrigidas'!P96="","",CONCATENATE("Segunda diluição Amostra ",'Massas Corrigidas'!I96))</f>
        <v/>
      </c>
      <c r="B227" s="205"/>
      <c r="C227" s="213"/>
      <c r="D227" s="214"/>
      <c r="E227" s="247"/>
      <c r="G227" s="141"/>
      <c r="H227" s="270" t="str">
        <f>IF('Entrada das intensidades'!B90&gt;0,'Entrada das intensidades'!B90,"")</f>
        <v/>
      </c>
      <c r="I227" s="327"/>
      <c r="J227" s="205" t="str">
        <f t="shared" si="30"/>
        <v/>
      </c>
      <c r="L227" s="205"/>
      <c r="R227" s="326" t="str">
        <f>IF(R224="","","Fração mássica da amostra (mg.kg-1)")</f>
        <v/>
      </c>
      <c r="S227" s="148" t="str">
        <f>IFERROR(IF($S$96=1,AVERAGE(J225:J231),""),"")</f>
        <v/>
      </c>
      <c r="T227" s="311"/>
    </row>
    <row r="228" spans="1:32" x14ac:dyDescent="0.2">
      <c r="A228" s="150" t="str">
        <f>IF('Massas Corrigidas'!$P$96="","","Massa da amostra")</f>
        <v/>
      </c>
      <c r="B228" s="215" t="str">
        <f>'Massas Corrigidas'!R98</f>
        <v/>
      </c>
      <c r="C228" s="265" t="str">
        <f>IF(B228="","",'Massas Corrigidas'!S98)</f>
        <v/>
      </c>
      <c r="D228" s="272" t="str">
        <f>IF(B228="",D225,B229/B228*D225)</f>
        <v/>
      </c>
      <c r="E228" s="245" t="str">
        <f>IF(B228="",E225,D228*((((((C226/B225)^2)+(((B226*C225)/(B225^2))^2))^0.5/(B226/B225))^2+((((C229/B228)^2+(B229*C228/(B228^2))^2))^0.5/(B229/B228))^2)^0.5))</f>
        <v/>
      </c>
      <c r="G228" s="141"/>
      <c r="H228" s="270" t="str">
        <f>IF('Entrada das intensidades'!B91&gt;0,'Entrada das intensidades'!B91,"")</f>
        <v/>
      </c>
      <c r="I228" s="327"/>
      <c r="J228" s="205" t="str">
        <f t="shared" si="30"/>
        <v/>
      </c>
      <c r="L228" s="205"/>
      <c r="R228" s="326" t="str">
        <f>IF(R224="","","Incerteza expandida (mg.kg-1)")</f>
        <v/>
      </c>
      <c r="S228" s="148" t="str">
        <f>IFERROR(IF($S$96=1,S226*J224*O224,""),"")</f>
        <v/>
      </c>
      <c r="T228" s="214"/>
    </row>
    <row r="229" spans="1:32" x14ac:dyDescent="0.2">
      <c r="A229" s="150" t="str">
        <f>IF('Massas Corrigidas'!$P$96="","","Massa total")</f>
        <v/>
      </c>
      <c r="B229" s="215" t="str">
        <f>'Massas Corrigidas'!R99</f>
        <v/>
      </c>
      <c r="C229" s="265" t="str">
        <f>IF(B229="","",'Massas Corrigidas'!S99)</f>
        <v/>
      </c>
      <c r="D229" s="205"/>
      <c r="E229" s="220"/>
      <c r="G229" s="141"/>
      <c r="H229" s="270" t="str">
        <f>IF('Entrada das intensidades'!B92&gt;0,'Entrada das intensidades'!B92,"")</f>
        <v/>
      </c>
      <c r="I229" s="327"/>
      <c r="J229" s="205" t="str">
        <f t="shared" si="30"/>
        <v/>
      </c>
      <c r="L229" s="205"/>
      <c r="R229" s="214"/>
      <c r="S229" s="214"/>
      <c r="T229" s="214"/>
    </row>
    <row r="230" spans="1:32" x14ac:dyDescent="0.2">
      <c r="A230" s="141" t="str">
        <f>IF('Massas Corrigidas'!W96="","",CONCATENATE("Terceira diluição Amostra ",'Massas Corrigidas'!I96))</f>
        <v/>
      </c>
      <c r="B230" s="205"/>
      <c r="C230" s="213"/>
      <c r="D230" s="214"/>
      <c r="E230" s="247"/>
      <c r="G230" s="141"/>
      <c r="H230" s="270" t="str">
        <f>IF('Entrada das intensidades'!B93&gt;0,'Entrada das intensidades'!B93,"")</f>
        <v/>
      </c>
      <c r="I230" s="327"/>
      <c r="J230" s="205" t="str">
        <f t="shared" si="30"/>
        <v/>
      </c>
      <c r="L230" s="205"/>
      <c r="R230" s="214"/>
      <c r="S230" s="214"/>
      <c r="T230" s="214"/>
    </row>
    <row r="231" spans="1:32" x14ac:dyDescent="0.2">
      <c r="A231" s="150" t="str">
        <f>IF('Massas Corrigidas'!$W$96="","","Massa da amostra")</f>
        <v/>
      </c>
      <c r="B231" s="215" t="str">
        <f>'Massas Corrigidas'!Y98</f>
        <v/>
      </c>
      <c r="C231" s="265" t="str">
        <f>IF(B231="","",'Massas Corrigidas'!Z98)</f>
        <v/>
      </c>
      <c r="D231" s="272" t="str">
        <f>IF(B231="",D228,B232/B231*D228)</f>
        <v/>
      </c>
      <c r="E231" s="273" t="str">
        <f>IF(B231="",E228,D231*(((((C226/B225)^2)+(((B226*C225)/(B225^2))^2))^0.5/(B226/B225))^2+((((C229/B228)^2+(B229*C228/(B228^2))^2))^0.5/(B229/B228))^2+(((((C232/B231)^2+(B232*C231/(B231^2))^2))^0.5)/(B232/B231))^2)^0.5)</f>
        <v/>
      </c>
      <c r="G231" s="141"/>
      <c r="H231" s="270" t="str">
        <f>IF('Entrada das intensidades'!B94&gt;0,'Entrada das intensidades'!B94,"")</f>
        <v/>
      </c>
      <c r="I231" s="327"/>
      <c r="J231" s="205" t="str">
        <f t="shared" si="30"/>
        <v/>
      </c>
      <c r="L231" s="205"/>
      <c r="R231" s="214"/>
      <c r="S231" s="214"/>
      <c r="T231" s="214"/>
    </row>
    <row r="232" spans="1:32" x14ac:dyDescent="0.2">
      <c r="A232" s="150" t="str">
        <f>IF('Massas Corrigidas'!$W$96="","","Massa total")</f>
        <v/>
      </c>
      <c r="B232" s="215" t="str">
        <f>'Massas Corrigidas'!Y99</f>
        <v/>
      </c>
      <c r="C232" s="265" t="str">
        <f>IF(B232="","",'Massas Corrigidas'!Z99)</f>
        <v/>
      </c>
      <c r="D232" s="205"/>
      <c r="E232" s="247"/>
      <c r="G232" s="141"/>
      <c r="H232" s="329"/>
      <c r="I232" s="274"/>
      <c r="L232" s="205"/>
      <c r="R232" s="214"/>
      <c r="S232" s="214"/>
      <c r="T232" s="214"/>
    </row>
    <row r="233" spans="1:32" x14ac:dyDescent="0.2">
      <c r="A233" s="141" t="str">
        <f>IF('Massas Corrigidas'!I101="","",CONCATENATE("Primeira diluição Amostra ",'Massas Corrigidas'!I101))</f>
        <v/>
      </c>
      <c r="B233" s="205"/>
      <c r="C233" s="205"/>
      <c r="D233" s="205"/>
      <c r="E233" s="270"/>
      <c r="G233" s="262" t="str">
        <f>IF('Massas Corrigidas'!I101="","",CONCATENATE("Amostra ",'Massas Corrigidas'!I101))</f>
        <v/>
      </c>
      <c r="H233" s="329" t="str">
        <f>IFERROR(AVERAGE(H234:H240),"")</f>
        <v/>
      </c>
      <c r="I233" s="327" t="str">
        <f>IFERROR(STDEV(H234:H240),"")</f>
        <v/>
      </c>
      <c r="J233" s="205" t="str">
        <f>IFERROR(AVERAGE(J234:J240),"")</f>
        <v/>
      </c>
      <c r="K233" s="263" t="str">
        <f>IF(H233="","",(E240/D240))</f>
        <v/>
      </c>
      <c r="L233" s="264" t="str">
        <f t="shared" ref="L233" si="31">IF(H233="","",IFERROR(((($B$48/$B$47)^2+($B$51/$B$50)^2+($B$54/$B$53)^2+($B$57/$B$56)^2+($B$60/$B$59)^2+($B$63/$B$62)^2)^0.5),((($B$48/$B$47)^2+($B$51/$B$50)^2+($B$54/$B$53)^2+($B$57/$B$56)^2+($B$60/$B$59)^2)^0.5)))</f>
        <v/>
      </c>
      <c r="M233" s="264" t="str">
        <f>IF(J233="","",STDEV(J234:J240)/J233)</f>
        <v/>
      </c>
      <c r="N233" s="264" t="str">
        <f>IF(H233="","",((($P$10/$P$7)*(SQRT((1/$E$12)+(1/$E$10)+(((J233/D240)-$P$16)^2)/$P$18))))/(J233/D240))</f>
        <v/>
      </c>
      <c r="O233" s="264" t="str">
        <f>IF(H233="","",(SQRT(L233^2+M233^2+N233^2+K233^2)))</f>
        <v/>
      </c>
      <c r="P233" s="271"/>
      <c r="Q233" s="209"/>
      <c r="R233" s="590" t="str">
        <f>IF($J$233="","",IF($S$96=1,CONCATENATE("Resultado final amostra ", 'Massas Corrigidas'!$I$101),""))</f>
        <v/>
      </c>
      <c r="S233" s="590"/>
      <c r="T233" s="145"/>
      <c r="U233" s="590"/>
      <c r="V233" s="590"/>
      <c r="W233" s="590"/>
      <c r="X233" s="590" t="str">
        <f>IF($J$233="","",IF($S$96=3,CONCATENATE("Resultado final amostra ", 'Massas Corrigidas'!$I$101),""))</f>
        <v/>
      </c>
      <c r="Y233" s="590"/>
      <c r="Z233" s="590"/>
      <c r="AA233" s="590" t="str">
        <f>IF($J$233="","",IF($S$96=4,CONCATENATE("Resultado final amostra ", 'Massas Corrigidas'!$I$101),""))</f>
        <v/>
      </c>
      <c r="AB233" s="590"/>
      <c r="AC233" s="590"/>
      <c r="AD233" s="590" t="str">
        <f>IF($J$233="","",IF($S$96=5,CONCATENATE("Resultado final amostra ", 'Massas Corrigidas'!$I$101),""))</f>
        <v/>
      </c>
      <c r="AE233" s="590"/>
      <c r="AF233" s="590"/>
    </row>
    <row r="234" spans="1:32" x14ac:dyDescent="0.2">
      <c r="A234" s="150" t="str">
        <f>IF('Massas Corrigidas'!$I$101="","","Massa da amostra")</f>
        <v/>
      </c>
      <c r="B234" s="215" t="str">
        <f>'Massas Corrigidas'!K103</f>
        <v/>
      </c>
      <c r="C234" s="265" t="str">
        <f>IF(B234="","",'Massas Corrigidas'!L103)</f>
        <v/>
      </c>
      <c r="D234" s="272" t="str">
        <f>IF(A233="","",IF(B234="",1,B235/B234))</f>
        <v/>
      </c>
      <c r="E234" s="245" t="str">
        <f>IF(B234="","",IF(D234=1,0,(((C235/B234)^2)+(((B235*C234)/(B234^2))^2))^0.5))</f>
        <v/>
      </c>
      <c r="G234" s="141"/>
      <c r="H234" s="270" t="str">
        <f>IF('Entrada das intensidades'!F88&gt;0,'Entrada das intensidades'!F88,"")</f>
        <v/>
      </c>
      <c r="I234" s="327"/>
      <c r="J234" s="205" t="str">
        <f>IFERROR(((H234-$P$8)/$P$7)*$D$240,"")</f>
        <v/>
      </c>
      <c r="L234" s="205"/>
      <c r="R234" s="326" t="str">
        <f>IF(R233="","","ueff")</f>
        <v/>
      </c>
      <c r="S234" s="267" t="str">
        <f>IFERROR(IF($S$96=1,(O233^4)/(((M233^4)/(7-1))+((N233^4)/(42-1))),""),"")</f>
        <v/>
      </c>
      <c r="T234" s="115"/>
      <c r="U234" s="326"/>
      <c r="V234" s="325"/>
      <c r="W234" s="148"/>
      <c r="X234" s="326" t="str">
        <f>IF(X233="","","Fração mássica da amostra (mg.kg-1)")</f>
        <v/>
      </c>
      <c r="Y234" s="325"/>
      <c r="Z234" s="148" t="str">
        <f>IFERROR(IF($S$96=3,AVERAGE(J234:J240,J243:J249,J252:J258),""),"")</f>
        <v/>
      </c>
      <c r="AA234" s="326" t="str">
        <f>IF(AA233="","","Fração mássica da amostra (mg.kg-1)")</f>
        <v/>
      </c>
      <c r="AB234" s="325"/>
      <c r="AC234" s="148" t="str">
        <f>IFERROR(IF($S$96=4,AVERAGE(J234:J240,J243:J249,J252:J258,J261:J267),""),"")</f>
        <v/>
      </c>
      <c r="AD234" s="326" t="str">
        <f>IF(AD233="","","Fração mássica da amostra (mg.kg-1)")</f>
        <v/>
      </c>
      <c r="AE234" s="325"/>
      <c r="AF234" s="148" t="str">
        <f>IFERROR(IF($S$96=5,AVERAGE(J234:J240,J243:J249,J252:J258,J261:J267,J270:J276),""),"")</f>
        <v/>
      </c>
    </row>
    <row r="235" spans="1:32" x14ac:dyDescent="0.2">
      <c r="A235" s="150" t="str">
        <f>IF('Massas Corrigidas'!$I$101="","","Massa total")</f>
        <v/>
      </c>
      <c r="B235" s="215" t="str">
        <f>'Massas Corrigidas'!K104</f>
        <v/>
      </c>
      <c r="C235" s="265" t="str">
        <f>IF(B235="","",'Massas Corrigidas'!L104)</f>
        <v/>
      </c>
      <c r="D235" s="205"/>
      <c r="E235" s="246"/>
      <c r="G235" s="141"/>
      <c r="H235" s="270" t="str">
        <f>IF('Entrada das intensidades'!F89&gt;0,'Entrada das intensidades'!F89,"")</f>
        <v/>
      </c>
      <c r="I235" s="327"/>
      <c r="J235" s="205" t="str">
        <f t="shared" ref="J235:J240" si="32">IFERROR(((H235-$P$8)/$P$7)*$D$240,"")</f>
        <v/>
      </c>
      <c r="L235" s="205"/>
      <c r="R235" s="326" t="str">
        <f>IF(R233="","","K 0,05")</f>
        <v/>
      </c>
      <c r="S235" s="135" t="str">
        <f>IFERROR(IF($S$96=1,TINV(0.05,S234),""),"")</f>
        <v/>
      </c>
      <c r="T235" s="115"/>
      <c r="U235" s="326"/>
      <c r="V235" s="325"/>
      <c r="W235" s="148"/>
      <c r="X235" s="326" t="str">
        <f>IF(X233="","","Incerteza expandida (mg.kg-1)")</f>
        <v/>
      </c>
      <c r="Y235" s="325"/>
      <c r="Z235" s="148" t="str">
        <f>IF(Q233="","",IF($S$96=3,2*(SQRT(SUMSQ(Q233,Q242,Q251))/SQRT($S$96)),""))</f>
        <v/>
      </c>
      <c r="AA235" s="326" t="str">
        <f>IF(AA233="","","Incerteza expandida (mg.kg-1)")</f>
        <v/>
      </c>
      <c r="AB235" s="325"/>
      <c r="AC235" s="148" t="str">
        <f>IF(Q233="","",IF($S$96=4,2*(SQRT(SUMSQ(Q233,Q242,Q251,Q260))/SQRT($S$96)),""))</f>
        <v/>
      </c>
      <c r="AD235" s="326" t="str">
        <f>IF(AD233="","","Incerteza expandida (mg.kg-1)")</f>
        <v/>
      </c>
      <c r="AE235" s="325"/>
      <c r="AF235" s="148" t="str">
        <f>IF(Q233="","",IF($S$96=5,2*(SQRT(SUMSQ(Q233,Q242,Q251,Q260,Q269))/SQRT($S$96)),""))</f>
        <v/>
      </c>
    </row>
    <row r="236" spans="1:32" x14ac:dyDescent="0.2">
      <c r="A236" s="141" t="str">
        <f>IF('Massas Corrigidas'!P101="","",CONCATENATE("Segunda diluição Amostra ",'Massas Corrigidas'!I101))</f>
        <v/>
      </c>
      <c r="B236" s="205"/>
      <c r="C236" s="213"/>
      <c r="D236" s="214"/>
      <c r="E236" s="247"/>
      <c r="G236" s="141"/>
      <c r="H236" s="270" t="str">
        <f>IF('Entrada das intensidades'!F90&gt;0,'Entrada das intensidades'!F90,"")</f>
        <v/>
      </c>
      <c r="I236" s="327"/>
      <c r="J236" s="205" t="str">
        <f t="shared" si="32"/>
        <v/>
      </c>
      <c r="L236" s="205"/>
      <c r="R236" s="326" t="str">
        <f>IF(R233="","","Fração mássica da amostra (mg.kg-1)")</f>
        <v/>
      </c>
      <c r="S236" s="148" t="str">
        <f>IFERROR(IF($S$96=1,AVERAGE(J234:J240),""),"")</f>
        <v/>
      </c>
      <c r="T236" s="311"/>
    </row>
    <row r="237" spans="1:32" x14ac:dyDescent="0.2">
      <c r="A237" s="150" t="str">
        <f>IF('Massas Corrigidas'!$P$101="","","Massa da amostra")</f>
        <v/>
      </c>
      <c r="B237" s="215" t="str">
        <f>'Massas Corrigidas'!R103</f>
        <v/>
      </c>
      <c r="C237" s="265" t="str">
        <f>IF(B237="","",'Massas Corrigidas'!S103)</f>
        <v/>
      </c>
      <c r="D237" s="272" t="str">
        <f>IF(B237="",D234,B238/B237*D234)</f>
        <v/>
      </c>
      <c r="E237" s="245" t="str">
        <f>IF(B237="",E234,D237*((((((C235/B234)^2)+(((B235*C234)/(B234^2))^2))^0.5/(B235/B234))^2+((((C238/B237)^2+(B238*C237/(B237^2))^2))^0.5/(B238/B237))^2)^0.5))</f>
        <v/>
      </c>
      <c r="G237" s="141"/>
      <c r="H237" s="270" t="str">
        <f>IF('Entrada das intensidades'!F91&gt;0,'Entrada das intensidades'!F91,"")</f>
        <v/>
      </c>
      <c r="I237" s="327"/>
      <c r="J237" s="205" t="str">
        <f t="shared" si="32"/>
        <v/>
      </c>
      <c r="L237" s="205"/>
      <c r="R237" s="326" t="str">
        <f>IF(R233="","","Incerteza expandida (mg.kg-1)")</f>
        <v/>
      </c>
      <c r="S237" s="148" t="str">
        <f>IFERROR(IF($S$96=1,S235*J233*O233,""),"")</f>
        <v/>
      </c>
      <c r="T237" s="115"/>
    </row>
    <row r="238" spans="1:32" x14ac:dyDescent="0.2">
      <c r="A238" s="150" t="str">
        <f>IF('Massas Corrigidas'!$P$101="","","Massa total")</f>
        <v/>
      </c>
      <c r="B238" s="215" t="str">
        <f>'Massas Corrigidas'!R104</f>
        <v/>
      </c>
      <c r="C238" s="265" t="str">
        <f>IF(B238="","",'Massas Corrigidas'!S104)</f>
        <v/>
      </c>
      <c r="D238" s="205"/>
      <c r="E238" s="220"/>
      <c r="G238" s="141"/>
      <c r="H238" s="270" t="str">
        <f>IF('Entrada das intensidades'!F92&gt;0,'Entrada das intensidades'!F92,"")</f>
        <v/>
      </c>
      <c r="I238" s="327"/>
      <c r="J238" s="205" t="str">
        <f t="shared" si="32"/>
        <v/>
      </c>
      <c r="L238" s="205"/>
      <c r="R238" s="214"/>
      <c r="S238" s="214"/>
      <c r="T238" s="115"/>
    </row>
    <row r="239" spans="1:32" x14ac:dyDescent="0.2">
      <c r="A239" s="141" t="str">
        <f>IF('Massas Corrigidas'!W101="","",CONCATENATE("Terceira diluição Amostra ",'Massas Corrigidas'!I101))</f>
        <v/>
      </c>
      <c r="B239" s="205"/>
      <c r="C239" s="213"/>
      <c r="D239" s="214"/>
      <c r="E239" s="247"/>
      <c r="G239" s="141"/>
      <c r="H239" s="270" t="str">
        <f>IF('Entrada das intensidades'!F93&gt;0,'Entrada das intensidades'!F93,"")</f>
        <v/>
      </c>
      <c r="I239" s="327"/>
      <c r="J239" s="205" t="str">
        <f t="shared" si="32"/>
        <v/>
      </c>
      <c r="L239" s="205"/>
      <c r="R239" s="214"/>
      <c r="S239" s="214"/>
      <c r="T239" s="115"/>
    </row>
    <row r="240" spans="1:32" x14ac:dyDescent="0.2">
      <c r="A240" s="150" t="str">
        <f>IF('Massas Corrigidas'!$W$101="","","Massa da amostra")</f>
        <v/>
      </c>
      <c r="B240" s="215" t="str">
        <f>'Massas Corrigidas'!Y103</f>
        <v/>
      </c>
      <c r="C240" s="265" t="str">
        <f>IF(B240="","",'Massas Corrigidas'!Z103)</f>
        <v/>
      </c>
      <c r="D240" s="272" t="str">
        <f>IF(B240="",D237,B241/B240*D237)</f>
        <v/>
      </c>
      <c r="E240" s="273" t="str">
        <f>IF(B240="",E237,D240*(((((C235/B234)^2)+(((B235*C234)/(B234^2))^2))^0.5/(B235/B234))^2+((((C238/B237)^2+(B238*C237/(B237^2))^2))^0.5/(B238/B237))^2+(((((C241/B240)^2+(B241*C240/(B240^2))^2))^0.5)/(B241/B240))^2)^0.5)</f>
        <v/>
      </c>
      <c r="G240" s="141"/>
      <c r="H240" s="270" t="str">
        <f>IF('Entrada das intensidades'!F94&gt;0,'Entrada das intensidades'!F94,"")</f>
        <v/>
      </c>
      <c r="I240" s="327"/>
      <c r="J240" s="205" t="str">
        <f t="shared" si="32"/>
        <v/>
      </c>
      <c r="L240" s="205"/>
      <c r="R240" s="214"/>
      <c r="S240" s="214"/>
      <c r="T240" s="115"/>
    </row>
    <row r="241" spans="1:32" x14ac:dyDescent="0.2">
      <c r="A241" s="150" t="str">
        <f>IF('Massas Corrigidas'!$W$101="","","Massa total")</f>
        <v/>
      </c>
      <c r="B241" s="215" t="str">
        <f>'Massas Corrigidas'!Y104</f>
        <v/>
      </c>
      <c r="C241" s="265" t="str">
        <f>IF(B241="","",'Massas Corrigidas'!Z104)</f>
        <v/>
      </c>
      <c r="D241" s="205"/>
      <c r="E241" s="247"/>
      <c r="G241" s="141"/>
      <c r="H241" s="329"/>
      <c r="I241" s="274"/>
      <c r="L241" s="205"/>
      <c r="R241" s="214"/>
      <c r="S241" s="214"/>
      <c r="T241" s="115"/>
    </row>
    <row r="242" spans="1:32" x14ac:dyDescent="0.2">
      <c r="A242" s="141" t="str">
        <f>IF('Massas Corrigidas'!I106="","",CONCATENATE("Primeira diluição Amostra ",'Massas Corrigidas'!I106))</f>
        <v/>
      </c>
      <c r="B242" s="205"/>
      <c r="C242" s="205"/>
      <c r="D242" s="205"/>
      <c r="E242" s="270"/>
      <c r="G242" s="262" t="str">
        <f>IF('Massas Corrigidas'!I106="","",CONCATENATE("Amostra ",'Massas Corrigidas'!I106))</f>
        <v/>
      </c>
      <c r="H242" s="329" t="str">
        <f>IFERROR(AVERAGE(H243:H249),"")</f>
        <v/>
      </c>
      <c r="I242" s="327" t="str">
        <f>IFERROR(STDEV(H243:H249),"")</f>
        <v/>
      </c>
      <c r="J242" s="205" t="str">
        <f>IFERROR(AVERAGE(J243:J249),"")</f>
        <v/>
      </c>
      <c r="K242" s="263" t="str">
        <f>IF(H242="","",(E249/D249))</f>
        <v/>
      </c>
      <c r="L242" s="264" t="str">
        <f t="shared" ref="L242" si="33">IF(H242="","",IFERROR(((($B$48/$B$47)^2+($B$51/$B$50)^2+($B$54/$B$53)^2+($B$57/$B$56)^2+($B$60/$B$59)^2+($B$63/$B$62)^2)^0.5),((($B$48/$B$47)^2+($B$51/$B$50)^2+($B$54/$B$53)^2+($B$57/$B$56)^2+($B$60/$B$59)^2)^0.5)))</f>
        <v/>
      </c>
      <c r="M242" s="264" t="str">
        <f>IF(J242="","",STDEV(J243:J249)/J242)</f>
        <v/>
      </c>
      <c r="N242" s="264" t="str">
        <f>IF(H242="","",((($P$10/$P$7)*(SQRT((1/$E$12)+(1/$E$10)+(((J242/D249)-$P$16)^2)/$P$18))))/(J242/D249))</f>
        <v/>
      </c>
      <c r="O242" s="264" t="str">
        <f>IF(H242="","",(SQRT(L242^2+M242^2+N242^2+K242^2)))</f>
        <v/>
      </c>
      <c r="P242" s="271"/>
      <c r="Q242" s="209"/>
      <c r="R242" s="590" t="str">
        <f>IF($J$242="","",IF($S$96=1,CONCATENATE("Resultado final amostra ", 'Massas Corrigidas'!$I$106),""))</f>
        <v/>
      </c>
      <c r="S242" s="590"/>
      <c r="T242" s="145"/>
      <c r="U242" s="590" t="str">
        <f>IF($J$242="","",IF($S$96=2,CONCATENATE("Resultado final amostra ", 'Massas Corrigidas'!$I$106),""))</f>
        <v/>
      </c>
      <c r="V242" s="590"/>
      <c r="W242" s="590"/>
      <c r="X242" s="590"/>
      <c r="Y242" s="590"/>
      <c r="Z242" s="590"/>
      <c r="AA242" s="590"/>
      <c r="AB242" s="590"/>
      <c r="AC242" s="590"/>
      <c r="AD242" s="590"/>
      <c r="AE242" s="590"/>
      <c r="AF242" s="590"/>
    </row>
    <row r="243" spans="1:32" x14ac:dyDescent="0.2">
      <c r="A243" s="150" t="str">
        <f>IF('Massas Corrigidas'!$I$106="","","Massa da amostra")</f>
        <v/>
      </c>
      <c r="B243" s="215" t="str">
        <f>'Massas Corrigidas'!K108</f>
        <v/>
      </c>
      <c r="C243" s="265" t="str">
        <f>IF(B243="","",'Massas Corrigidas'!L108)</f>
        <v/>
      </c>
      <c r="D243" s="272" t="str">
        <f>IF(A242="","",IF(B243="",1,B244/B243))</f>
        <v/>
      </c>
      <c r="E243" s="245" t="str">
        <f>IF(B243="","",IF(D243=1,0,(((C244/B243)^2)+(((B244*C243)/(B243^2))^2))^0.5))</f>
        <v/>
      </c>
      <c r="G243" s="141"/>
      <c r="H243" s="270" t="str">
        <f>IF('Entrada das intensidades'!B97&gt;0,'Entrada das intensidades'!B97,"")</f>
        <v/>
      </c>
      <c r="I243" s="327"/>
      <c r="J243" s="205" t="str">
        <f>IFERROR(((H243-$P$8)/$P$7)*$D$249,"")</f>
        <v/>
      </c>
      <c r="L243" s="205"/>
      <c r="R243" s="326" t="str">
        <f>IF(R242="","","ueff")</f>
        <v/>
      </c>
      <c r="S243" s="267" t="str">
        <f>IFERROR(IF($S$96=1,(O242^4)/(((M242^4)/(7-1))+((N242^4)/(42-1))),""),"")</f>
        <v/>
      </c>
      <c r="T243" s="115"/>
      <c r="U243" s="326" t="str">
        <f>IF(U242="","","Fração mássica da amostra (mg.kg-1)")</f>
        <v/>
      </c>
      <c r="V243" s="325"/>
      <c r="W243" s="148" t="str">
        <f>IFERROR(IF($S$96=2,AVERAGE(J243:J249,J252:J258),""),"")</f>
        <v/>
      </c>
      <c r="X243" s="326"/>
      <c r="Y243" s="325"/>
      <c r="Z243" s="148"/>
      <c r="AA243" s="326"/>
      <c r="AB243" s="325"/>
      <c r="AC243" s="148"/>
      <c r="AD243" s="326"/>
      <c r="AE243" s="325"/>
      <c r="AF243" s="148"/>
    </row>
    <row r="244" spans="1:32" x14ac:dyDescent="0.2">
      <c r="A244" s="150" t="str">
        <f>IF('Massas Corrigidas'!$I$106="","","Massa total")</f>
        <v/>
      </c>
      <c r="B244" s="215" t="str">
        <f>'Massas Corrigidas'!K109</f>
        <v/>
      </c>
      <c r="C244" s="265" t="str">
        <f>IF(B244="","",'Massas Corrigidas'!L109)</f>
        <v/>
      </c>
      <c r="D244" s="205"/>
      <c r="E244" s="246"/>
      <c r="G244" s="141"/>
      <c r="H244" s="270" t="str">
        <f>IF('Entrada das intensidades'!B98&gt;0,'Entrada das intensidades'!B98,"")</f>
        <v/>
      </c>
      <c r="I244" s="327"/>
      <c r="J244" s="205" t="str">
        <f t="shared" ref="J244:J249" si="34">IFERROR(((H244-$P$8)/$P$7)*$D$249,"")</f>
        <v/>
      </c>
      <c r="L244" s="205"/>
      <c r="R244" s="326" t="str">
        <f>IF(R242="","","K 0,05")</f>
        <v/>
      </c>
      <c r="S244" s="135" t="str">
        <f>IFERROR(IF($S$96=1,TINV(0.05,S243),""),"")</f>
        <v/>
      </c>
      <c r="T244" s="115"/>
      <c r="U244" s="326" t="str">
        <f>IF(U242="","","Incerteza expandida (mg.kg-1)")</f>
        <v/>
      </c>
      <c r="V244" s="325"/>
      <c r="W244" s="148" t="str">
        <f>IF(Q242="","",IF($S$96=2,2*(SQRT(SUMSQ(Q242,Q251))/SQRT($S$96)),""))</f>
        <v/>
      </c>
      <c r="X244" s="326"/>
      <c r="Y244" s="325"/>
      <c r="Z244" s="148"/>
      <c r="AA244" s="326"/>
      <c r="AB244" s="325"/>
      <c r="AC244" s="148"/>
      <c r="AD244" s="326"/>
      <c r="AE244" s="325"/>
      <c r="AF244" s="148"/>
    </row>
    <row r="245" spans="1:32" x14ac:dyDescent="0.2">
      <c r="A245" s="141" t="str">
        <f>IF('Massas Corrigidas'!P106="","",CONCATENATE("Segunda diluição Amostra ",'Massas Corrigidas'!I106))</f>
        <v/>
      </c>
      <c r="B245" s="205"/>
      <c r="C245" s="213"/>
      <c r="D245" s="214"/>
      <c r="E245" s="247"/>
      <c r="G245" s="141"/>
      <c r="H245" s="270" t="str">
        <f>IF('Entrada das intensidades'!B99&gt;0,'Entrada das intensidades'!B99,"")</f>
        <v/>
      </c>
      <c r="I245" s="327"/>
      <c r="J245" s="205" t="str">
        <f t="shared" si="34"/>
        <v/>
      </c>
      <c r="L245" s="205"/>
      <c r="R245" s="326" t="str">
        <f>IF(R242="","","Fração mássica da amostra (mg.kg-1)")</f>
        <v/>
      </c>
      <c r="S245" s="148" t="str">
        <f>IFERROR(IF($S$96=1,AVERAGE(J243:J249),""),"")</f>
        <v/>
      </c>
      <c r="T245" s="311"/>
    </row>
    <row r="246" spans="1:32" x14ac:dyDescent="0.2">
      <c r="A246" s="150" t="str">
        <f>IF('Massas Corrigidas'!$P$106="","","Massa da amostra")</f>
        <v/>
      </c>
      <c r="B246" s="215" t="str">
        <f>'Massas Corrigidas'!R108</f>
        <v/>
      </c>
      <c r="C246" s="265" t="str">
        <f>IF(B246="","",'Massas Corrigidas'!S108)</f>
        <v/>
      </c>
      <c r="D246" s="272" t="str">
        <f>IF(B246="",D243,B247/B246*D243)</f>
        <v/>
      </c>
      <c r="E246" s="245" t="str">
        <f>IF(B246="",E243,D246*((((((C244/B243)^2)+(((B244*C243)/(B243^2))^2))^0.5/(B244/B243))^2+((((C247/B246)^2+(B247*C246/(B246^2))^2))^0.5/(B247/B246))^2)^0.5))</f>
        <v/>
      </c>
      <c r="G246" s="141"/>
      <c r="H246" s="270" t="str">
        <f>IF('Entrada das intensidades'!B100&gt;0,'Entrada das intensidades'!B100,"")</f>
        <v/>
      </c>
      <c r="I246" s="327"/>
      <c r="J246" s="205" t="str">
        <f t="shared" si="34"/>
        <v/>
      </c>
      <c r="L246" s="205"/>
      <c r="R246" s="326" t="str">
        <f>IF(R242="","","Incerteza expandida (mg.kg-1)")</f>
        <v/>
      </c>
      <c r="S246" s="148" t="str">
        <f>IFERROR(IF($S$96=1,S244*J242*O242,""),"")</f>
        <v/>
      </c>
      <c r="T246" s="115"/>
    </row>
    <row r="247" spans="1:32" x14ac:dyDescent="0.2">
      <c r="A247" s="150" t="str">
        <f>IF('Massas Corrigidas'!$P$106="","","Massa total")</f>
        <v/>
      </c>
      <c r="B247" s="215" t="str">
        <f>'Massas Corrigidas'!R109</f>
        <v/>
      </c>
      <c r="C247" s="265" t="str">
        <f>IF(B247="","",'Massas Corrigidas'!S109)</f>
        <v/>
      </c>
      <c r="D247" s="205"/>
      <c r="E247" s="220"/>
      <c r="G247" s="141"/>
      <c r="H247" s="270" t="str">
        <f>IF('Entrada das intensidades'!B101&gt;0,'Entrada das intensidades'!B101,"")</f>
        <v/>
      </c>
      <c r="I247" s="327"/>
      <c r="J247" s="205" t="str">
        <f t="shared" si="34"/>
        <v/>
      </c>
      <c r="L247" s="205"/>
      <c r="R247" s="214"/>
      <c r="S247" s="214"/>
      <c r="T247" s="115"/>
    </row>
    <row r="248" spans="1:32" x14ac:dyDescent="0.2">
      <c r="A248" s="141" t="str">
        <f>IF('Massas Corrigidas'!W106="","",CONCATENATE("Terceira diluição Amostra ",'Massas Corrigidas'!I106))</f>
        <v/>
      </c>
      <c r="B248" s="205"/>
      <c r="C248" s="213"/>
      <c r="D248" s="214"/>
      <c r="E248" s="247"/>
      <c r="G248" s="141"/>
      <c r="H248" s="270" t="str">
        <f>IF('Entrada das intensidades'!B102&gt;0,'Entrada das intensidades'!B102,"")</f>
        <v/>
      </c>
      <c r="I248" s="327"/>
      <c r="J248" s="205" t="str">
        <f t="shared" si="34"/>
        <v/>
      </c>
      <c r="L248" s="205"/>
      <c r="R248" s="214"/>
      <c r="S248" s="214"/>
      <c r="T248" s="115"/>
    </row>
    <row r="249" spans="1:32" x14ac:dyDescent="0.2">
      <c r="A249" s="150" t="str">
        <f>IF('Massas Corrigidas'!$W$106="","","Massa da amostra")</f>
        <v/>
      </c>
      <c r="B249" s="215" t="str">
        <f>'Massas Corrigidas'!Y108</f>
        <v/>
      </c>
      <c r="C249" s="265" t="str">
        <f>IF(B249="","",'Massas Corrigidas'!Z108)</f>
        <v/>
      </c>
      <c r="D249" s="272" t="str">
        <f>IF(B249="",D246,B250/B249*D246)</f>
        <v/>
      </c>
      <c r="E249" s="273" t="str">
        <f>IF(B249="",E246,D249*(((((C244/B243)^2)+(((B244*C243)/(B243^2))^2))^0.5/(B244/B243))^2+((((C247/B246)^2+(B247*C246/(B246^2))^2))^0.5/(B247/B246))^2+(((((C250/B249)^2+(B250*C249/(B249^2))^2))^0.5)/(B250/B249))^2)^0.5)</f>
        <v/>
      </c>
      <c r="G249" s="141"/>
      <c r="H249" s="270" t="str">
        <f>IF('Entrada das intensidades'!B103&gt;0,'Entrada das intensidades'!B103,"")</f>
        <v/>
      </c>
      <c r="I249" s="327"/>
      <c r="J249" s="205" t="str">
        <f t="shared" si="34"/>
        <v/>
      </c>
      <c r="L249" s="205"/>
      <c r="R249" s="214"/>
      <c r="S249" s="214"/>
      <c r="T249" s="115"/>
    </row>
    <row r="250" spans="1:32" x14ac:dyDescent="0.2">
      <c r="A250" s="150" t="str">
        <f>IF('Massas Corrigidas'!$W$106="","","Massa total")</f>
        <v/>
      </c>
      <c r="B250" s="215" t="str">
        <f>'Massas Corrigidas'!Y109</f>
        <v/>
      </c>
      <c r="C250" s="265" t="str">
        <f>IF(B250="","",'Massas Corrigidas'!Z109)</f>
        <v/>
      </c>
      <c r="D250" s="205"/>
      <c r="E250" s="247"/>
      <c r="G250" s="141"/>
      <c r="H250" s="329"/>
      <c r="I250" s="274"/>
      <c r="L250" s="205"/>
      <c r="R250" s="214"/>
      <c r="S250" s="214"/>
      <c r="T250" s="115"/>
    </row>
    <row r="251" spans="1:32" x14ac:dyDescent="0.2">
      <c r="A251" s="141" t="str">
        <f>IF('Massas Corrigidas'!I111="","",CONCATENATE("Primeira diluição Amostra ",'Massas Corrigidas'!I111))</f>
        <v/>
      </c>
      <c r="B251" s="205"/>
      <c r="C251" s="205"/>
      <c r="D251" s="205"/>
      <c r="E251" s="270"/>
      <c r="G251" s="262" t="str">
        <f>IF('Massas Corrigidas'!I111="","",CONCATENATE("Amostra ",'Massas Corrigidas'!I111))</f>
        <v/>
      </c>
      <c r="H251" s="329" t="str">
        <f>IFERROR(AVERAGE(H252:H258),"")</f>
        <v/>
      </c>
      <c r="I251" s="327" t="str">
        <f>IFERROR(STDEV(H252:H258),"")</f>
        <v/>
      </c>
      <c r="J251" s="205" t="str">
        <f>IFERROR(AVERAGE(J252:J258),"")</f>
        <v/>
      </c>
      <c r="K251" s="263" t="str">
        <f>IF(H251="","",(E258/D258))</f>
        <v/>
      </c>
      <c r="L251" s="264" t="str">
        <f t="shared" ref="L251" si="35">IF(H251="","",IFERROR(((($B$48/$B$47)^2+($B$51/$B$50)^2+($B$54/$B$53)^2+($B$57/$B$56)^2+($B$60/$B$59)^2+($B$63/$B$62)^2)^0.5),((($B$48/$B$47)^2+($B$51/$B$50)^2+($B$54/$B$53)^2+($B$57/$B$56)^2+($B$60/$B$59)^2)^0.5)))</f>
        <v/>
      </c>
      <c r="M251" s="264" t="str">
        <f>IF(J251="","",STDEV(J252:J258)/J251)</f>
        <v/>
      </c>
      <c r="N251" s="264" t="str">
        <f>IF(H251="","",((($P$10/$P$7)*(SQRT((1/$E$12)+(1/$E$10)+(((J251/D258)-$P$16)^2)/$P$18))))/(J251/D258))</f>
        <v/>
      </c>
      <c r="O251" s="264" t="str">
        <f>IF(H251="","",(SQRT(L251^2+M251^2+N251^2+K251^2)))</f>
        <v/>
      </c>
      <c r="P251" s="271"/>
      <c r="Q251" s="209"/>
      <c r="R251" s="590" t="str">
        <f>IF($J$251="","",IF($S$96=1,CONCATENATE("Resultado final amostra ", 'Massas Corrigidas'!$I$111),""))</f>
        <v/>
      </c>
      <c r="S251" s="590"/>
      <c r="T251" s="145"/>
      <c r="U251" s="590"/>
      <c r="V251" s="590"/>
      <c r="W251" s="590"/>
      <c r="X251" s="590"/>
      <c r="Y251" s="590"/>
      <c r="Z251" s="590"/>
      <c r="AA251" s="590"/>
      <c r="AB251" s="590"/>
      <c r="AC251" s="590"/>
      <c r="AD251" s="590"/>
      <c r="AE251" s="590"/>
      <c r="AF251" s="590"/>
    </row>
    <row r="252" spans="1:32" x14ac:dyDescent="0.2">
      <c r="A252" s="150" t="str">
        <f>IF('Massas Corrigidas'!$I$111="","","Massa da amostra")</f>
        <v/>
      </c>
      <c r="B252" s="215" t="str">
        <f>'Massas Corrigidas'!K113</f>
        <v/>
      </c>
      <c r="C252" s="265" t="str">
        <f>IF(B252="","",'Massas Corrigidas'!L113)</f>
        <v/>
      </c>
      <c r="D252" s="272" t="str">
        <f>IF(A251="","",IF(B252="",1,B253/B252))</f>
        <v/>
      </c>
      <c r="E252" s="245" t="str">
        <f>IF(B252="","",IF(D252=1,0,(((C253/B252)^2)+(((B253*C252)/(B252^2))^2))^0.5))</f>
        <v/>
      </c>
      <c r="G252" s="141"/>
      <c r="H252" s="270" t="str">
        <f>IF('Entrada das intensidades'!F97&gt;0,'Entrada das intensidades'!F97,"")</f>
        <v/>
      </c>
      <c r="I252" s="327"/>
      <c r="J252" s="205" t="str">
        <f>IFERROR(((H252-$P$8)/$P$7)*$D$258,"")</f>
        <v/>
      </c>
      <c r="L252" s="205"/>
      <c r="R252" s="326" t="str">
        <f>IF(R251="","","ueff")</f>
        <v/>
      </c>
      <c r="S252" s="267" t="str">
        <f>IFERROR(IF($S$96=1,(O251^4)/(((M251^4)/(7-1))+((N251^4)/(42-1))),""),"")</f>
        <v/>
      </c>
      <c r="T252" s="115"/>
      <c r="U252" s="326"/>
      <c r="V252" s="325"/>
      <c r="W252" s="148"/>
      <c r="X252" s="326"/>
      <c r="Y252" s="325"/>
      <c r="Z252" s="148"/>
      <c r="AA252" s="326"/>
      <c r="AB252" s="325"/>
      <c r="AC252" s="148"/>
      <c r="AD252" s="326"/>
      <c r="AE252" s="325"/>
      <c r="AF252" s="148"/>
    </row>
    <row r="253" spans="1:32" x14ac:dyDescent="0.2">
      <c r="A253" s="150" t="str">
        <f>IF('Massas Corrigidas'!$I$111="","","Massa total")</f>
        <v/>
      </c>
      <c r="B253" s="215" t="str">
        <f>'Massas Corrigidas'!K114</f>
        <v/>
      </c>
      <c r="C253" s="265" t="str">
        <f>IF(B253="","",'Massas Corrigidas'!L114)</f>
        <v/>
      </c>
      <c r="D253" s="205"/>
      <c r="E253" s="246"/>
      <c r="G253" s="141"/>
      <c r="H253" s="270" t="str">
        <f>IF('Entrada das intensidades'!F98&gt;0,'Entrada das intensidades'!F98,"")</f>
        <v/>
      </c>
      <c r="I253" s="327"/>
      <c r="J253" s="205" t="str">
        <f t="shared" ref="J253:J258" si="36">IFERROR(((H253-$P$8)/$P$7)*$D$258,"")</f>
        <v/>
      </c>
      <c r="L253" s="205"/>
      <c r="R253" s="326" t="str">
        <f>IF(R251="","","K 0,05")</f>
        <v/>
      </c>
      <c r="S253" s="135" t="str">
        <f>IFERROR(IF($S$96=1,TINV(0.05,S252),""),"")</f>
        <v/>
      </c>
      <c r="T253" s="115"/>
      <c r="U253" s="326"/>
      <c r="V253" s="325"/>
      <c r="W253" s="148"/>
      <c r="X253" s="326"/>
      <c r="Y253" s="325"/>
      <c r="Z253" s="148"/>
      <c r="AA253" s="326"/>
      <c r="AB253" s="325"/>
      <c r="AC253" s="148"/>
      <c r="AD253" s="326"/>
      <c r="AE253" s="325"/>
      <c r="AF253" s="148"/>
    </row>
    <row r="254" spans="1:32" x14ac:dyDescent="0.2">
      <c r="A254" s="141" t="str">
        <f>IF('Massas Corrigidas'!P111="","",CONCATENATE("Segunda diluição Amostra ",'Massas Corrigidas'!I111))</f>
        <v/>
      </c>
      <c r="B254" s="205"/>
      <c r="C254" s="213"/>
      <c r="D254" s="214"/>
      <c r="E254" s="247"/>
      <c r="G254" s="141"/>
      <c r="H254" s="270" t="str">
        <f>IF('Entrada das intensidades'!F99&gt;0,'Entrada das intensidades'!F99,"")</f>
        <v/>
      </c>
      <c r="I254" s="327"/>
      <c r="J254" s="205" t="str">
        <f t="shared" si="36"/>
        <v/>
      </c>
      <c r="L254" s="205"/>
      <c r="R254" s="326" t="str">
        <f>IF(R251="","","Fração mássica da amostra (mg.kg-1)")</f>
        <v/>
      </c>
      <c r="S254" s="148" t="str">
        <f>IFERROR(IF($S$96=1,AVERAGE(J252:J258),""),"")</f>
        <v/>
      </c>
      <c r="T254" s="311"/>
    </row>
    <row r="255" spans="1:32" x14ac:dyDescent="0.2">
      <c r="A255" s="150" t="str">
        <f>IF('Massas Corrigidas'!$P$111="","","Massa da amostra")</f>
        <v/>
      </c>
      <c r="B255" s="215" t="str">
        <f>'Massas Corrigidas'!R113</f>
        <v/>
      </c>
      <c r="C255" s="265" t="str">
        <f>IF(B255="","",'Massas Corrigidas'!S113)</f>
        <v/>
      </c>
      <c r="D255" s="272" t="str">
        <f>IF(B255="",D252,B256/B255*D252)</f>
        <v/>
      </c>
      <c r="E255" s="245" t="str">
        <f>IF(B255="",E252,D255*((((((C253/B252)^2)+(((B253*C252)/(B252^2))^2))^0.5/(B253/B252))^2+((((C256/B255)^2+(B256*C255/(B255^2))^2))^0.5/(B256/B255))^2)^0.5))</f>
        <v/>
      </c>
      <c r="G255" s="141"/>
      <c r="H255" s="270" t="str">
        <f>IF('Entrada das intensidades'!F100&gt;0,'Entrada das intensidades'!F100,"")</f>
        <v/>
      </c>
      <c r="I255" s="327"/>
      <c r="J255" s="205" t="str">
        <f t="shared" si="36"/>
        <v/>
      </c>
      <c r="L255" s="205"/>
      <c r="R255" s="326" t="str">
        <f>IF(R251="","","Incerteza expandida (mg.kg-1)")</f>
        <v/>
      </c>
      <c r="S255" s="148" t="str">
        <f>IFERROR(IF($S$96=1,S253*J251*O251,""),"")</f>
        <v/>
      </c>
      <c r="T255" s="115"/>
    </row>
    <row r="256" spans="1:32" x14ac:dyDescent="0.2">
      <c r="A256" s="150" t="str">
        <f>IF('Massas Corrigidas'!$P$111="","","Massa total")</f>
        <v/>
      </c>
      <c r="B256" s="215" t="str">
        <f>'Massas Corrigidas'!R114</f>
        <v/>
      </c>
      <c r="C256" s="265" t="str">
        <f>IF(B256="","",'Massas Corrigidas'!S114)</f>
        <v/>
      </c>
      <c r="D256" s="205"/>
      <c r="E256" s="220"/>
      <c r="G256" s="141"/>
      <c r="H256" s="270" t="str">
        <f>IF('Entrada das intensidades'!F101&gt;0,'Entrada das intensidades'!F101,"")</f>
        <v/>
      </c>
      <c r="I256" s="327"/>
      <c r="J256" s="205" t="str">
        <f t="shared" si="36"/>
        <v/>
      </c>
      <c r="L256" s="205"/>
      <c r="R256" s="214"/>
      <c r="S256" s="214"/>
      <c r="T256" s="115"/>
    </row>
    <row r="257" spans="1:32" x14ac:dyDescent="0.2">
      <c r="A257" s="141" t="str">
        <f>IF('Massas Corrigidas'!W111="","",CONCATENATE("Terceira diluição Amostra ",'Massas Corrigidas'!I111))</f>
        <v/>
      </c>
      <c r="B257" s="205"/>
      <c r="C257" s="213"/>
      <c r="D257" s="214"/>
      <c r="E257" s="247"/>
      <c r="G257" s="141"/>
      <c r="H257" s="270" t="str">
        <f>IF('Entrada das intensidades'!F102&gt;0,'Entrada das intensidades'!F102,"")</f>
        <v/>
      </c>
      <c r="I257" s="327"/>
      <c r="J257" s="205" t="str">
        <f t="shared" si="36"/>
        <v/>
      </c>
      <c r="L257" s="205"/>
      <c r="R257" s="214"/>
      <c r="S257" s="214"/>
      <c r="T257" s="115"/>
    </row>
    <row r="258" spans="1:32" x14ac:dyDescent="0.2">
      <c r="A258" s="150" t="str">
        <f>IF('Massas Corrigidas'!$W$111="","","Massa da amostra")</f>
        <v/>
      </c>
      <c r="B258" s="215" t="str">
        <f>'Massas Corrigidas'!Y113</f>
        <v/>
      </c>
      <c r="C258" s="265" t="str">
        <f>IF(B258="","",'Massas Corrigidas'!Z113)</f>
        <v/>
      </c>
      <c r="D258" s="272" t="str">
        <f>IF(B258="",D255,B259/B258*D255)</f>
        <v/>
      </c>
      <c r="E258" s="273" t="str">
        <f>IF(B258="",E255,D258*(((((C253/B252)^2)+(((B253*C252)/(B252^2))^2))^0.5/(B253/B252))^2+((((C256/B255)^2+(B256*C255/(B255^2))^2))^0.5/(B256/B255))^2+(((((C259/B258)^2+(B259*C258/(B258^2))^2))^0.5)/(B259/B258))^2)^0.5)</f>
        <v/>
      </c>
      <c r="G258" s="141"/>
      <c r="H258" s="270" t="str">
        <f>IF('Entrada das intensidades'!F103&gt;0,'Entrada das intensidades'!F103,"")</f>
        <v/>
      </c>
      <c r="I258" s="327"/>
      <c r="J258" s="205" t="str">
        <f t="shared" si="36"/>
        <v/>
      </c>
      <c r="L258" s="205"/>
      <c r="R258" s="214"/>
      <c r="S258" s="214"/>
      <c r="T258" s="115"/>
    </row>
    <row r="259" spans="1:32" x14ac:dyDescent="0.2">
      <c r="A259" s="150" t="str">
        <f>IF('Massas Corrigidas'!$W$111="","","Massa total")</f>
        <v/>
      </c>
      <c r="B259" s="215" t="str">
        <f>'Massas Corrigidas'!Y114</f>
        <v/>
      </c>
      <c r="C259" s="265" t="str">
        <f>IF(B259="","",'Massas Corrigidas'!Z114)</f>
        <v/>
      </c>
      <c r="D259" s="205"/>
      <c r="E259" s="247"/>
      <c r="G259" s="141"/>
      <c r="H259" s="329"/>
      <c r="I259" s="274"/>
      <c r="L259" s="205"/>
      <c r="R259" s="214"/>
      <c r="S259" s="214"/>
      <c r="T259" s="115"/>
    </row>
    <row r="260" spans="1:32" x14ac:dyDescent="0.2">
      <c r="A260" s="141" t="str">
        <f>IF('Massas Corrigidas'!I116="","",CONCATENATE("Primeira diluição Amostra ",'Massas Corrigidas'!I116))</f>
        <v/>
      </c>
      <c r="B260" s="205"/>
      <c r="C260" s="205"/>
      <c r="D260" s="205"/>
      <c r="E260" s="270"/>
      <c r="G260" s="262" t="str">
        <f>IF('Massas Corrigidas'!I116="","",CONCATENATE("Amostra ",'Massas Corrigidas'!I116))</f>
        <v/>
      </c>
      <c r="H260" s="329" t="str">
        <f>IFERROR(AVERAGE(H261:H267),"")</f>
        <v/>
      </c>
      <c r="I260" s="327" t="str">
        <f>IFERROR(STDEV(H261:H267),"")</f>
        <v/>
      </c>
      <c r="J260" s="205" t="str">
        <f>IFERROR(AVERAGE(J261:J267),"")</f>
        <v/>
      </c>
      <c r="K260" s="263" t="str">
        <f>IF(H260="","",(E267/D267))</f>
        <v/>
      </c>
      <c r="L260" s="264" t="str">
        <f t="shared" ref="L260" si="37">IF(H260="","",IFERROR(((($B$48/$B$47)^2+($B$51/$B$50)^2+($B$54/$B$53)^2+($B$57/$B$56)^2+($B$60/$B$59)^2+($B$63/$B$62)^2)^0.5),((($B$48/$B$47)^2+($B$51/$B$50)^2+($B$54/$B$53)^2+($B$57/$B$56)^2+($B$60/$B$59)^2)^0.5)))</f>
        <v/>
      </c>
      <c r="M260" s="264" t="str">
        <f>IF(J260="","",STDEV(J261:J267)/J260)</f>
        <v/>
      </c>
      <c r="N260" s="264" t="str">
        <f>IF(H260="","",((($P$10/$P$7)*(SQRT((1/$E$12)+(1/$E$10)+(((J260/D267)-$P$16)^2)/$P$18))))/(J260/D267))</f>
        <v/>
      </c>
      <c r="O260" s="264" t="str">
        <f>IF(H260="","",(SQRT(L260^2+M260^2+N260^2+K260^2)))</f>
        <v/>
      </c>
      <c r="P260" s="271"/>
      <c r="Q260" s="209"/>
      <c r="R260" s="590" t="str">
        <f>IF($J$260="","",IF($S$96=1,CONCATENATE("Resultado final amostra ", 'Massas Corrigidas'!$I$116),""))</f>
        <v/>
      </c>
      <c r="S260" s="590"/>
      <c r="T260" s="145"/>
      <c r="U260" s="590" t="str">
        <f>IF($J$260="","",IF($S$96=2,CONCATENATE("Resultado final amostra ", 'Massas Corrigidas'!$I$116),""))</f>
        <v/>
      </c>
      <c r="V260" s="590"/>
      <c r="W260" s="590"/>
      <c r="X260" s="590" t="str">
        <f>IF($J$260="","",IF($S$96=3,CONCATENATE("Resultado final amostra ", 'Massas Corrigidas'!$I$116),""))</f>
        <v/>
      </c>
      <c r="Y260" s="590"/>
      <c r="Z260" s="590"/>
      <c r="AA260" s="590"/>
      <c r="AB260" s="590"/>
      <c r="AC260" s="590"/>
      <c r="AD260" s="590"/>
      <c r="AE260" s="590"/>
      <c r="AF260" s="590"/>
    </row>
    <row r="261" spans="1:32" x14ac:dyDescent="0.2">
      <c r="A261" s="150" t="str">
        <f>IF('Massas Corrigidas'!$I$116="","","Massa da amostra")</f>
        <v/>
      </c>
      <c r="B261" s="215" t="str">
        <f>'Massas Corrigidas'!K118</f>
        <v/>
      </c>
      <c r="C261" s="265" t="str">
        <f>IF(B261="","",'Massas Corrigidas'!L118)</f>
        <v/>
      </c>
      <c r="D261" s="272" t="str">
        <f>IF(A260="","",IF(B261="",1,B262/B261))</f>
        <v/>
      </c>
      <c r="E261" s="245" t="str">
        <f>IF(B261="","",IF(D261=1,0,(((C262/B261)^2)+(((B262*C261)/(B261^2))^2))^0.5))</f>
        <v/>
      </c>
      <c r="G261" s="141"/>
      <c r="H261" s="270" t="str">
        <f>IF('Entrada das intensidades'!B106&gt;0,'Entrada das intensidades'!B106,"")</f>
        <v/>
      </c>
      <c r="I261" s="327"/>
      <c r="J261" s="205" t="str">
        <f>IFERROR(((H261-$P$8)/$P$7)*$D$267,"")</f>
        <v/>
      </c>
      <c r="L261" s="205"/>
      <c r="R261" s="326" t="str">
        <f>IF(R260="","","ueff")</f>
        <v/>
      </c>
      <c r="S261" s="267" t="str">
        <f>IFERROR(IF($S$96=1,(O260^4)/(((M260^4)/(7-1))+((N260^4)/(42-1))),""),"")</f>
        <v/>
      </c>
      <c r="T261" s="115"/>
      <c r="U261" s="326" t="str">
        <f>IF(U260="","","Fração mássica da amostra (mg.kg-1)")</f>
        <v/>
      </c>
      <c r="V261" s="325"/>
      <c r="W261" s="148" t="str">
        <f>IFERROR(IF($S$96=2,AVERAGE(J261:J267,J270:J276),""),"")</f>
        <v/>
      </c>
      <c r="X261" s="326" t="str">
        <f>IF(X260="","","Fração mássica da amostra (mg.kg-1)")</f>
        <v/>
      </c>
      <c r="Y261" s="325"/>
      <c r="Z261" s="148" t="str">
        <f>IFERROR(IF($S$96=3,AVERAGE(J261:J267,J270:J276,J279:J285),""),"")</f>
        <v/>
      </c>
      <c r="AA261" s="326"/>
      <c r="AB261" s="325"/>
      <c r="AC261" s="148"/>
      <c r="AD261" s="326"/>
      <c r="AE261" s="325"/>
      <c r="AF261" s="148"/>
    </row>
    <row r="262" spans="1:32" x14ac:dyDescent="0.2">
      <c r="A262" s="150" t="str">
        <f>IF('Massas Corrigidas'!$I$116="","","Massa total")</f>
        <v/>
      </c>
      <c r="B262" s="215" t="str">
        <f>'Massas Corrigidas'!K119</f>
        <v/>
      </c>
      <c r="C262" s="265" t="str">
        <f>IF(B262="","",'Massas Corrigidas'!L119)</f>
        <v/>
      </c>
      <c r="D262" s="205"/>
      <c r="E262" s="246"/>
      <c r="G262" s="141"/>
      <c r="H262" s="270" t="str">
        <f>IF('Entrada das intensidades'!B107&gt;0,'Entrada das intensidades'!B107,"")</f>
        <v/>
      </c>
      <c r="I262" s="327"/>
      <c r="J262" s="205" t="str">
        <f t="shared" ref="J262:J267" si="38">IFERROR(((H262-$P$8)/$P$7)*$D$267,"")</f>
        <v/>
      </c>
      <c r="L262" s="205"/>
      <c r="R262" s="326" t="str">
        <f>IF(R260="","","K 0,05")</f>
        <v/>
      </c>
      <c r="S262" s="135" t="str">
        <f>IFERROR(IF($S$96=1,TINV(0.05,S261),""),"")</f>
        <v/>
      </c>
      <c r="T262" s="115"/>
      <c r="U262" s="326" t="str">
        <f>IF(U260="","","Incerteza expandida (mg.kg-1)")</f>
        <v/>
      </c>
      <c r="V262" s="325"/>
      <c r="W262" s="148" t="str">
        <f>IF(Q260="","",IF($S$96=2,2*(SQRT(SUMSQ(Q260,Q269))/SQRT($S$96)),""))</f>
        <v/>
      </c>
      <c r="X262" s="326" t="str">
        <f>IF(X260="","","Incerteza expandida (mg.kg-1)")</f>
        <v/>
      </c>
      <c r="Y262" s="325"/>
      <c r="Z262" s="148" t="str">
        <f>IF(Q260="","",IF($S$96=3,2*(SQRT(SUMSQ(Q260,Q269,Q278))/SQRT($S$96)),""))</f>
        <v/>
      </c>
      <c r="AA262" s="326"/>
      <c r="AB262" s="325"/>
      <c r="AC262" s="148"/>
      <c r="AD262" s="326"/>
      <c r="AE262" s="325"/>
      <c r="AF262" s="148"/>
    </row>
    <row r="263" spans="1:32" x14ac:dyDescent="0.2">
      <c r="A263" s="141" t="str">
        <f>IF('Massas Corrigidas'!P116="","",CONCATENATE("Segunda diluição Amostra ",'Massas Corrigidas'!I116))</f>
        <v/>
      </c>
      <c r="B263" s="205"/>
      <c r="C263" s="213"/>
      <c r="D263" s="214"/>
      <c r="E263" s="247"/>
      <c r="G263" s="141"/>
      <c r="H263" s="270" t="str">
        <f>IF('Entrada das intensidades'!B108&gt;0,'Entrada das intensidades'!B108,"")</f>
        <v/>
      </c>
      <c r="I263" s="327"/>
      <c r="J263" s="205" t="str">
        <f t="shared" si="38"/>
        <v/>
      </c>
      <c r="L263" s="205"/>
      <c r="R263" s="326" t="str">
        <f>IF(R260="","","Fração mássica da amostra (mg.kg-1)")</f>
        <v/>
      </c>
      <c r="S263" s="148" t="str">
        <f>IFERROR(IF($S$96=1,AVERAGE(J261:J267),""),"")</f>
        <v/>
      </c>
      <c r="T263" s="311"/>
    </row>
    <row r="264" spans="1:32" x14ac:dyDescent="0.2">
      <c r="A264" s="150" t="str">
        <f>IF('Massas Corrigidas'!$P$116="","","Massa da amostra")</f>
        <v/>
      </c>
      <c r="B264" s="215" t="str">
        <f>'Massas Corrigidas'!R118</f>
        <v/>
      </c>
      <c r="C264" s="265" t="str">
        <f>IF(B264="","",'Massas Corrigidas'!S118)</f>
        <v/>
      </c>
      <c r="D264" s="272" t="str">
        <f>IF(B264="",D261,B265/B264*D261)</f>
        <v/>
      </c>
      <c r="E264" s="245" t="str">
        <f>IF(B264="",E261,D264*((((((C262/B261)^2)+(((B262*C261)/(B261^2))^2))^0.5/(B262/B261))^2+((((C265/B264)^2+(B265*C264/(B264^2))^2))^0.5/(B265/B264))^2)^0.5))</f>
        <v/>
      </c>
      <c r="G264" s="141"/>
      <c r="H264" s="270" t="str">
        <f>IF('Entrada das intensidades'!B109&gt;0,'Entrada das intensidades'!B109,"")</f>
        <v/>
      </c>
      <c r="I264" s="327"/>
      <c r="J264" s="205" t="str">
        <f t="shared" si="38"/>
        <v/>
      </c>
      <c r="L264" s="205"/>
      <c r="R264" s="326" t="str">
        <f>IF(R260="","","Incerteza expandida (mg.kg-1)")</f>
        <v/>
      </c>
      <c r="S264" s="148" t="str">
        <f>IFERROR(IF($S$96=1,S262*J260*O260,""),"")</f>
        <v/>
      </c>
      <c r="T264" s="115"/>
    </row>
    <row r="265" spans="1:32" x14ac:dyDescent="0.2">
      <c r="A265" s="150" t="str">
        <f>IF('Massas Corrigidas'!$P$116="","","Massa total")</f>
        <v/>
      </c>
      <c r="B265" s="215" t="str">
        <f>'Massas Corrigidas'!R119</f>
        <v/>
      </c>
      <c r="C265" s="265" t="str">
        <f>IF(B265="","",'Massas Corrigidas'!S119)</f>
        <v/>
      </c>
      <c r="D265" s="205"/>
      <c r="E265" s="220"/>
      <c r="G265" s="141"/>
      <c r="H265" s="270" t="str">
        <f>IF('Entrada das intensidades'!B110&gt;0,'Entrada das intensidades'!B110,"")</f>
        <v/>
      </c>
      <c r="I265" s="327"/>
      <c r="J265" s="205" t="str">
        <f t="shared" si="38"/>
        <v/>
      </c>
      <c r="L265" s="205"/>
      <c r="R265" s="214"/>
      <c r="S265" s="214"/>
      <c r="T265" s="115"/>
    </row>
    <row r="266" spans="1:32" x14ac:dyDescent="0.2">
      <c r="A266" s="141" t="str">
        <f>IF('Massas Corrigidas'!W116="","",CONCATENATE("Terceira diluição Amostra ",'Massas Corrigidas'!I116))</f>
        <v/>
      </c>
      <c r="B266" s="205"/>
      <c r="C266" s="213"/>
      <c r="D266" s="214"/>
      <c r="E266" s="247"/>
      <c r="G266" s="141"/>
      <c r="H266" s="270" t="str">
        <f>IF('Entrada das intensidades'!B111&gt;0,'Entrada das intensidades'!B111,"")</f>
        <v/>
      </c>
      <c r="I266" s="327"/>
      <c r="J266" s="205" t="str">
        <f t="shared" si="38"/>
        <v/>
      </c>
      <c r="L266" s="205"/>
      <c r="R266" s="214"/>
      <c r="S266" s="214"/>
      <c r="T266" s="115"/>
    </row>
    <row r="267" spans="1:32" x14ac:dyDescent="0.2">
      <c r="A267" s="150" t="str">
        <f>IF('Massas Corrigidas'!$W$116="","","Massa da amostra")</f>
        <v/>
      </c>
      <c r="B267" s="215" t="str">
        <f>'Massas Corrigidas'!Y118</f>
        <v/>
      </c>
      <c r="C267" s="265" t="str">
        <f>IF(B267="","",'Massas Corrigidas'!Z118)</f>
        <v/>
      </c>
      <c r="D267" s="272" t="str">
        <f>IF(B267="",D264,B268/B267*D264)</f>
        <v/>
      </c>
      <c r="E267" s="273" t="str">
        <f>IF(B267="",E264,D267*(((((C262/B261)^2)+(((B262*C261)/(B261^2))^2))^0.5/(B262/B261))^2+((((C265/B264)^2+(B265*C264/(B264^2))^2))^0.5/(B265/B264))^2+(((((C268/B267)^2+(B268*C267/(B267^2))^2))^0.5)/(B268/B267))^2)^0.5)</f>
        <v/>
      </c>
      <c r="G267" s="141"/>
      <c r="H267" s="270" t="str">
        <f>IF('Entrada das intensidades'!B112&gt;0,'Entrada das intensidades'!B112,"")</f>
        <v/>
      </c>
      <c r="I267" s="327"/>
      <c r="J267" s="205" t="str">
        <f t="shared" si="38"/>
        <v/>
      </c>
      <c r="L267" s="205"/>
      <c r="R267" s="214"/>
      <c r="S267" s="214"/>
      <c r="T267" s="115"/>
    </row>
    <row r="268" spans="1:32" x14ac:dyDescent="0.2">
      <c r="A268" s="150" t="str">
        <f>IF('Massas Corrigidas'!$W$116="","","Massa total")</f>
        <v/>
      </c>
      <c r="B268" s="215" t="str">
        <f>'Massas Corrigidas'!Y119</f>
        <v/>
      </c>
      <c r="C268" s="265" t="str">
        <f>IF(B268="","",'Massas Corrigidas'!Z119)</f>
        <v/>
      </c>
      <c r="D268" s="205"/>
      <c r="E268" s="247"/>
      <c r="G268" s="141"/>
      <c r="H268" s="329"/>
      <c r="I268" s="274"/>
      <c r="L268" s="205"/>
      <c r="R268" s="214"/>
      <c r="S268" s="214"/>
      <c r="T268" s="115"/>
    </row>
    <row r="269" spans="1:32" x14ac:dyDescent="0.2">
      <c r="A269" s="262" t="str">
        <f>IF('Massas Corrigidas'!I121="","",CONCATENATE("Primeira diluição Amostra ",'Massas Corrigidas'!I121))</f>
        <v/>
      </c>
      <c r="B269" s="205"/>
      <c r="C269" s="205"/>
      <c r="D269" s="205"/>
      <c r="E269" s="270"/>
      <c r="G269" s="262" t="str">
        <f>IF('Massas Corrigidas'!I121="","",CONCATENATE("Amostra ",'Massas Corrigidas'!I121))</f>
        <v/>
      </c>
      <c r="H269" s="329" t="str">
        <f>IFERROR(AVERAGE(H270:H276),"")</f>
        <v/>
      </c>
      <c r="I269" s="327" t="str">
        <f>IFERROR(STDEV(H270:H276),"")</f>
        <v/>
      </c>
      <c r="J269" s="205" t="str">
        <f>IFERROR(AVERAGE(J270:J276),"")</f>
        <v/>
      </c>
      <c r="K269" s="263" t="str">
        <f>IF(H269="","",(E276/D276))</f>
        <v/>
      </c>
      <c r="L269" s="264" t="str">
        <f t="shared" ref="L269" si="39">IF(H269="","",IFERROR(((($B$48/$B$47)^2+($B$51/$B$50)^2+($B$54/$B$53)^2+($B$57/$B$56)^2+($B$60/$B$59)^2+($B$63/$B$62)^2)^0.5),((($B$48/$B$47)^2+($B$51/$B$50)^2+($B$54/$B$53)^2+($B$57/$B$56)^2+($B$60/$B$59)^2)^0.5)))</f>
        <v/>
      </c>
      <c r="M269" s="264" t="str">
        <f>IF(J269="","",STDEV(J270:J276)/J269)</f>
        <v/>
      </c>
      <c r="N269" s="264" t="str">
        <f>IF(H269="","",((($P$10/$P$7)*(SQRT((1/$E$12)+(1/$E$10)+(((J269/D276)-$P$16)^2)/$P$18))))/(J269/D276))</f>
        <v/>
      </c>
      <c r="O269" s="264" t="str">
        <f>IF(H269="","",(SQRT(L269^2+M269^2+N269^2+K269^2)))</f>
        <v/>
      </c>
      <c r="P269" s="271"/>
      <c r="Q269" s="209"/>
      <c r="R269" s="590" t="str">
        <f>IF($J$270="","",IF($S$96=1,CONCATENATE("Resultado final amostra ", 'Massas Corrigidas'!$I$121),""))</f>
        <v/>
      </c>
      <c r="S269" s="590"/>
      <c r="T269" s="145"/>
      <c r="U269" s="590"/>
      <c r="V269" s="590"/>
      <c r="W269" s="590"/>
      <c r="X269" s="590"/>
      <c r="Y269" s="590"/>
      <c r="Z269" s="590"/>
      <c r="AA269" s="590" t="str">
        <f>IF($J$270="","",IF($S$96=4,CONCATENATE("Resultado final amostra ", 'Massas Corrigidas'!$I$121),""))</f>
        <v/>
      </c>
      <c r="AB269" s="590"/>
      <c r="AC269" s="590"/>
      <c r="AD269" s="590"/>
      <c r="AE269" s="590"/>
      <c r="AF269" s="590"/>
    </row>
    <row r="270" spans="1:32" x14ac:dyDescent="0.2">
      <c r="A270" s="150" t="str">
        <f>IF('Massas Corrigidas'!I121="","","Massa da amostra")</f>
        <v/>
      </c>
      <c r="B270" s="215" t="str">
        <f>'Massas Corrigidas'!K123</f>
        <v/>
      </c>
      <c r="C270" s="265" t="str">
        <f>IF(B270="","",'Massas Corrigidas'!L123)</f>
        <v/>
      </c>
      <c r="D270" s="272" t="str">
        <f>IF(A269="","",IF(B270="",1,B271/B270))</f>
        <v/>
      </c>
      <c r="E270" s="245" t="str">
        <f>IF(B270="","",IF(D270=1,0,(((C271/B270)^2)+(((B271*C270)/(B270^2))^2))^0.5))</f>
        <v/>
      </c>
      <c r="G270" s="141"/>
      <c r="H270" s="270" t="str">
        <f>IF('Entrada das intensidades'!F106&gt;0,'Entrada das intensidades'!F106,"")</f>
        <v/>
      </c>
      <c r="I270" s="327"/>
      <c r="J270" s="205" t="str">
        <f>IFERROR(((H270-$P$8)/$P$7)*$D$276,"")</f>
        <v/>
      </c>
      <c r="L270" s="205"/>
      <c r="R270" s="326" t="str">
        <f>IF(R269="","","ueff")</f>
        <v/>
      </c>
      <c r="S270" s="267" t="str">
        <f>IFERROR(IF($S$96=1,(O269^4)/(((M269^4)/(7-1))+((N269^4)/(42-1))),""),"")</f>
        <v/>
      </c>
      <c r="T270" s="148"/>
      <c r="U270" s="326"/>
      <c r="V270" s="325"/>
      <c r="W270" s="148"/>
      <c r="X270" s="326"/>
      <c r="Y270" s="325"/>
      <c r="Z270" s="148"/>
      <c r="AA270" s="326" t="str">
        <f>IF(AA269="","","Fração mássica da amostra (mg.kg-1)")</f>
        <v/>
      </c>
      <c r="AB270" s="325"/>
      <c r="AC270" s="148" t="str">
        <f>IFERROR(IF($S$96=4,AVERAGE(J270:J276,J279:J285,J288:J294,J297:J303),""),"")</f>
        <v/>
      </c>
      <c r="AD270" s="326"/>
      <c r="AE270" s="325"/>
      <c r="AF270" s="148"/>
    </row>
    <row r="271" spans="1:32" x14ac:dyDescent="0.2">
      <c r="A271" s="150" t="str">
        <f>IF('Massas Corrigidas'!I121="","","Massa total")</f>
        <v/>
      </c>
      <c r="B271" s="215" t="str">
        <f>'Massas Corrigidas'!K124</f>
        <v/>
      </c>
      <c r="C271" s="265" t="str">
        <f>IF(B271="","",'Massas Corrigidas'!L124)</f>
        <v/>
      </c>
      <c r="D271" s="205"/>
      <c r="E271" s="246"/>
      <c r="G271" s="141"/>
      <c r="H271" s="270" t="str">
        <f>IF('Entrada das intensidades'!F107&gt;0,'Entrada das intensidades'!F107,"")</f>
        <v/>
      </c>
      <c r="I271" s="327"/>
      <c r="J271" s="205" t="str">
        <f t="shared" ref="J271:J276" si="40">IFERROR(((H271-$P$8)/$P$7)*$D$276,"")</f>
        <v/>
      </c>
      <c r="L271" s="205"/>
      <c r="R271" s="326" t="str">
        <f>IF(R269="","","K 0,05")</f>
        <v/>
      </c>
      <c r="S271" s="135" t="str">
        <f>IFERROR(IF($S$96=1,TINV(0.05,S270),""),"")</f>
        <v/>
      </c>
      <c r="T271" s="148"/>
      <c r="U271" s="326"/>
      <c r="V271" s="325"/>
      <c r="W271" s="148"/>
      <c r="X271" s="326"/>
      <c r="Y271" s="325"/>
      <c r="Z271" s="148"/>
      <c r="AA271" s="326" t="str">
        <f>IF(AA269="","","Incerteza expandida (mg.kg-1)")</f>
        <v/>
      </c>
      <c r="AB271" s="325"/>
      <c r="AC271" s="148" t="str">
        <f>IF(Q269="","",IF($S$96=4,2*(SQRT(SUMSQ(Q269,Q278,Q287,Q296))/SQRT($S$96)),""))</f>
        <v/>
      </c>
      <c r="AD271" s="326"/>
      <c r="AE271" s="325"/>
      <c r="AF271" s="148"/>
    </row>
    <row r="272" spans="1:32" x14ac:dyDescent="0.2">
      <c r="A272" s="141" t="str">
        <f>IF('Massas Corrigidas'!P121="","",CONCATENATE("Segunda diluição Amostra ",'Massas Corrigidas'!I121))</f>
        <v/>
      </c>
      <c r="B272" s="205"/>
      <c r="C272" s="213"/>
      <c r="D272" s="214"/>
      <c r="E272" s="247"/>
      <c r="G272" s="141"/>
      <c r="H272" s="270" t="str">
        <f>IF('Entrada das intensidades'!F108&gt;0,'Entrada das intensidades'!F108,"")</f>
        <v/>
      </c>
      <c r="I272" s="327"/>
      <c r="J272" s="205" t="str">
        <f t="shared" si="40"/>
        <v/>
      </c>
      <c r="L272" s="205"/>
      <c r="R272" s="326" t="str">
        <f>IF(R269="","","Fração mássica da amostra (mg.kg-1)")</f>
        <v/>
      </c>
      <c r="S272" s="148" t="str">
        <f>IFERROR(IF($S$96=1,AVERAGE(J270:J276),""),"")</f>
        <v/>
      </c>
      <c r="T272" s="311"/>
    </row>
    <row r="273" spans="1:32" x14ac:dyDescent="0.2">
      <c r="A273" s="150" t="str">
        <f>IF('Massas Corrigidas'!P121="","","Massa da amostra")</f>
        <v/>
      </c>
      <c r="B273" s="215" t="str">
        <f>'Massas Corrigidas'!R123</f>
        <v/>
      </c>
      <c r="C273" s="265" t="str">
        <f>IF(B273="","",'Massas Corrigidas'!S123)</f>
        <v/>
      </c>
      <c r="D273" s="272" t="str">
        <f>IF(B273="",D270,B274/B273*D270)</f>
        <v/>
      </c>
      <c r="E273" s="245" t="str">
        <f>IF(B273="",E270,D273*((((((C271/B270)^2)+(((B271*C270)/(B270^2))^2))^0.5/(B271/B270))^2+((((C274/B273)^2+(B274*C273/(B273^2))^2))^0.5/(B274/B273))^2)^0.5))</f>
        <v/>
      </c>
      <c r="G273" s="141"/>
      <c r="H273" s="270" t="str">
        <f>IF('Entrada das intensidades'!F109&gt;0,'Entrada das intensidades'!F109,"")</f>
        <v/>
      </c>
      <c r="I273" s="327"/>
      <c r="J273" s="205" t="str">
        <f t="shared" si="40"/>
        <v/>
      </c>
      <c r="L273" s="205"/>
      <c r="R273" s="326" t="str">
        <f>IF(R269="","","Incerteza expandida (mg.kg-1)")</f>
        <v/>
      </c>
      <c r="S273" s="148" t="str">
        <f>IFERROR(IF($S$96=1,S271*J269*O269,""),"")</f>
        <v/>
      </c>
      <c r="T273" s="214"/>
    </row>
    <row r="274" spans="1:32" x14ac:dyDescent="0.2">
      <c r="A274" s="150" t="str">
        <f>IF('Massas Corrigidas'!P121="","","Massa total")</f>
        <v/>
      </c>
      <c r="B274" s="215" t="str">
        <f>'Massas Corrigidas'!R124</f>
        <v/>
      </c>
      <c r="C274" s="265" t="str">
        <f>IF(B274="","",'Massas Corrigidas'!S124)</f>
        <v/>
      </c>
      <c r="D274" s="205"/>
      <c r="E274" s="220"/>
      <c r="G274" s="141"/>
      <c r="H274" s="270" t="str">
        <f>IF('Entrada das intensidades'!F110&gt;0,'Entrada das intensidades'!F110,"")</f>
        <v/>
      </c>
      <c r="I274" s="327"/>
      <c r="J274" s="205" t="str">
        <f t="shared" si="40"/>
        <v/>
      </c>
      <c r="L274" s="205"/>
      <c r="R274" s="214"/>
      <c r="S274" s="214"/>
      <c r="T274" s="214"/>
    </row>
    <row r="275" spans="1:32" x14ac:dyDescent="0.2">
      <c r="A275" s="141" t="str">
        <f>IF('Massas Corrigidas'!W121="","",CONCATENATE("Terceira diluição Amostra ",'Massas Corrigidas'!I121))</f>
        <v/>
      </c>
      <c r="B275" s="205"/>
      <c r="C275" s="213"/>
      <c r="D275" s="214"/>
      <c r="E275" s="247"/>
      <c r="G275" s="141"/>
      <c r="H275" s="270" t="str">
        <f>IF('Entrada das intensidades'!F111&gt;0,'Entrada das intensidades'!F111,"")</f>
        <v/>
      </c>
      <c r="I275" s="327"/>
      <c r="J275" s="205" t="str">
        <f t="shared" si="40"/>
        <v/>
      </c>
      <c r="L275" s="205"/>
      <c r="R275" s="214"/>
      <c r="S275" s="214"/>
      <c r="T275" s="214"/>
    </row>
    <row r="276" spans="1:32" x14ac:dyDescent="0.2">
      <c r="A276" s="150" t="str">
        <f>IF('Massas Corrigidas'!W121="","","Massa da amostra")</f>
        <v/>
      </c>
      <c r="B276" s="215" t="str">
        <f>'Massas Corrigidas'!Y123</f>
        <v/>
      </c>
      <c r="C276" s="265" t="str">
        <f>IF(B276="","",'Massas Corrigidas'!Z123)</f>
        <v/>
      </c>
      <c r="D276" s="272" t="str">
        <f>IF(B276="",D273,B277/B276*D273)</f>
        <v/>
      </c>
      <c r="E276" s="273" t="str">
        <f>IF(B276="",E273,D276*(((((C271/B270)^2)+(((B271*C270)/(B270^2))^2))^0.5/(B271/B270))^2+((((C274/B273)^2+(B274*C273/(B273^2))^2))^0.5/(B274/B273))^2+(((((C277/B276)^2+(B277*C276/(B276^2))^2))^0.5)/(B277/B276))^2)^0.5)</f>
        <v/>
      </c>
      <c r="G276" s="141"/>
      <c r="H276" s="270" t="str">
        <f>IF('Entrada das intensidades'!F112&gt;0,'Entrada das intensidades'!F112,"")</f>
        <v/>
      </c>
      <c r="I276" s="327"/>
      <c r="J276" s="205" t="str">
        <f t="shared" si="40"/>
        <v/>
      </c>
      <c r="L276" s="205"/>
      <c r="R276" s="214"/>
      <c r="S276" s="214"/>
      <c r="T276" s="214"/>
    </row>
    <row r="277" spans="1:32" x14ac:dyDescent="0.2">
      <c r="A277" s="150" t="str">
        <f>IF('Massas Corrigidas'!W121="","","Massa total")</f>
        <v/>
      </c>
      <c r="B277" s="215" t="str">
        <f>'Massas Corrigidas'!Y124</f>
        <v/>
      </c>
      <c r="C277" s="265" t="str">
        <f>IF(B277="","",'Massas Corrigidas'!Z124)</f>
        <v/>
      </c>
      <c r="D277" s="205"/>
      <c r="E277" s="247"/>
      <c r="G277" s="141"/>
      <c r="H277" s="329"/>
      <c r="I277" s="274"/>
      <c r="L277" s="205"/>
      <c r="R277" s="214"/>
      <c r="S277" s="214"/>
      <c r="T277" s="214"/>
    </row>
    <row r="278" spans="1:32" x14ac:dyDescent="0.2">
      <c r="A278" s="141" t="str">
        <f>IF('Massas Corrigidas'!I126="","",CONCATENATE("Primeira diluição Amostra ",'Massas Corrigidas'!I126))</f>
        <v/>
      </c>
      <c r="B278" s="205"/>
      <c r="C278" s="205"/>
      <c r="D278" s="205"/>
      <c r="E278" s="270"/>
      <c r="G278" s="262" t="str">
        <f>IF('Massas Corrigidas'!I126="","",CONCATENATE("Amostra ",'Massas Corrigidas'!I126))</f>
        <v/>
      </c>
      <c r="H278" s="329" t="str">
        <f>IFERROR(AVERAGE(H279:H285),"")</f>
        <v/>
      </c>
      <c r="I278" s="327" t="str">
        <f>IFERROR(STDEV(H279:H285),"")</f>
        <v/>
      </c>
      <c r="J278" s="205" t="str">
        <f>IFERROR(AVERAGE(J279:J285),"")</f>
        <v/>
      </c>
      <c r="K278" s="263" t="str">
        <f>IF(H278="","",(E285/D285))</f>
        <v/>
      </c>
      <c r="L278" s="264" t="str">
        <f t="shared" ref="L278" si="41">IF(H278="","",IFERROR(((($B$48/$B$47)^2+($B$51/$B$50)^2+($B$54/$B$53)^2+($B$57/$B$56)^2+($B$60/$B$59)^2+($B$63/$B$62)^2)^0.5),((($B$48/$B$47)^2+($B$51/$B$50)^2+($B$54/$B$53)^2+($B$57/$B$56)^2+($B$60/$B$59)^2)^0.5)))</f>
        <v/>
      </c>
      <c r="M278" s="264" t="str">
        <f>IF(J278="","",STDEV(J279:J285)/J278)</f>
        <v/>
      </c>
      <c r="N278" s="264" t="str">
        <f>IF(H278="","",((($P$10/$P$7)*(SQRT((1/$E$12)+(1/$E$10)+(((J278/D285)-$P$16)^2)/$P$18))))/(J278/D285))</f>
        <v/>
      </c>
      <c r="O278" s="264" t="str">
        <f>IF(H278="","",(SQRT(L278^2+M278^2+N278^2+K278^2)))</f>
        <v/>
      </c>
      <c r="P278" s="271"/>
      <c r="Q278" s="209"/>
      <c r="R278" s="590" t="str">
        <f>IF($J$278="","",IF($S$96=1,CONCATENATE("Resultado final amostra ", 'Massas Corrigidas'!$I$126),""))</f>
        <v/>
      </c>
      <c r="S278" s="590"/>
      <c r="T278" s="145"/>
      <c r="U278" s="590" t="str">
        <f>IF($J$278="","",IF($S$96=2,CONCATENATE("Resultado final amostra ", 'Massas Corrigidas'!$I$126),""))</f>
        <v/>
      </c>
      <c r="V278" s="590"/>
      <c r="W278" s="590"/>
      <c r="X278" s="590"/>
      <c r="Y278" s="590"/>
      <c r="Z278" s="590"/>
      <c r="AA278" s="590"/>
      <c r="AB278" s="590"/>
      <c r="AC278" s="590"/>
      <c r="AD278" s="590" t="str">
        <f>IF($J$278="","",IF($S$96=5,CONCATENATE("Resultado final amostra ", 'Massas Corrigidas'!$I$126),""))</f>
        <v/>
      </c>
      <c r="AE278" s="590"/>
      <c r="AF278" s="590"/>
    </row>
    <row r="279" spans="1:32" x14ac:dyDescent="0.2">
      <c r="A279" s="150" t="str">
        <f>IF('Massas Corrigidas'!I126="","","Massa da amostra")</f>
        <v/>
      </c>
      <c r="B279" s="215" t="str">
        <f>'Massas Corrigidas'!K128</f>
        <v/>
      </c>
      <c r="C279" s="265" t="str">
        <f>IF(B279="","",'Massas Corrigidas'!L128)</f>
        <v/>
      </c>
      <c r="D279" s="272" t="str">
        <f>IF(A278="","",IF(B279="",1,B280/B279))</f>
        <v/>
      </c>
      <c r="E279" s="245" t="str">
        <f>IF(B279="","",IF(D279=1,0,(((C280/B279)^2)+(((B280*C279)/(B279^2))^2))^0.5))</f>
        <v/>
      </c>
      <c r="G279" s="141"/>
      <c r="H279" s="270" t="str">
        <f>IF('Entrada das intensidades'!B115&gt;0,'Entrada das intensidades'!B115,"")</f>
        <v/>
      </c>
      <c r="I279" s="327"/>
      <c r="J279" s="205" t="str">
        <f>IFERROR(((H279-$P$8)/$P$7)*$D$285,"")</f>
        <v/>
      </c>
      <c r="L279" s="205"/>
      <c r="R279" s="326" t="str">
        <f>IF(R278="","","ueff")</f>
        <v/>
      </c>
      <c r="S279" s="267" t="str">
        <f>IFERROR(IF($S$96=1,(O278^4)/(((M278^4)/(7-1))+((N278^4)/(42-1))),""),"")</f>
        <v/>
      </c>
      <c r="T279" s="115"/>
      <c r="U279" s="326" t="str">
        <f>IF(U278="","","Fração mássica da amostra (mg.kg-1)")</f>
        <v/>
      </c>
      <c r="V279" s="325"/>
      <c r="W279" s="148" t="str">
        <f>IFERROR(IF($S$96=2,AVERAGE(J279:J285,J288:J294),""),"")</f>
        <v/>
      </c>
      <c r="X279" s="326"/>
      <c r="Y279" s="325"/>
      <c r="Z279" s="148"/>
      <c r="AA279" s="326"/>
      <c r="AB279" s="325"/>
      <c r="AC279" s="148"/>
      <c r="AD279" s="326" t="str">
        <f>IF(AD278="","","Fração mássica da amostra (mg.kg-1)")</f>
        <v/>
      </c>
      <c r="AE279" s="325"/>
      <c r="AF279" s="148" t="str">
        <f>IFERROR(IF($S$96=5,AVERAGE(J279:J285,J288:J294,J297:J303,J306:J312,J315:J321),""),"")</f>
        <v/>
      </c>
    </row>
    <row r="280" spans="1:32" x14ac:dyDescent="0.2">
      <c r="A280" s="150" t="str">
        <f>IF('Massas Corrigidas'!I126="","","Massa total")</f>
        <v/>
      </c>
      <c r="B280" s="215" t="str">
        <f>'Massas Corrigidas'!K129</f>
        <v/>
      </c>
      <c r="C280" s="265" t="str">
        <f>IF(B280="","",'Massas Corrigidas'!L129)</f>
        <v/>
      </c>
      <c r="D280" s="205"/>
      <c r="E280" s="246"/>
      <c r="G280" s="141"/>
      <c r="H280" s="270" t="str">
        <f>IF('Entrada das intensidades'!B116&gt;0,'Entrada das intensidades'!B116,"")</f>
        <v/>
      </c>
      <c r="I280" s="327"/>
      <c r="J280" s="205" t="str">
        <f t="shared" ref="J280:J285" si="42">IFERROR(((H280-$P$8)/$P$7)*$D$285,"")</f>
        <v/>
      </c>
      <c r="L280" s="205"/>
      <c r="R280" s="326" t="str">
        <f>IF(R278="","","K 0,05")</f>
        <v/>
      </c>
      <c r="S280" s="135" t="str">
        <f>IFERROR(IF($S$96=1,TINV(0.05,S279),""),"")</f>
        <v/>
      </c>
      <c r="T280" s="115"/>
      <c r="U280" s="326" t="str">
        <f>IF(U278="","","Incerteza expandida (mg.kg-1)")</f>
        <v/>
      </c>
      <c r="V280" s="325"/>
      <c r="W280" s="148" t="str">
        <f>IF(Q278="","",IF($S$96=2,2*(SQRT(SUMSQ(Q278,Q287))/SQRT($S$96)),""))</f>
        <v/>
      </c>
      <c r="X280" s="326"/>
      <c r="Y280" s="325"/>
      <c r="Z280" s="148"/>
      <c r="AA280" s="326"/>
      <c r="AB280" s="325"/>
      <c r="AC280" s="148"/>
      <c r="AD280" s="326" t="str">
        <f>IF(AD278="","","Incerteza expandida (mg.kg-1)")</f>
        <v/>
      </c>
      <c r="AE280" s="325"/>
      <c r="AF280" s="148" t="str">
        <f>IF(Q278="","",IF($S$96=5,2*(SQRT(SUMSQ(Q278,Q287,Q296,Q305,Q314))/SQRT($S$96)),""))</f>
        <v/>
      </c>
    </row>
    <row r="281" spans="1:32" x14ac:dyDescent="0.2">
      <c r="A281" s="141" t="str">
        <f>IF('Massas Corrigidas'!P126="","",CONCATENATE("Segunda diluição Amostra ",'Massas Corrigidas'!I126))</f>
        <v/>
      </c>
      <c r="B281" s="205"/>
      <c r="C281" s="213"/>
      <c r="D281" s="214"/>
      <c r="E281" s="247"/>
      <c r="G281" s="141"/>
      <c r="H281" s="270" t="str">
        <f>IF('Entrada das intensidades'!B117&gt;0,'Entrada das intensidades'!B117,"")</f>
        <v/>
      </c>
      <c r="I281" s="327"/>
      <c r="J281" s="205" t="str">
        <f t="shared" si="42"/>
        <v/>
      </c>
      <c r="L281" s="205"/>
      <c r="R281" s="326" t="str">
        <f>IF(R278="","","Fração mássica da amostra (mg.kg-1)")</f>
        <v/>
      </c>
      <c r="S281" s="148" t="str">
        <f>IFERROR(IF($S$96=1,AVERAGE(J279:J285),""),"")</f>
        <v/>
      </c>
      <c r="T281" s="311"/>
    </row>
    <row r="282" spans="1:32" x14ac:dyDescent="0.2">
      <c r="A282" s="150" t="str">
        <f>IF('Massas Corrigidas'!P126="","","Massa da amostra")</f>
        <v/>
      </c>
      <c r="B282" s="215" t="str">
        <f>'Massas Corrigidas'!R128</f>
        <v/>
      </c>
      <c r="C282" s="265" t="str">
        <f>IF(B282="","",'Massas Corrigidas'!S128)</f>
        <v/>
      </c>
      <c r="D282" s="272" t="str">
        <f>IF(B282="",D279,B283/B282*D279)</f>
        <v/>
      </c>
      <c r="E282" s="245" t="str">
        <f>IF(B282="",E279,D282*((((((C280/B279)^2)+(((B280*C279)/(B279^2))^2))^0.5/(B280/B279))^2+((((C283/B282)^2+(B283*C282/(B282^2))^2))^0.5/(B283/B282))^2)^0.5))</f>
        <v/>
      </c>
      <c r="G282" s="141"/>
      <c r="H282" s="270" t="str">
        <f>IF('Entrada das intensidades'!B118&gt;0,'Entrada das intensidades'!B118,"")</f>
        <v/>
      </c>
      <c r="I282" s="327"/>
      <c r="J282" s="205" t="str">
        <f t="shared" si="42"/>
        <v/>
      </c>
      <c r="L282" s="205"/>
      <c r="R282" s="326" t="str">
        <f>IF(R278="","","Incerteza expandida (mg.kg-1)")</f>
        <v/>
      </c>
      <c r="S282" s="148" t="str">
        <f>IFERROR(IF($S$96=1,S280*J278*O278,""),"")</f>
        <v/>
      </c>
      <c r="T282" s="115"/>
    </row>
    <row r="283" spans="1:32" x14ac:dyDescent="0.2">
      <c r="A283" s="150" t="str">
        <f>IF('Massas Corrigidas'!P126="","","Massa total")</f>
        <v/>
      </c>
      <c r="B283" s="215" t="str">
        <f>'Massas Corrigidas'!R129</f>
        <v/>
      </c>
      <c r="C283" s="265" t="str">
        <f>IF(B283="","",'Massas Corrigidas'!S129)</f>
        <v/>
      </c>
      <c r="D283" s="205"/>
      <c r="E283" s="220"/>
      <c r="G283" s="141"/>
      <c r="H283" s="270" t="str">
        <f>IF('Entrada das intensidades'!B119&gt;0,'Entrada das intensidades'!B119,"")</f>
        <v/>
      </c>
      <c r="I283" s="327"/>
      <c r="J283" s="205" t="str">
        <f t="shared" si="42"/>
        <v/>
      </c>
      <c r="L283" s="205"/>
      <c r="R283" s="214"/>
      <c r="S283" s="214"/>
      <c r="T283" s="115"/>
    </row>
    <row r="284" spans="1:32" x14ac:dyDescent="0.2">
      <c r="A284" s="141" t="str">
        <f>IF('Massas Corrigidas'!W126="","",CONCATENATE("Terceira diluição Amostra ",'Massas Corrigidas'!I126))</f>
        <v/>
      </c>
      <c r="B284" s="205"/>
      <c r="C284" s="213"/>
      <c r="D284" s="214"/>
      <c r="E284" s="247"/>
      <c r="G284" s="141"/>
      <c r="H284" s="270" t="str">
        <f>IF('Entrada das intensidades'!B120&gt;0,'Entrada das intensidades'!B120,"")</f>
        <v/>
      </c>
      <c r="I284" s="327"/>
      <c r="J284" s="205" t="str">
        <f t="shared" si="42"/>
        <v/>
      </c>
      <c r="L284" s="205"/>
      <c r="R284" s="214"/>
      <c r="S284" s="214"/>
      <c r="T284" s="115"/>
    </row>
    <row r="285" spans="1:32" x14ac:dyDescent="0.2">
      <c r="A285" s="150" t="str">
        <f>IF('Massas Corrigidas'!W126="","","Massa da amostra")</f>
        <v/>
      </c>
      <c r="B285" s="215" t="str">
        <f>'Massas Corrigidas'!Y128</f>
        <v/>
      </c>
      <c r="C285" s="265" t="str">
        <f>IF(B285="","",'Massas Corrigidas'!Z128)</f>
        <v/>
      </c>
      <c r="D285" s="272" t="str">
        <f>IF(B285="",D282,B286/B285*D282)</f>
        <v/>
      </c>
      <c r="E285" s="273" t="str">
        <f>IF(B285="",E282,D285*(((((C280/B279)^2)+(((B280*C279)/(B279^2))^2))^0.5/(B280/B279))^2+((((C283/B282)^2+(B283*C282/(B282^2))^2))^0.5/(B283/B282))^2+(((((C286/B285)^2+(B286*C285/(B285^2))^2))^0.5)/(B286/B285))^2)^0.5)</f>
        <v/>
      </c>
      <c r="G285" s="141"/>
      <c r="H285" s="270" t="str">
        <f>IF('Entrada das intensidades'!B121&gt;0,'Entrada das intensidades'!B121,"")</f>
        <v/>
      </c>
      <c r="I285" s="327"/>
      <c r="J285" s="205" t="str">
        <f t="shared" si="42"/>
        <v/>
      </c>
      <c r="L285" s="205"/>
      <c r="R285" s="214"/>
      <c r="S285" s="214"/>
      <c r="T285" s="115"/>
    </row>
    <row r="286" spans="1:32" x14ac:dyDescent="0.2">
      <c r="A286" s="150" t="str">
        <f>IF('Massas Corrigidas'!W126="","","Massa total")</f>
        <v/>
      </c>
      <c r="B286" s="215" t="str">
        <f>'Massas Corrigidas'!Y129</f>
        <v/>
      </c>
      <c r="C286" s="265" t="str">
        <f>IF(B286="","",'Massas Corrigidas'!Z129)</f>
        <v/>
      </c>
      <c r="D286" s="205"/>
      <c r="E286" s="247"/>
      <c r="G286" s="141"/>
      <c r="H286" s="329"/>
      <c r="I286" s="274"/>
      <c r="L286" s="205"/>
      <c r="R286" s="214"/>
      <c r="S286" s="214"/>
      <c r="T286" s="115"/>
    </row>
    <row r="287" spans="1:32" x14ac:dyDescent="0.2">
      <c r="A287" s="141" t="str">
        <f>IF('Massas Corrigidas'!I131="","",CONCATENATE("Primeira diluição Amostra ",'Massas Corrigidas'!I131))</f>
        <v/>
      </c>
      <c r="B287" s="205"/>
      <c r="C287" s="205"/>
      <c r="D287" s="205"/>
      <c r="E287" s="270"/>
      <c r="G287" s="262" t="str">
        <f>IF('Massas Corrigidas'!I131="","",CONCATENATE("Amostra ",'Massas Corrigidas'!I131))</f>
        <v/>
      </c>
      <c r="H287" s="329" t="str">
        <f>IFERROR(AVERAGE(H288:H294),"")</f>
        <v/>
      </c>
      <c r="I287" s="327" t="str">
        <f>IFERROR(STDEV(H288:H294),"")</f>
        <v/>
      </c>
      <c r="J287" s="205" t="str">
        <f>IFERROR(AVERAGE(J288:J294),"")</f>
        <v/>
      </c>
      <c r="K287" s="263" t="str">
        <f>IF(H287="","",(E294/D294))</f>
        <v/>
      </c>
      <c r="L287" s="264" t="str">
        <f t="shared" ref="L287" si="43">IF(H287="","",IFERROR(((($B$48/$B$47)^2+($B$51/$B$50)^2+($B$54/$B$53)^2+($B$57/$B$56)^2+($B$60/$B$59)^2+($B$63/$B$62)^2)^0.5),((($B$48/$B$47)^2+($B$51/$B$50)^2+($B$54/$B$53)^2+($B$57/$B$56)^2+($B$60/$B$59)^2)^0.5)))</f>
        <v/>
      </c>
      <c r="M287" s="264" t="str">
        <f>IF(J287="","",STDEV(J288:J294)/J287)</f>
        <v/>
      </c>
      <c r="N287" s="264" t="str">
        <f>IF(H287="","",((($P$10/$P$7)*(SQRT((1/$E$12)+(1/$E$10)+(((J287/D294)-$P$16)^2)/$P$18))))/(J287/D294))</f>
        <v/>
      </c>
      <c r="O287" s="264" t="str">
        <f>IF(H287="","",(SQRT(L287^2+M287^2+N287^2+K287^2)))</f>
        <v/>
      </c>
      <c r="P287" s="271"/>
      <c r="Q287" s="209"/>
      <c r="R287" s="590" t="str">
        <f>IF($J$287="","",IF($S$96=1,CONCATENATE("Resultado final amostra ", 'Massas Corrigidas'!$I$131),""))</f>
        <v/>
      </c>
      <c r="S287" s="590"/>
      <c r="T287" s="145"/>
      <c r="U287" s="590"/>
      <c r="V287" s="590"/>
      <c r="W287" s="590"/>
      <c r="X287" s="590" t="str">
        <f>IF($J$287="","",IF($S$96=3,CONCATENATE("Resultado final amostra ", 'Massas Corrigidas'!$I$131),""))</f>
        <v/>
      </c>
      <c r="Y287" s="590"/>
      <c r="Z287" s="590"/>
      <c r="AA287" s="590"/>
      <c r="AB287" s="590"/>
      <c r="AC287" s="590"/>
      <c r="AD287" s="590"/>
      <c r="AE287" s="590"/>
      <c r="AF287" s="590"/>
    </row>
    <row r="288" spans="1:32" x14ac:dyDescent="0.2">
      <c r="A288" s="150" t="str">
        <f>IF('Massas Corrigidas'!I131="","","Massa da amostra")</f>
        <v/>
      </c>
      <c r="B288" s="215" t="str">
        <f>'Massas Corrigidas'!K133</f>
        <v/>
      </c>
      <c r="C288" s="265" t="str">
        <f>IF(B288="","",'Massas Corrigidas'!L133)</f>
        <v/>
      </c>
      <c r="D288" s="272" t="str">
        <f>IF(A287="","",IF(B288="",1,B289/B288))</f>
        <v/>
      </c>
      <c r="E288" s="245" t="str">
        <f>IF(B288="","",IF(D288=1,0,(((C289/B288)^2)+(((B289*C288)/(B288^2))^2))^0.5))</f>
        <v/>
      </c>
      <c r="G288" s="141"/>
      <c r="H288" s="270" t="str">
        <f>IF('Entrada das intensidades'!F115&gt;0,'Entrada das intensidades'!F115,"")</f>
        <v/>
      </c>
      <c r="I288" s="327"/>
      <c r="J288" s="205" t="str">
        <f>IFERROR(((H288-$P$8)/$P$7)*$D$294,"")</f>
        <v/>
      </c>
      <c r="L288" s="205"/>
      <c r="R288" s="326" t="str">
        <f>IF(R287="","","ueff")</f>
        <v/>
      </c>
      <c r="S288" s="267" t="str">
        <f>IFERROR(IF($S$96=1,(O287^4)/(((M287^4)/(7-1))+((N287^4)/(42-1))),""),"")</f>
        <v/>
      </c>
      <c r="T288" s="115"/>
      <c r="U288" s="326"/>
      <c r="V288" s="325"/>
      <c r="W288" s="148"/>
      <c r="X288" s="326" t="str">
        <f>IF(X287="","","Fração mássica da amostra (mg.kg-1)")</f>
        <v/>
      </c>
      <c r="Y288" s="325"/>
      <c r="Z288" s="148" t="str">
        <f>IFERROR(IF($S$96=3,AVERAGE(J288:J294,J297:J303,J306:J312),""),"")</f>
        <v/>
      </c>
      <c r="AA288" s="326"/>
      <c r="AB288" s="325"/>
      <c r="AC288" s="148"/>
      <c r="AD288" s="326"/>
      <c r="AE288" s="325"/>
      <c r="AF288" s="148"/>
    </row>
    <row r="289" spans="1:32" x14ac:dyDescent="0.2">
      <c r="A289" s="150" t="str">
        <f>IF('Massas Corrigidas'!I131="","","Massa total")</f>
        <v/>
      </c>
      <c r="B289" s="215" t="str">
        <f>'Massas Corrigidas'!K134</f>
        <v/>
      </c>
      <c r="C289" s="265" t="str">
        <f>IF(B289="","",'Massas Corrigidas'!L134)</f>
        <v/>
      </c>
      <c r="D289" s="205"/>
      <c r="E289" s="246"/>
      <c r="G289" s="141"/>
      <c r="H289" s="270" t="str">
        <f>IF('Entrada das intensidades'!F116&gt;0,'Entrada das intensidades'!F116,"")</f>
        <v/>
      </c>
      <c r="I289" s="327"/>
      <c r="J289" s="205" t="str">
        <f t="shared" ref="J289:J294" si="44">IFERROR(((H289-$P$8)/$P$7)*$D$294,"")</f>
        <v/>
      </c>
      <c r="L289" s="205"/>
      <c r="R289" s="326" t="str">
        <f>IF(R287="","","K 0,05")</f>
        <v/>
      </c>
      <c r="S289" s="135" t="str">
        <f>IFERROR(IF($S$96=1,TINV(0.05,S288),""),"")</f>
        <v/>
      </c>
      <c r="T289" s="115"/>
      <c r="U289" s="326"/>
      <c r="V289" s="325"/>
      <c r="W289" s="148"/>
      <c r="X289" s="326" t="str">
        <f>IF(X287="","","Incerteza expandida (mg.kg-1)")</f>
        <v/>
      </c>
      <c r="Y289" s="325"/>
      <c r="Z289" s="148" t="str">
        <f>IF(Q287="","",IF($S$96=3,2*(SQRT(SUMSQ(Q287,Q296,Q305))/SQRT($S$96)),""))</f>
        <v/>
      </c>
      <c r="AA289" s="326"/>
      <c r="AB289" s="325"/>
      <c r="AC289" s="148"/>
      <c r="AD289" s="326"/>
      <c r="AE289" s="325"/>
      <c r="AF289" s="148"/>
    </row>
    <row r="290" spans="1:32" x14ac:dyDescent="0.2">
      <c r="A290" s="141" t="str">
        <f>IF('Massas Corrigidas'!P131="","",CONCATENATE("Segunda diluição Amostra ",'Massas Corrigidas'!I131))</f>
        <v/>
      </c>
      <c r="B290" s="205"/>
      <c r="C290" s="213"/>
      <c r="D290" s="214"/>
      <c r="E290" s="247"/>
      <c r="G290" s="141"/>
      <c r="H290" s="270" t="str">
        <f>IF('Entrada das intensidades'!F117&gt;0,'Entrada das intensidades'!F117,"")</f>
        <v/>
      </c>
      <c r="I290" s="327"/>
      <c r="J290" s="205" t="str">
        <f t="shared" si="44"/>
        <v/>
      </c>
      <c r="L290" s="205"/>
      <c r="R290" s="326" t="str">
        <f>IF(R287="","","Fração mássica da amostra (mg.kg-1)")</f>
        <v/>
      </c>
      <c r="S290" s="148" t="str">
        <f>IFERROR(IF($S$96=1,AVERAGE(J288:J294),""),"")</f>
        <v/>
      </c>
      <c r="T290" s="311"/>
    </row>
    <row r="291" spans="1:32" x14ac:dyDescent="0.2">
      <c r="A291" s="150" t="str">
        <f>IF('Massas Corrigidas'!P131="","","Massa da amostra")</f>
        <v/>
      </c>
      <c r="B291" s="215" t="str">
        <f>'Massas Corrigidas'!R133</f>
        <v/>
      </c>
      <c r="C291" s="265" t="str">
        <f>IF(B291="","",'Massas Corrigidas'!S133)</f>
        <v/>
      </c>
      <c r="D291" s="272" t="str">
        <f>IF(B291="",D288,B292/B291*D288)</f>
        <v/>
      </c>
      <c r="E291" s="245" t="str">
        <f>IF(B291="",E288,D291*((((((C289/B288)^2)+(((B289*C288)/(B288^2))^2))^0.5/(B289/B288))^2+((((C292/B291)^2+(B292*C291/(B291^2))^2))^0.5/(B292/B291))^2)^0.5))</f>
        <v/>
      </c>
      <c r="G291" s="141"/>
      <c r="H291" s="270" t="str">
        <f>IF('Entrada das intensidades'!F118&gt;0,'Entrada das intensidades'!F118,"")</f>
        <v/>
      </c>
      <c r="I291" s="327"/>
      <c r="J291" s="205" t="str">
        <f t="shared" si="44"/>
        <v/>
      </c>
      <c r="L291" s="205"/>
      <c r="R291" s="326" t="str">
        <f>IF(R287="","","Incerteza expandida (mg.kg-1)")</f>
        <v/>
      </c>
      <c r="S291" s="148" t="str">
        <f>IFERROR(IF($S$96=1,S289*J287*O287,""),"")</f>
        <v/>
      </c>
      <c r="T291" s="115"/>
    </row>
    <row r="292" spans="1:32" x14ac:dyDescent="0.2">
      <c r="A292" s="150" t="str">
        <f>IF('Massas Corrigidas'!P131="","","Massa total")</f>
        <v/>
      </c>
      <c r="B292" s="215" t="str">
        <f>'Massas Corrigidas'!R134</f>
        <v/>
      </c>
      <c r="C292" s="265" t="str">
        <f>IF(B292="","",'Massas Corrigidas'!S134)</f>
        <v/>
      </c>
      <c r="D292" s="205"/>
      <c r="E292" s="220"/>
      <c r="G292" s="141"/>
      <c r="H292" s="270" t="str">
        <f>IF('Entrada das intensidades'!F119&gt;0,'Entrada das intensidades'!F119,"")</f>
        <v/>
      </c>
      <c r="I292" s="327"/>
      <c r="J292" s="205" t="str">
        <f t="shared" si="44"/>
        <v/>
      </c>
      <c r="L292" s="205"/>
      <c r="R292" s="214"/>
      <c r="S292" s="214"/>
      <c r="T292" s="115"/>
    </row>
    <row r="293" spans="1:32" x14ac:dyDescent="0.2">
      <c r="A293" s="141" t="str">
        <f>IF('Massas Corrigidas'!W131="","",CONCATENATE("Terceira diluição Amostra ",'Massas Corrigidas'!I131))</f>
        <v/>
      </c>
      <c r="B293" s="205"/>
      <c r="C293" s="213"/>
      <c r="D293" s="214"/>
      <c r="E293" s="247"/>
      <c r="G293" s="141"/>
      <c r="H293" s="270" t="str">
        <f>IF('Entrada das intensidades'!F120&gt;0,'Entrada das intensidades'!F120,"")</f>
        <v/>
      </c>
      <c r="I293" s="327"/>
      <c r="J293" s="205" t="str">
        <f t="shared" si="44"/>
        <v/>
      </c>
      <c r="L293" s="205"/>
      <c r="R293" s="214"/>
      <c r="S293" s="214"/>
      <c r="T293" s="115"/>
    </row>
    <row r="294" spans="1:32" x14ac:dyDescent="0.2">
      <c r="A294" s="150" t="str">
        <f>IF('Massas Corrigidas'!W131="","","Massa da amostra")</f>
        <v/>
      </c>
      <c r="B294" s="215" t="str">
        <f>'Massas Corrigidas'!Y133</f>
        <v/>
      </c>
      <c r="C294" s="265" t="str">
        <f>IF(B294="","",'Massas Corrigidas'!Z133)</f>
        <v/>
      </c>
      <c r="D294" s="272" t="str">
        <f>IF(B294="",D291,B295/B294*D291)</f>
        <v/>
      </c>
      <c r="E294" s="273" t="str">
        <f>IF(B294="",E291,D294*(((((C289/B288)^2)+(((B289*C288)/(B288^2))^2))^0.5/(B289/B288))^2+((((C292/B291)^2+(B292*C291/(B291^2))^2))^0.5/(B292/B291))^2+(((((C295/B294)^2+(B295*C294/(B294^2))^2))^0.5)/(B295/B294))^2)^0.5)</f>
        <v/>
      </c>
      <c r="G294" s="141"/>
      <c r="H294" s="270" t="str">
        <f>IF('Entrada das intensidades'!F121&gt;0,'Entrada das intensidades'!F121,"")</f>
        <v/>
      </c>
      <c r="I294" s="327"/>
      <c r="J294" s="205" t="str">
        <f t="shared" si="44"/>
        <v/>
      </c>
      <c r="L294" s="205"/>
      <c r="R294" s="214"/>
      <c r="S294" s="214"/>
      <c r="T294" s="115"/>
    </row>
    <row r="295" spans="1:32" x14ac:dyDescent="0.2">
      <c r="A295" s="150" t="str">
        <f>IF('Massas Corrigidas'!W131="","","Massa total")</f>
        <v/>
      </c>
      <c r="B295" s="215" t="str">
        <f>'Massas Corrigidas'!Y134</f>
        <v/>
      </c>
      <c r="C295" s="265" t="str">
        <f>IF(B295="","",'Massas Corrigidas'!Z134)</f>
        <v/>
      </c>
      <c r="D295" s="205"/>
      <c r="E295" s="247"/>
      <c r="G295" s="141"/>
      <c r="H295" s="329"/>
      <c r="I295" s="274"/>
      <c r="L295" s="205"/>
      <c r="R295" s="214"/>
      <c r="S295" s="214"/>
      <c r="T295" s="115"/>
    </row>
    <row r="296" spans="1:32" x14ac:dyDescent="0.2">
      <c r="A296" s="141" t="str">
        <f>IF('Massas Corrigidas'!I136="","",CONCATENATE("Primeira diluição Amostra ",'Massas Corrigidas'!I136))</f>
        <v/>
      </c>
      <c r="B296" s="205"/>
      <c r="C296" s="205"/>
      <c r="D296" s="205"/>
      <c r="E296" s="270"/>
      <c r="G296" s="262" t="str">
        <f>IF('Massas Corrigidas'!I136="","",CONCATENATE("Amostra ",'Massas Corrigidas'!I136))</f>
        <v/>
      </c>
      <c r="H296" s="329" t="str">
        <f>IFERROR(AVERAGE(H297:H303),"")</f>
        <v/>
      </c>
      <c r="I296" s="327" t="str">
        <f>IFERROR(STDEV(H297:H303),"")</f>
        <v/>
      </c>
      <c r="J296" s="205" t="str">
        <f>IFERROR(AVERAGE(J297:J303),"")</f>
        <v/>
      </c>
      <c r="K296" s="263" t="str">
        <f>IF(H296="","",(E303/D303))</f>
        <v/>
      </c>
      <c r="L296" s="264" t="str">
        <f t="shared" ref="L296" si="45">IF(H296="","",IFERROR(((($B$48/$B$47)^2+($B$51/$B$50)^2+($B$54/$B$53)^2+($B$57/$B$56)^2+($B$60/$B$59)^2+($B$63/$B$62)^2)^0.5),((($B$48/$B$47)^2+($B$51/$B$50)^2+($B$54/$B$53)^2+($B$57/$B$56)^2+($B$60/$B$59)^2)^0.5)))</f>
        <v/>
      </c>
      <c r="M296" s="264" t="str">
        <f>IF(J296="","",STDEV(J297:J303)/J296)</f>
        <v/>
      </c>
      <c r="N296" s="264" t="str">
        <f>IF(H296="","",((($P$10/$P$7)*(SQRT((1/$E$12)+(1/$E$10)+(((J296/D303)-$P$16)^2)/$P$18))))/(J296/D303))</f>
        <v/>
      </c>
      <c r="O296" s="264" t="str">
        <f>IF(H296="","",(SQRT(L296^2+M296^2+N296^2+K296^2)))</f>
        <v/>
      </c>
      <c r="P296" s="271"/>
      <c r="Q296" s="209"/>
      <c r="R296" s="590" t="str">
        <f>IF($J$296="","",IF($S$96=1,CONCATENATE("Resultado final amostra ", 'Massas Corrigidas'!$I$136),""))</f>
        <v/>
      </c>
      <c r="S296" s="590"/>
      <c r="T296" s="145"/>
      <c r="U296" s="590" t="str">
        <f>IF($J$296="","",IF($S$96=2,CONCATENATE("Resultado final amostra ", 'Massas Corrigidas'!$I$136),""))</f>
        <v/>
      </c>
      <c r="V296" s="590"/>
      <c r="W296" s="590"/>
      <c r="X296" s="590"/>
      <c r="Y296" s="590"/>
      <c r="Z296" s="590"/>
      <c r="AA296" s="590"/>
      <c r="AB296" s="590"/>
      <c r="AC296" s="590"/>
      <c r="AD296" s="590"/>
      <c r="AE296" s="590"/>
      <c r="AF296" s="590"/>
    </row>
    <row r="297" spans="1:32" x14ac:dyDescent="0.2">
      <c r="A297" s="150" t="str">
        <f>IF('Massas Corrigidas'!I136="","","Massa da amostra")</f>
        <v/>
      </c>
      <c r="B297" s="215" t="str">
        <f>'Massas Corrigidas'!K138</f>
        <v/>
      </c>
      <c r="C297" s="265" t="str">
        <f>IF(B297="","",'Massas Corrigidas'!L138)</f>
        <v/>
      </c>
      <c r="D297" s="272" t="str">
        <f>IF(A296="","",IF(B297="",1,B298/B297))</f>
        <v/>
      </c>
      <c r="E297" s="245" t="str">
        <f>IF(B297="","",IF(D297=1,0,(((C298/B297)^2)+(((B298*C297)/(B297^2))^2))^0.5))</f>
        <v/>
      </c>
      <c r="G297" s="141"/>
      <c r="H297" s="270" t="str">
        <f>IF('Entrada das intensidades'!B124&gt;0,'Entrada das intensidades'!B124,"")</f>
        <v/>
      </c>
      <c r="I297" s="327"/>
      <c r="J297" s="205" t="str">
        <f>IFERROR(((H297-$P$8)/$P$7)*$D$303,"")</f>
        <v/>
      </c>
      <c r="L297" s="205"/>
      <c r="R297" s="326" t="str">
        <f>IF(R296="","","ueff")</f>
        <v/>
      </c>
      <c r="S297" s="267" t="str">
        <f>IFERROR(IF($S$96=1,(O296^4)/(((M296^4)/(7-1))+((N296^4)/(42-1))),""),"")</f>
        <v/>
      </c>
      <c r="T297" s="115"/>
      <c r="U297" s="326" t="str">
        <f>IF(U296="","","Fração mássica da amostra (mg.kg-1)")</f>
        <v/>
      </c>
      <c r="V297" s="325"/>
      <c r="W297" s="148" t="str">
        <f>IFERROR(IF($S$96=2,AVERAGE(J297:J303,J306:J312),""),"")</f>
        <v/>
      </c>
      <c r="X297" s="326"/>
      <c r="Y297" s="325"/>
      <c r="Z297" s="148"/>
      <c r="AA297" s="326"/>
      <c r="AB297" s="325"/>
      <c r="AC297" s="148"/>
      <c r="AD297" s="326"/>
      <c r="AE297" s="325"/>
      <c r="AF297" s="148"/>
    </row>
    <row r="298" spans="1:32" x14ac:dyDescent="0.2">
      <c r="A298" s="150" t="str">
        <f>IF('Massas Corrigidas'!I136="","","Massa total")</f>
        <v/>
      </c>
      <c r="B298" s="215" t="str">
        <f>'Massas Corrigidas'!K139</f>
        <v/>
      </c>
      <c r="C298" s="265" t="str">
        <f>IF(B298="","",'Massas Corrigidas'!L139)</f>
        <v/>
      </c>
      <c r="D298" s="205"/>
      <c r="E298" s="246"/>
      <c r="G298" s="141"/>
      <c r="H298" s="270" t="str">
        <f>IF('Entrada das intensidades'!B125&gt;0,'Entrada das intensidades'!B125,"")</f>
        <v/>
      </c>
      <c r="I298" s="327"/>
      <c r="J298" s="205" t="str">
        <f t="shared" ref="J298:J303" si="46">IFERROR(((H298-$P$8)/$P$7)*$D$303,"")</f>
        <v/>
      </c>
      <c r="L298" s="205"/>
      <c r="R298" s="326" t="str">
        <f>IF(R296="","","K 0,05")</f>
        <v/>
      </c>
      <c r="S298" s="135" t="str">
        <f>IFERROR(IF($S$96=1,TINV(0.05,S297),""),"")</f>
        <v/>
      </c>
      <c r="T298" s="115"/>
      <c r="U298" s="326" t="str">
        <f>IF(U296="","","Incerteza expandida (mg.kg-1)")</f>
        <v/>
      </c>
      <c r="V298" s="325"/>
      <c r="W298" s="148" t="str">
        <f>IF(Q296="","",IF($S$96=2,2*(SQRT(SUMSQ(Q296,Q305))/SQRT($S$96)),""))</f>
        <v/>
      </c>
      <c r="X298" s="326"/>
      <c r="Y298" s="325"/>
      <c r="Z298" s="148"/>
      <c r="AA298" s="326"/>
      <c r="AB298" s="325"/>
      <c r="AC298" s="148"/>
      <c r="AD298" s="326"/>
      <c r="AE298" s="325"/>
      <c r="AF298" s="148"/>
    </row>
    <row r="299" spans="1:32" x14ac:dyDescent="0.2">
      <c r="A299" s="141" t="str">
        <f>IF('Massas Corrigidas'!P136="","",CONCATENATE("Segunda diluição Amostra ",'Massas Corrigidas'!I136))</f>
        <v/>
      </c>
      <c r="B299" s="205"/>
      <c r="C299" s="213"/>
      <c r="D299" s="214"/>
      <c r="E299" s="247"/>
      <c r="G299" s="141"/>
      <c r="H299" s="270" t="str">
        <f>IF('Entrada das intensidades'!B126&gt;0,'Entrada das intensidades'!B126,"")</f>
        <v/>
      </c>
      <c r="I299" s="327"/>
      <c r="J299" s="205" t="str">
        <f t="shared" si="46"/>
        <v/>
      </c>
      <c r="L299" s="205"/>
      <c r="R299" s="326" t="str">
        <f>IF(R296="","","Fração mássica da amostra (mg.kg-1)")</f>
        <v/>
      </c>
      <c r="S299" s="148" t="str">
        <f>IFERROR(IF($S$96=1,AVERAGE(J297:J303),""),"")</f>
        <v/>
      </c>
      <c r="T299" s="311"/>
    </row>
    <row r="300" spans="1:32" x14ac:dyDescent="0.2">
      <c r="A300" s="150" t="str">
        <f>IF('Massas Corrigidas'!P136="","","Massa da amostra")</f>
        <v/>
      </c>
      <c r="B300" s="215" t="str">
        <f>'Massas Corrigidas'!R138</f>
        <v/>
      </c>
      <c r="C300" s="265" t="str">
        <f>IF(B300="","",'Massas Corrigidas'!S138)</f>
        <v/>
      </c>
      <c r="D300" s="272" t="str">
        <f>IF(B300="",D297,B301/B300*D297)</f>
        <v/>
      </c>
      <c r="E300" s="245" t="str">
        <f>IF(B300="",E297,D300*((((((C298/B297)^2)+(((B298*C297)/(B297^2))^2))^0.5/(B298/B297))^2+((((C301/B300)^2+(B301*C300/(B300^2))^2))^0.5/(B301/B300))^2)^0.5))</f>
        <v/>
      </c>
      <c r="G300" s="141"/>
      <c r="H300" s="270" t="str">
        <f>IF('Entrada das intensidades'!B127&gt;0,'Entrada das intensidades'!B127,"")</f>
        <v/>
      </c>
      <c r="I300" s="327"/>
      <c r="J300" s="205" t="str">
        <f t="shared" si="46"/>
        <v/>
      </c>
      <c r="L300" s="205"/>
      <c r="R300" s="326" t="str">
        <f>IF(R296="","","Incerteza expandida (mg.kg-1)")</f>
        <v/>
      </c>
      <c r="S300" s="148" t="str">
        <f>IFERROR(IF($S$96=1,S298*J296*O296,""),"")</f>
        <v/>
      </c>
      <c r="T300" s="115"/>
    </row>
    <row r="301" spans="1:32" x14ac:dyDescent="0.2">
      <c r="A301" s="150" t="str">
        <f>IF('Massas Corrigidas'!P136="","","Massa total")</f>
        <v/>
      </c>
      <c r="B301" s="215" t="str">
        <f>'Massas Corrigidas'!R139</f>
        <v/>
      </c>
      <c r="C301" s="265" t="str">
        <f>IF(B301="","",'Massas Corrigidas'!S139)</f>
        <v/>
      </c>
      <c r="D301" s="205"/>
      <c r="E301" s="220"/>
      <c r="G301" s="141"/>
      <c r="H301" s="270" t="str">
        <f>IF('Entrada das intensidades'!B128&gt;0,'Entrada das intensidades'!B128,"")</f>
        <v/>
      </c>
      <c r="I301" s="327"/>
      <c r="J301" s="205" t="str">
        <f t="shared" si="46"/>
        <v/>
      </c>
      <c r="L301" s="205"/>
      <c r="R301" s="214"/>
      <c r="S301" s="214"/>
      <c r="T301" s="115"/>
    </row>
    <row r="302" spans="1:32" x14ac:dyDescent="0.2">
      <c r="A302" s="141" t="str">
        <f>IF('Massas Corrigidas'!W136="","",CONCATENATE("Terceira diluição Amostra ",'Massas Corrigidas'!I136))</f>
        <v/>
      </c>
      <c r="B302" s="205"/>
      <c r="C302" s="213"/>
      <c r="D302" s="214"/>
      <c r="E302" s="247"/>
      <c r="G302" s="141"/>
      <c r="H302" s="270" t="str">
        <f>IF('Entrada das intensidades'!B129&gt;0,'Entrada das intensidades'!B129,"")</f>
        <v/>
      </c>
      <c r="I302" s="327"/>
      <c r="J302" s="205" t="str">
        <f t="shared" si="46"/>
        <v/>
      </c>
      <c r="L302" s="205"/>
      <c r="R302" s="214"/>
      <c r="S302" s="214"/>
      <c r="T302" s="115"/>
    </row>
    <row r="303" spans="1:32" x14ac:dyDescent="0.2">
      <c r="A303" s="150" t="str">
        <f>IF('Massas Corrigidas'!W136="","","Massa da amostra")</f>
        <v/>
      </c>
      <c r="B303" s="215" t="str">
        <f>'Massas Corrigidas'!Y138</f>
        <v/>
      </c>
      <c r="C303" s="265" t="str">
        <f>IF(B303="","",'Massas Corrigidas'!Z138)</f>
        <v/>
      </c>
      <c r="D303" s="272" t="str">
        <f>IF(B303="",D300,B304/B303*D300)</f>
        <v/>
      </c>
      <c r="E303" s="273" t="str">
        <f>IF(B303="",E300,D303*(((((C298/B297)^2)+(((B298*C297)/(B297^2))^2))^0.5/(B298/B297))^2+((((C301/B300)^2+(B301*C300/(B300^2))^2))^0.5/(B301/B300))^2+(((((C304/B303)^2+(B304*C303/(B303^2))^2))^0.5)/(B304/B303))^2)^0.5)</f>
        <v/>
      </c>
      <c r="G303" s="141"/>
      <c r="H303" s="270" t="str">
        <f>IF('Entrada das intensidades'!B130&gt;0,'Entrada das intensidades'!B130,"")</f>
        <v/>
      </c>
      <c r="I303" s="327"/>
      <c r="J303" s="205" t="str">
        <f t="shared" si="46"/>
        <v/>
      </c>
      <c r="L303" s="205"/>
      <c r="R303" s="214"/>
      <c r="S303" s="214"/>
      <c r="T303" s="115"/>
    </row>
    <row r="304" spans="1:32" x14ac:dyDescent="0.2">
      <c r="A304" s="150" t="str">
        <f>IF('Massas Corrigidas'!W136="","","Massa total")</f>
        <v/>
      </c>
      <c r="B304" s="215" t="str">
        <f>'Massas Corrigidas'!Y139</f>
        <v/>
      </c>
      <c r="C304" s="265" t="str">
        <f>IF(B304="","",'Massas Corrigidas'!Z139)</f>
        <v/>
      </c>
      <c r="D304" s="205"/>
      <c r="E304" s="247"/>
      <c r="G304" s="141"/>
      <c r="H304" s="329"/>
      <c r="I304" s="274"/>
      <c r="L304" s="205"/>
      <c r="R304" s="214"/>
      <c r="S304" s="214"/>
      <c r="T304" s="115"/>
    </row>
    <row r="305" spans="1:32" x14ac:dyDescent="0.2">
      <c r="A305" s="141" t="str">
        <f>IF('Massas Corrigidas'!I141="","",CONCATENATE("Primeira diluição Amostra ",'Massas Corrigidas'!I141))</f>
        <v/>
      </c>
      <c r="B305" s="205"/>
      <c r="C305" s="205"/>
      <c r="D305" s="205"/>
      <c r="E305" s="270"/>
      <c r="G305" s="262" t="str">
        <f>IF('Massas Corrigidas'!I141="","",CONCATENATE("Amostra ",'Massas Corrigidas'!I141))</f>
        <v/>
      </c>
      <c r="H305" s="329" t="str">
        <f>IFERROR(AVERAGE(H306:H312),"")</f>
        <v/>
      </c>
      <c r="I305" s="327" t="str">
        <f>IFERROR(STDEV(H306:H312),"")</f>
        <v/>
      </c>
      <c r="J305" s="205" t="str">
        <f>IFERROR(AVERAGE(J306:J312),"")</f>
        <v/>
      </c>
      <c r="K305" s="263" t="str">
        <f>IF(H305="","",(E312/D312))</f>
        <v/>
      </c>
      <c r="L305" s="264" t="str">
        <f t="shared" ref="L305" si="47">IF(H305="","",IFERROR(((($B$48/$B$47)^2+($B$51/$B$50)^2+($B$54/$B$53)^2+($B$57/$B$56)^2+($B$60/$B$59)^2+($B$63/$B$62)^2)^0.5),((($B$48/$B$47)^2+($B$51/$B$50)^2+($B$54/$B$53)^2+($B$57/$B$56)^2+($B$60/$B$59)^2)^0.5)))</f>
        <v/>
      </c>
      <c r="M305" s="264" t="str">
        <f>IF(J305="","",STDEV(J306:J312)/J305)</f>
        <v/>
      </c>
      <c r="N305" s="264" t="str">
        <f>IF(H305="","",((($P$10/$P$7)*(SQRT((1/$E$12)+(1/$E$10)+(((J305/D312)-$P$16)^2)/$P$18))))/(J305/D312))</f>
        <v/>
      </c>
      <c r="O305" s="264" t="str">
        <f>IF(H305="","",(SQRT(L305^2+M305^2+N305^2+K305^2)))</f>
        <v/>
      </c>
      <c r="P305" s="271"/>
      <c r="Q305" s="209"/>
      <c r="R305" s="590" t="str">
        <f>IF($J$305="","",IF($S$96=1,CONCATENATE("Resultado final amostra ", 'Massas Corrigidas'!$I$141),""))</f>
        <v/>
      </c>
      <c r="S305" s="590"/>
      <c r="T305" s="145"/>
      <c r="U305" s="590"/>
      <c r="V305" s="590"/>
      <c r="W305" s="590"/>
      <c r="X305" s="590"/>
      <c r="Y305" s="590"/>
      <c r="Z305" s="590"/>
      <c r="AA305" s="590" t="str">
        <f>IF($J$305="","",IF($S$96=4,CONCATENATE("Resultado final amostra ", 'Massas Corrigidas'!$I$141),""))</f>
        <v/>
      </c>
      <c r="AB305" s="590"/>
      <c r="AC305" s="590"/>
      <c r="AD305" s="590"/>
      <c r="AE305" s="590"/>
      <c r="AF305" s="590"/>
    </row>
    <row r="306" spans="1:32" x14ac:dyDescent="0.2">
      <c r="A306" s="150" t="str">
        <f>IF('Massas Corrigidas'!$I$141="","","Massa da amostra")</f>
        <v/>
      </c>
      <c r="B306" s="215" t="str">
        <f>'Massas Corrigidas'!K143</f>
        <v/>
      </c>
      <c r="C306" s="265" t="str">
        <f>IF(B306="","",'Massas Corrigidas'!L143)</f>
        <v/>
      </c>
      <c r="D306" s="272" t="str">
        <f>IF(A305="","",IF(B306="",1,B307/B306))</f>
        <v/>
      </c>
      <c r="E306" s="245" t="str">
        <f>IF(B306="","",IF(D306=1,0,(((C307/B306)^2)+(((B307*C306)/(B306^2))^2))^0.5))</f>
        <v/>
      </c>
      <c r="G306" s="141"/>
      <c r="H306" s="270" t="str">
        <f>IF('Entrada das intensidades'!F124&gt;0,'Entrada das intensidades'!F124,"")</f>
        <v/>
      </c>
      <c r="I306" s="327"/>
      <c r="J306" s="205" t="str">
        <f>IFERROR(((H306-$P$8)/$P$7)*$D$312,"")</f>
        <v/>
      </c>
      <c r="L306" s="205"/>
      <c r="R306" s="326" t="str">
        <f>IF(R305="","","ueff")</f>
        <v/>
      </c>
      <c r="S306" s="267" t="str">
        <f>IFERROR(IF($S$96=1,(O305^4)/(((M305^4)/(7-1))+((N305^4)/(42-1))),""),"")</f>
        <v/>
      </c>
      <c r="T306" s="115"/>
      <c r="U306" s="326"/>
      <c r="V306" s="325"/>
      <c r="W306" s="148"/>
      <c r="X306" s="326"/>
      <c r="Y306" s="325"/>
      <c r="Z306" s="148"/>
      <c r="AA306" s="326" t="str">
        <f>IF(AA305="","","Fração mássica da amostra (mg.kg-1)")</f>
        <v/>
      </c>
      <c r="AB306" s="325"/>
      <c r="AC306" s="148" t="str">
        <f>IFERROR(IF($S$96=4,AVERAGE(J306:J312,J315:J321,J324:J330,J333:J339),""),"")</f>
        <v/>
      </c>
      <c r="AD306" s="326"/>
      <c r="AE306" s="325"/>
      <c r="AF306" s="148"/>
    </row>
    <row r="307" spans="1:32" x14ac:dyDescent="0.2">
      <c r="A307" s="150" t="str">
        <f>IF('Massas Corrigidas'!$I$141="","","Massa total")</f>
        <v/>
      </c>
      <c r="B307" s="215" t="str">
        <f>'Massas Corrigidas'!K144</f>
        <v/>
      </c>
      <c r="C307" s="265" t="str">
        <f>IF(B307="","",'Massas Corrigidas'!L144)</f>
        <v/>
      </c>
      <c r="D307" s="205"/>
      <c r="E307" s="246"/>
      <c r="G307" s="141"/>
      <c r="H307" s="270" t="str">
        <f>IF('Entrada das intensidades'!F125&gt;0,'Entrada das intensidades'!F125,"")</f>
        <v/>
      </c>
      <c r="I307" s="327"/>
      <c r="J307" s="205" t="str">
        <f t="shared" ref="J307:J312" si="48">IFERROR(((H307-$P$8)/$P$7)*$D$312,"")</f>
        <v/>
      </c>
      <c r="L307" s="205"/>
      <c r="R307" s="326" t="str">
        <f>IF(R305="","","K 0,05")</f>
        <v/>
      </c>
      <c r="S307" s="135" t="str">
        <f>IFERROR(IF($S$96=1,TINV(0.05,S306),""),"")</f>
        <v/>
      </c>
      <c r="T307" s="115"/>
      <c r="U307" s="326"/>
      <c r="V307" s="325"/>
      <c r="W307" s="148"/>
      <c r="X307" s="326"/>
      <c r="Y307" s="325"/>
      <c r="Z307" s="148"/>
      <c r="AA307" s="326" t="str">
        <f>IF(AA305="","","Incerteza expandida (mg.kg-1)")</f>
        <v/>
      </c>
      <c r="AB307" s="325"/>
      <c r="AC307" s="148" t="str">
        <f>IF(Q305="","",IF($S$96=4,2*(SQRT(SUMSQ(Q305,Q314,Q323,Q332))/SQRT($S$96)),""))</f>
        <v/>
      </c>
      <c r="AD307" s="326"/>
      <c r="AE307" s="325"/>
      <c r="AF307" s="148"/>
    </row>
    <row r="308" spans="1:32" x14ac:dyDescent="0.2">
      <c r="A308" s="141" t="str">
        <f>IF('Massas Corrigidas'!P141="","",CONCATENATE("Segunda diluição Amostra ",'Massas Corrigidas'!I141))</f>
        <v/>
      </c>
      <c r="B308" s="205"/>
      <c r="C308" s="213"/>
      <c r="D308" s="214"/>
      <c r="E308" s="247"/>
      <c r="G308" s="141"/>
      <c r="H308" s="270" t="str">
        <f>IF('Entrada das intensidades'!F126&gt;0,'Entrada das intensidades'!F126,"")</f>
        <v/>
      </c>
      <c r="I308" s="327"/>
      <c r="J308" s="205" t="str">
        <f t="shared" si="48"/>
        <v/>
      </c>
      <c r="L308" s="205"/>
      <c r="R308" s="326" t="str">
        <f>IF(R305="","","Fração mássica da amostra (mg.kg-1)")</f>
        <v/>
      </c>
      <c r="S308" s="148" t="str">
        <f>IFERROR(IF($S$96=1,AVERAGE(J306:J312),""),"")</f>
        <v/>
      </c>
      <c r="T308" s="311"/>
    </row>
    <row r="309" spans="1:32" x14ac:dyDescent="0.2">
      <c r="A309" s="150" t="str">
        <f>IF('Massas Corrigidas'!$P$141="","","Massa da amostra")</f>
        <v/>
      </c>
      <c r="B309" s="215" t="str">
        <f>'Massas Corrigidas'!R143</f>
        <v/>
      </c>
      <c r="C309" s="265" t="str">
        <f>IF(B309="","",'Massas Corrigidas'!S143)</f>
        <v/>
      </c>
      <c r="D309" s="272" t="str">
        <f>IF(B309="",D306,B310/B309*D306)</f>
        <v/>
      </c>
      <c r="E309" s="245" t="str">
        <f>IF(B309="",E306,D309*((((((C307/B306)^2)+(((B307*C306)/(B306^2))^2))^0.5/(B307/B306))^2+((((C310/B309)^2+(B310*C309/(B309^2))^2))^0.5/(B310/B309))^2)^0.5))</f>
        <v/>
      </c>
      <c r="G309" s="141"/>
      <c r="H309" s="270" t="str">
        <f>IF('Entrada das intensidades'!F127&gt;0,'Entrada das intensidades'!F127,"")</f>
        <v/>
      </c>
      <c r="I309" s="327"/>
      <c r="J309" s="205" t="str">
        <f t="shared" si="48"/>
        <v/>
      </c>
      <c r="L309" s="205"/>
      <c r="R309" s="326" t="str">
        <f>IF(R305="","","Incerteza expandida (mg.kg-1)")</f>
        <v/>
      </c>
      <c r="S309" s="148" t="str">
        <f>IFERROR(IF($S$96=1,S307*J305*O305,""),"")</f>
        <v/>
      </c>
      <c r="T309" s="115"/>
    </row>
    <row r="310" spans="1:32" x14ac:dyDescent="0.2">
      <c r="A310" s="150" t="str">
        <f>IF('Massas Corrigidas'!$P$141="","","Massa total")</f>
        <v/>
      </c>
      <c r="B310" s="215" t="str">
        <f>'Massas Corrigidas'!R144</f>
        <v/>
      </c>
      <c r="C310" s="265" t="str">
        <f>IF(B310="","",'Massas Corrigidas'!S144)</f>
        <v/>
      </c>
      <c r="D310" s="205"/>
      <c r="E310" s="220"/>
      <c r="G310" s="141"/>
      <c r="H310" s="270" t="str">
        <f>IF('Entrada das intensidades'!F128&gt;0,'Entrada das intensidades'!F128,"")</f>
        <v/>
      </c>
      <c r="I310" s="327"/>
      <c r="J310" s="205" t="str">
        <f t="shared" si="48"/>
        <v/>
      </c>
      <c r="L310" s="205"/>
      <c r="R310" s="214"/>
      <c r="S310" s="214"/>
      <c r="T310" s="115"/>
    </row>
    <row r="311" spans="1:32" x14ac:dyDescent="0.2">
      <c r="A311" s="141" t="str">
        <f>IF('Massas Corrigidas'!W141="","",CONCATENATE("Terceira diluição Amostra ",'Massas Corrigidas'!I141))</f>
        <v/>
      </c>
      <c r="B311" s="205"/>
      <c r="C311" s="213"/>
      <c r="D311" s="214"/>
      <c r="E311" s="247"/>
      <c r="G311" s="141"/>
      <c r="H311" s="270" t="str">
        <f>IF('Entrada das intensidades'!F129&gt;0,'Entrada das intensidades'!F129,"")</f>
        <v/>
      </c>
      <c r="I311" s="327"/>
      <c r="J311" s="205" t="str">
        <f t="shared" si="48"/>
        <v/>
      </c>
      <c r="L311" s="205"/>
      <c r="R311" s="214"/>
      <c r="S311" s="214"/>
      <c r="T311" s="115"/>
    </row>
    <row r="312" spans="1:32" x14ac:dyDescent="0.2">
      <c r="A312" s="150" t="str">
        <f>IF('Massas Corrigidas'!$W$141="","","Massa da amostra")</f>
        <v/>
      </c>
      <c r="B312" s="215" t="str">
        <f>'Massas Corrigidas'!Y143</f>
        <v/>
      </c>
      <c r="C312" s="265" t="str">
        <f>IF(B312="","",'Massas Corrigidas'!Z143)</f>
        <v/>
      </c>
      <c r="D312" s="272" t="str">
        <f>IF(B312="",D309,B313/B312*D309)</f>
        <v/>
      </c>
      <c r="E312" s="273" t="str">
        <f>IF(B312="",E309,D312*(((((C307/B306)^2)+(((B307*C306)/(B306^2))^2))^0.5/(B307/B306))^2+((((C310/B309)^2+(B310*C309/(B309^2))^2))^0.5/(B310/B309))^2+(((((C313/B312)^2+(B313*C312/(B312^2))^2))^0.5)/(B313/B312))^2)^0.5)</f>
        <v/>
      </c>
      <c r="G312" s="141"/>
      <c r="H312" s="270" t="str">
        <f>IF('Entrada das intensidades'!F130&gt;0,'Entrada das intensidades'!F130,"")</f>
        <v/>
      </c>
      <c r="I312" s="327"/>
      <c r="J312" s="205" t="str">
        <f t="shared" si="48"/>
        <v/>
      </c>
      <c r="L312" s="205"/>
      <c r="R312" s="214"/>
      <c r="S312" s="214"/>
      <c r="T312" s="115"/>
    </row>
    <row r="313" spans="1:32" x14ac:dyDescent="0.2">
      <c r="A313" s="150" t="str">
        <f>IF('Massas Corrigidas'!$W$141="","","Massa total")</f>
        <v/>
      </c>
      <c r="B313" s="215" t="str">
        <f>'Massas Corrigidas'!Y144</f>
        <v/>
      </c>
      <c r="C313" s="265" t="str">
        <f>IF(B313="","",'Massas Corrigidas'!Z144)</f>
        <v/>
      </c>
      <c r="D313" s="205"/>
      <c r="E313" s="247"/>
      <c r="G313" s="141"/>
      <c r="H313" s="329"/>
      <c r="I313" s="274"/>
      <c r="L313" s="205"/>
      <c r="R313" s="214"/>
      <c r="S313" s="214"/>
      <c r="T313" s="115"/>
    </row>
    <row r="314" spans="1:32" x14ac:dyDescent="0.2">
      <c r="A314" s="262" t="str">
        <f>IF('Massas Corrigidas'!I146="","",CONCATENATE("Primeira diluição Amostra ",'Massas Corrigidas'!I146))</f>
        <v/>
      </c>
      <c r="B314" s="205"/>
      <c r="C314" s="205"/>
      <c r="D314" s="205"/>
      <c r="E314" s="270"/>
      <c r="G314" s="262" t="str">
        <f>IF('Massas Corrigidas'!I146="","",CONCATENATE("Amostra ",'Massas Corrigidas'!I146))</f>
        <v/>
      </c>
      <c r="H314" s="329" t="str">
        <f>IFERROR(AVERAGE(H315:H321),"")</f>
        <v/>
      </c>
      <c r="I314" s="327" t="str">
        <f>IFERROR(STDEV(H315:H321),"")</f>
        <v/>
      </c>
      <c r="J314" s="205" t="str">
        <f>IFERROR(AVERAGE(J315:J321),"")</f>
        <v/>
      </c>
      <c r="K314" s="263" t="str">
        <f>IF(H314="","",(E321/D321))</f>
        <v/>
      </c>
      <c r="L314" s="264" t="str">
        <f t="shared" ref="L314" si="49">IF(H314="","",IFERROR(((($B$48/$B$47)^2+($B$51/$B$50)^2+($B$54/$B$53)^2+($B$57/$B$56)^2+($B$60/$B$59)^2+($B$63/$B$62)^2)^0.5),((($B$48/$B$47)^2+($B$51/$B$50)^2+($B$54/$B$53)^2+($B$57/$B$56)^2+($B$60/$B$59)^2)^0.5)))</f>
        <v/>
      </c>
      <c r="M314" s="264" t="str">
        <f>IF(J314="","",STDEV(J315:J321)/J314)</f>
        <v/>
      </c>
      <c r="N314" s="264" t="str">
        <f>IF(H314="","",((($P$10/$P$7)*(SQRT((1/$E$12)+(1/$E$10)+(((J314/D321)-$P$16)^2)/$P$18))))/(J314/D321))</f>
        <v/>
      </c>
      <c r="O314" s="264" t="str">
        <f>IF(H314="","",(SQRT(L314^2+M314^2+N314^2+K314^2)))</f>
        <v/>
      </c>
      <c r="P314" s="271"/>
      <c r="Q314" s="209"/>
      <c r="R314" s="590" t="str">
        <f>IF($J$314="","",IF($S$96=1,CONCATENATE("Resultado final amostra ", 'Massas Corrigidas'!$I$146),""))</f>
        <v/>
      </c>
      <c r="S314" s="590"/>
      <c r="T314" s="145"/>
      <c r="U314" s="590" t="str">
        <f>IF($J$314="","",IF($S$96=2,CONCATENATE("Resultado final amostra ", 'Massas Corrigidas'!$I$146),""))</f>
        <v/>
      </c>
      <c r="V314" s="590"/>
      <c r="W314" s="590"/>
      <c r="X314" s="590" t="str">
        <f>IF($J$314="","",IF($S$96=3,CONCATENATE("Resultado final amostra ", 'Massas Corrigidas'!$I$146),""))</f>
        <v/>
      </c>
      <c r="Y314" s="590"/>
      <c r="Z314" s="590"/>
      <c r="AA314" s="590"/>
      <c r="AB314" s="590"/>
      <c r="AC314" s="590"/>
      <c r="AD314" s="590"/>
      <c r="AE314" s="590"/>
      <c r="AF314" s="590"/>
    </row>
    <row r="315" spans="1:32" x14ac:dyDescent="0.2">
      <c r="A315" s="150" t="str">
        <f>IF('Massas Corrigidas'!$I$146="","","Massa da amostra")</f>
        <v/>
      </c>
      <c r="B315" s="215" t="str">
        <f>'Massas Corrigidas'!K148</f>
        <v/>
      </c>
      <c r="C315" s="265" t="str">
        <f>IF(B315="","",'Massas Corrigidas'!L148)</f>
        <v/>
      </c>
      <c r="D315" s="272" t="str">
        <f>IF(A314="","",IF(B315="",1,B316/B315))</f>
        <v/>
      </c>
      <c r="E315" s="245" t="str">
        <f>IF(B315="","",IF(D315=1,0,(((C316/B315)^2)+(((B316*C315)/(B315^2))^2))^0.5))</f>
        <v/>
      </c>
      <c r="G315" s="141"/>
      <c r="H315" s="270" t="str">
        <f>IF('Entrada das intensidades'!B133&gt;0,'Entrada das intensidades'!B133,"")</f>
        <v/>
      </c>
      <c r="I315" s="327"/>
      <c r="J315" s="205" t="str">
        <f>IFERROR(((H315-$P$8)/$P$7)*$D$321,"")</f>
        <v/>
      </c>
      <c r="L315" s="205"/>
      <c r="R315" s="326" t="str">
        <f>IF(R314="","","ueff")</f>
        <v/>
      </c>
      <c r="S315" s="267" t="str">
        <f>IFERROR(IF($S$96=1,(O314^4)/(((M314^4)/(7-1))+((N314^4)/(42-1))),""),"")</f>
        <v/>
      </c>
      <c r="T315" s="148"/>
      <c r="U315" s="326" t="str">
        <f>IF(U314="","","Fração mássica da amostra (mg.kg-1)")</f>
        <v/>
      </c>
      <c r="V315" s="325"/>
      <c r="W315" s="148" t="str">
        <f>IFERROR(IF($S$96=2,AVERAGE(J315:J321,J324:J330),""),"")</f>
        <v/>
      </c>
      <c r="X315" s="326" t="str">
        <f>IF(X314="","","Fração mássica da amostra (mg.kg-1)")</f>
        <v/>
      </c>
      <c r="Y315" s="325"/>
      <c r="Z315" s="148" t="str">
        <f>IFERROR(IF($S$96=3,AVERAGE(J315:J321,J324:J330,J333:J339),""),"")</f>
        <v/>
      </c>
      <c r="AA315" s="326"/>
      <c r="AB315" s="325"/>
      <c r="AC315" s="148"/>
      <c r="AD315" s="326"/>
      <c r="AE315" s="325"/>
      <c r="AF315" s="148"/>
    </row>
    <row r="316" spans="1:32" x14ac:dyDescent="0.2">
      <c r="A316" s="150" t="str">
        <f>IF('Massas Corrigidas'!$I$146="","","Massa total")</f>
        <v/>
      </c>
      <c r="B316" s="215" t="str">
        <f>'Massas Corrigidas'!K149</f>
        <v/>
      </c>
      <c r="C316" s="265" t="str">
        <f>IF(B316="","",'Massas Corrigidas'!L149)</f>
        <v/>
      </c>
      <c r="D316" s="205"/>
      <c r="E316" s="246"/>
      <c r="G316" s="141"/>
      <c r="H316" s="270" t="str">
        <f>IF('Entrada das intensidades'!B134&gt;0,'Entrada das intensidades'!B134,"")</f>
        <v/>
      </c>
      <c r="I316" s="327"/>
      <c r="J316" s="205" t="str">
        <f t="shared" ref="J316:J321" si="50">IFERROR(((H316-$P$8)/$P$7)*$D$321,"")</f>
        <v/>
      </c>
      <c r="L316" s="205"/>
      <c r="R316" s="326" t="str">
        <f>IF(R314="","","K 0,05")</f>
        <v/>
      </c>
      <c r="S316" s="135" t="str">
        <f>IFERROR(IF($S$96=1,TINV(0.05,S315),""),"")</f>
        <v/>
      </c>
      <c r="T316" s="148"/>
      <c r="U316" s="326" t="str">
        <f>IF(U314="","","Incerteza expandida (mg.kg-1)")</f>
        <v/>
      </c>
      <c r="V316" s="325"/>
      <c r="W316" s="148" t="str">
        <f>IF(Q314="","",IF($S$96=2,2*(SQRT(SUMSQ(Q314,Q323))/SQRT($S$96)),""))</f>
        <v/>
      </c>
      <c r="X316" s="326" t="str">
        <f>IF(X314="","","Incerteza expandida (mg.kg-1)")</f>
        <v/>
      </c>
      <c r="Y316" s="325"/>
      <c r="Z316" s="148" t="str">
        <f>IF(Q314="","",IF($S$96=3,2*(SQRT(SUMSQ(Q314,Q323,Q332))/SQRT($S$96)),""))</f>
        <v/>
      </c>
      <c r="AA316" s="326"/>
      <c r="AB316" s="325"/>
      <c r="AC316" s="148"/>
      <c r="AD316" s="326"/>
      <c r="AE316" s="325"/>
      <c r="AF316" s="148"/>
    </row>
    <row r="317" spans="1:32" x14ac:dyDescent="0.2">
      <c r="A317" s="141" t="str">
        <f>IF('Massas Corrigidas'!P146="","",CONCATENATE("Segunda diluição Amostra ",'Massas Corrigidas'!I146))</f>
        <v/>
      </c>
      <c r="B317" s="205"/>
      <c r="C317" s="213"/>
      <c r="D317" s="214"/>
      <c r="E317" s="247"/>
      <c r="G317" s="141"/>
      <c r="H317" s="270" t="str">
        <f>IF('Entrada das intensidades'!B135&gt;0,'Entrada das intensidades'!B135,"")</f>
        <v/>
      </c>
      <c r="I317" s="327"/>
      <c r="J317" s="205" t="str">
        <f t="shared" si="50"/>
        <v/>
      </c>
      <c r="L317" s="205"/>
      <c r="R317" s="326" t="str">
        <f>IF(R314="","","Fração mássica da amostra (mg.kg-1)")</f>
        <v/>
      </c>
      <c r="S317" s="148" t="str">
        <f>IFERROR(IF($S$96=1,AVERAGE(J315:J321),""),"")</f>
        <v/>
      </c>
      <c r="T317" s="311"/>
    </row>
    <row r="318" spans="1:32" x14ac:dyDescent="0.2">
      <c r="A318" s="150" t="str">
        <f>IF('Massas Corrigidas'!$P$146="","","Massa da amostra")</f>
        <v/>
      </c>
      <c r="B318" s="215" t="str">
        <f>'Massas Corrigidas'!R148</f>
        <v/>
      </c>
      <c r="C318" s="265" t="str">
        <f>IF(B318="","",'Massas Corrigidas'!S148)</f>
        <v/>
      </c>
      <c r="D318" s="272" t="str">
        <f>IF(B318="",D315,B319/B318*D315)</f>
        <v/>
      </c>
      <c r="E318" s="245" t="str">
        <f>IF(B318="",E315,D318*((((((C316/B315)^2)+(((B316*C315)/(B315^2))^2))^0.5/(B316/B315))^2+((((C319/B318)^2+(B319*C318/(B318^2))^2))^0.5/(B319/B318))^2)^0.5))</f>
        <v/>
      </c>
      <c r="G318" s="141"/>
      <c r="H318" s="270" t="str">
        <f>IF('Entrada das intensidades'!B136&gt;0,'Entrada das intensidades'!B136,"")</f>
        <v/>
      </c>
      <c r="I318" s="327"/>
      <c r="J318" s="205" t="str">
        <f t="shared" si="50"/>
        <v/>
      </c>
      <c r="L318" s="205"/>
      <c r="R318" s="326" t="str">
        <f>IF(R314="","","Incerteza expandida (mg.kg-1)")</f>
        <v/>
      </c>
      <c r="S318" s="148" t="str">
        <f>IFERROR(IF($S$96=1,S316*J314*O314,""),"")</f>
        <v/>
      </c>
      <c r="T318" s="214"/>
    </row>
    <row r="319" spans="1:32" x14ac:dyDescent="0.2">
      <c r="A319" s="150" t="str">
        <f>IF('Massas Corrigidas'!$P$146="","","Massa total")</f>
        <v/>
      </c>
      <c r="B319" s="215" t="str">
        <f>'Massas Corrigidas'!R149</f>
        <v/>
      </c>
      <c r="C319" s="265" t="str">
        <f>IF(B319="","",'Massas Corrigidas'!S149)</f>
        <v/>
      </c>
      <c r="D319" s="205"/>
      <c r="E319" s="220"/>
      <c r="G319" s="141"/>
      <c r="H319" s="270" t="str">
        <f>IF('Entrada das intensidades'!B137&gt;0,'Entrada das intensidades'!B137,"")</f>
        <v/>
      </c>
      <c r="I319" s="327"/>
      <c r="J319" s="205" t="str">
        <f t="shared" si="50"/>
        <v/>
      </c>
      <c r="L319" s="205"/>
      <c r="R319" s="214"/>
      <c r="S319" s="214"/>
      <c r="T319" s="214"/>
    </row>
    <row r="320" spans="1:32" x14ac:dyDescent="0.2">
      <c r="A320" s="141" t="str">
        <f>IF('Massas Corrigidas'!W146="","",CONCATENATE("Terceira diluição Amostra ",'Massas Corrigidas'!I146))</f>
        <v/>
      </c>
      <c r="B320" s="205"/>
      <c r="C320" s="213"/>
      <c r="D320" s="214"/>
      <c r="E320" s="247"/>
      <c r="G320" s="141"/>
      <c r="H320" s="270" t="str">
        <f>IF('Entrada das intensidades'!B138&gt;0,'Entrada das intensidades'!B138,"")</f>
        <v/>
      </c>
      <c r="I320" s="327"/>
      <c r="J320" s="205" t="str">
        <f t="shared" si="50"/>
        <v/>
      </c>
      <c r="L320" s="205"/>
      <c r="R320" s="214"/>
      <c r="S320" s="214"/>
      <c r="T320" s="214"/>
    </row>
    <row r="321" spans="1:32" x14ac:dyDescent="0.2">
      <c r="A321" s="150" t="str">
        <f>IF('Massas Corrigidas'!$W$146="","","Massa da amostra")</f>
        <v/>
      </c>
      <c r="B321" s="215" t="str">
        <f>'Massas Corrigidas'!Y148</f>
        <v/>
      </c>
      <c r="C321" s="265" t="str">
        <f>IF(B321="","",'Massas Corrigidas'!Z148)</f>
        <v/>
      </c>
      <c r="D321" s="272" t="str">
        <f>IF(B321="",D318,B322/B321*D318)</f>
        <v/>
      </c>
      <c r="E321" s="273" t="str">
        <f>IF(B321="",E318,D321*(((((C316/B315)^2)+(((B316*C315)/(B315^2))^2))^0.5/(B316/B315))^2+((((C319/B318)^2+(B319*C318/(B318^2))^2))^0.5/(B319/B318))^2+(((((C322/B321)^2+(B322*C321/(B321^2))^2))^0.5)/(B322/B321))^2)^0.5)</f>
        <v/>
      </c>
      <c r="G321" s="141"/>
      <c r="H321" s="270" t="str">
        <f>IF('Entrada das intensidades'!B139&gt;0,'Entrada das intensidades'!B139,"")</f>
        <v/>
      </c>
      <c r="I321" s="327"/>
      <c r="J321" s="205" t="str">
        <f t="shared" si="50"/>
        <v/>
      </c>
      <c r="L321" s="205"/>
      <c r="R321" s="214"/>
      <c r="S321" s="214"/>
      <c r="T321" s="214"/>
    </row>
    <row r="322" spans="1:32" x14ac:dyDescent="0.2">
      <c r="A322" s="150" t="str">
        <f>IF('Massas Corrigidas'!$W$146="","","Massa total")</f>
        <v/>
      </c>
      <c r="B322" s="215" t="str">
        <f>'Massas Corrigidas'!Y149</f>
        <v/>
      </c>
      <c r="C322" s="265" t="str">
        <f>IF(B322="","",'Massas Corrigidas'!Z149)</f>
        <v/>
      </c>
      <c r="D322" s="205"/>
      <c r="E322" s="247"/>
      <c r="G322" s="141"/>
      <c r="H322" s="329"/>
      <c r="I322" s="274"/>
      <c r="L322" s="205"/>
      <c r="R322" s="214"/>
      <c r="S322" s="214"/>
      <c r="T322" s="214"/>
    </row>
    <row r="323" spans="1:32" x14ac:dyDescent="0.2">
      <c r="A323" s="141" t="str">
        <f>IF('Massas Corrigidas'!I151="","",CONCATENATE("Primeira diluição Amostra ",'Massas Corrigidas'!I151))</f>
        <v/>
      </c>
      <c r="B323" s="205"/>
      <c r="C323" s="205"/>
      <c r="D323" s="205"/>
      <c r="E323" s="270"/>
      <c r="G323" s="262" t="str">
        <f>IF('Massas Corrigidas'!I151="","",CONCATENATE("Amostra ",'Massas Corrigidas'!I151))</f>
        <v/>
      </c>
      <c r="H323" s="329" t="str">
        <f>IFERROR(AVERAGE(H324:H330),"")</f>
        <v/>
      </c>
      <c r="I323" s="327" t="str">
        <f>IFERROR(STDEV(H324:H330),"")</f>
        <v/>
      </c>
      <c r="J323" s="205" t="str">
        <f>IFERROR(AVERAGE(J324:J330),"")</f>
        <v/>
      </c>
      <c r="K323" s="263" t="str">
        <f>IF(H323="","",(E330/D330))</f>
        <v/>
      </c>
      <c r="L323" s="264" t="str">
        <f t="shared" ref="L323" si="51">IF(H323="","",IFERROR(((($B$48/$B$47)^2+($B$51/$B$50)^2+($B$54/$B$53)^2+($B$57/$B$56)^2+($B$60/$B$59)^2+($B$63/$B$62)^2)^0.5),((($B$48/$B$47)^2+($B$51/$B$50)^2+($B$54/$B$53)^2+($B$57/$B$56)^2+($B$60/$B$59)^2)^0.5)))</f>
        <v/>
      </c>
      <c r="M323" s="264" t="str">
        <f>IF(J323="","",STDEV(J324:J330)/J323)</f>
        <v/>
      </c>
      <c r="N323" s="264" t="str">
        <f>IF(H323="","",((($P$10/$P$7)*(SQRT((1/$E$12)+(1/$E$10)+(((J323/D330)-$P$16)^2)/$P$18))))/(J323/D330))</f>
        <v/>
      </c>
      <c r="O323" s="264" t="str">
        <f>IF(H323="","",(SQRT(L323^2+M323^2+N323^2+K323^2)))</f>
        <v/>
      </c>
      <c r="P323" s="271"/>
      <c r="Q323" s="209"/>
      <c r="R323" s="590" t="str">
        <f>IF($J$323="","",IF($S$96=1,CONCATENATE("Resultado final amostra ", 'Massas Corrigidas'!$I$151),""))</f>
        <v/>
      </c>
      <c r="S323" s="590"/>
      <c r="T323" s="145"/>
      <c r="U323" s="590"/>
      <c r="V323" s="590"/>
      <c r="W323" s="590"/>
      <c r="X323" s="590"/>
      <c r="Y323" s="590"/>
      <c r="Z323" s="590"/>
      <c r="AA323" s="590"/>
      <c r="AB323" s="590"/>
      <c r="AC323" s="590"/>
      <c r="AD323" s="590" t="str">
        <f>IF($J$323="","",IF($S$96=5,CONCATENATE("Resultado final amostra ", 'Massas Corrigidas'!$I$151),""))</f>
        <v/>
      </c>
      <c r="AE323" s="590"/>
      <c r="AF323" s="590"/>
    </row>
    <row r="324" spans="1:32" x14ac:dyDescent="0.2">
      <c r="A324" s="150" t="str">
        <f>IF('Massas Corrigidas'!$I$151="","","Massa da amostra")</f>
        <v/>
      </c>
      <c r="B324" s="215" t="str">
        <f>'Massas Corrigidas'!K153</f>
        <v/>
      </c>
      <c r="C324" s="265" t="str">
        <f>IF(B324="","",'Massas Corrigidas'!L153)</f>
        <v/>
      </c>
      <c r="D324" s="272" t="str">
        <f>IF(A323="","",IF(B324="",1,B325/B324))</f>
        <v/>
      </c>
      <c r="E324" s="245" t="str">
        <f>IF(B324="","",IF(D324=1,0,(((C325/B324)^2)+(((B325*C324)/(B324^2))^2))^0.5))</f>
        <v/>
      </c>
      <c r="G324" s="141"/>
      <c r="H324" s="270" t="str">
        <f>IF('Entrada das intensidades'!F133&gt;0,'Entrada das intensidades'!F133,"")</f>
        <v/>
      </c>
      <c r="I324" s="327"/>
      <c r="J324" s="205" t="str">
        <f>IFERROR(((H324-$P$8)/$P$7)*$D$330,"")</f>
        <v/>
      </c>
      <c r="L324" s="205"/>
      <c r="R324" s="326" t="str">
        <f>IF(R323="","","ueff")</f>
        <v/>
      </c>
      <c r="S324" s="267" t="str">
        <f>IFERROR(IF($S$96=1,(O323^4)/(((M323^4)/(7-1))+((N323^4)/(42-1))),""),"")</f>
        <v/>
      </c>
      <c r="T324" s="148"/>
      <c r="U324" s="326"/>
      <c r="V324" s="325"/>
      <c r="W324" s="148"/>
      <c r="X324" s="326"/>
      <c r="Y324" s="325"/>
      <c r="Z324" s="148"/>
      <c r="AA324" s="326"/>
      <c r="AB324" s="325"/>
      <c r="AC324" s="148"/>
      <c r="AD324" s="326" t="str">
        <f>IF(AD323="","","Fração mássica da amostra (mg.kg-1)")</f>
        <v/>
      </c>
      <c r="AE324" s="325"/>
      <c r="AF324" s="148" t="str">
        <f>IFERROR(IF($S$96=5,AVERAGE(J324:J330,J333:J339,J342:J348,J351:J357,J360:J366),""),"")</f>
        <v/>
      </c>
    </row>
    <row r="325" spans="1:32" x14ac:dyDescent="0.2">
      <c r="A325" s="150" t="str">
        <f>IF('Massas Corrigidas'!$I$151="","","Massa total")</f>
        <v/>
      </c>
      <c r="B325" s="215" t="str">
        <f>'Massas Corrigidas'!K154</f>
        <v/>
      </c>
      <c r="C325" s="265" t="str">
        <f>IF(B325="","",'Massas Corrigidas'!L154)</f>
        <v/>
      </c>
      <c r="D325" s="205"/>
      <c r="E325" s="246"/>
      <c r="G325" s="141"/>
      <c r="H325" s="270" t="str">
        <f>IF('Entrada das intensidades'!F134&gt;0,'Entrada das intensidades'!F134,"")</f>
        <v/>
      </c>
      <c r="I325" s="327"/>
      <c r="J325" s="205" t="str">
        <f t="shared" ref="J325:J330" si="52">IFERROR(((H325-$P$8)/$P$7)*$D$330,"")</f>
        <v/>
      </c>
      <c r="L325" s="205"/>
      <c r="R325" s="326" t="str">
        <f>IF(R323="","","K 0,05")</f>
        <v/>
      </c>
      <c r="S325" s="135" t="str">
        <f>IFERROR(IF($S$96=1,TINV(0.05,S324),""),"")</f>
        <v/>
      </c>
      <c r="T325" s="148"/>
      <c r="U325" s="326"/>
      <c r="V325" s="325"/>
      <c r="W325" s="148"/>
      <c r="X325" s="326"/>
      <c r="Y325" s="325"/>
      <c r="Z325" s="148"/>
      <c r="AA325" s="326"/>
      <c r="AB325" s="325"/>
      <c r="AC325" s="148"/>
      <c r="AD325" s="326" t="str">
        <f>IF(AD323="","","Incerteza expandida (mg.kg-1)")</f>
        <v/>
      </c>
      <c r="AE325" s="325"/>
      <c r="AF325" s="148" t="str">
        <f>IF(Q323="","",IF($S$96=5,2*(SQRT(SUMSQ(Q323,Q332,Q341,Q350,Q359))/SQRT($S$96)),""))</f>
        <v/>
      </c>
    </row>
    <row r="326" spans="1:32" x14ac:dyDescent="0.2">
      <c r="A326" s="141" t="str">
        <f>IF('Massas Corrigidas'!P151="","",CONCATENATE("Segunda diluição Amostra ",'Massas Corrigidas'!I151))</f>
        <v/>
      </c>
      <c r="B326" s="205"/>
      <c r="C326" s="213"/>
      <c r="D326" s="214"/>
      <c r="E326" s="247"/>
      <c r="G326" s="141"/>
      <c r="H326" s="270" t="str">
        <f>IF('Entrada das intensidades'!F135&gt;0,'Entrada das intensidades'!F135,"")</f>
        <v/>
      </c>
      <c r="I326" s="327"/>
      <c r="J326" s="205" t="str">
        <f t="shared" si="52"/>
        <v/>
      </c>
      <c r="L326" s="205"/>
      <c r="R326" s="326" t="str">
        <f>IF(R323="","","Fração mássica da amostra (mg.kg-1)")</f>
        <v/>
      </c>
      <c r="S326" s="148" t="str">
        <f>IFERROR(IF($S$96=1,AVERAGE(J324:J330),""),"")</f>
        <v/>
      </c>
      <c r="T326" s="311"/>
    </row>
    <row r="327" spans="1:32" x14ac:dyDescent="0.2">
      <c r="A327" s="150" t="str">
        <f>IF('Massas Corrigidas'!$P$151="","","Massa da amostra")</f>
        <v/>
      </c>
      <c r="B327" s="215" t="str">
        <f>'Massas Corrigidas'!R153</f>
        <v/>
      </c>
      <c r="C327" s="265" t="str">
        <f>IF(B327="","",'Massas Corrigidas'!S153)</f>
        <v/>
      </c>
      <c r="D327" s="272" t="str">
        <f>IF(B327="",D324,B328/B327*D324)</f>
        <v/>
      </c>
      <c r="E327" s="245" t="str">
        <f>IF(B327="",E324,D327*((((((C325/B324)^2)+(((B325*C324)/(B324^2))^2))^0.5/(B325/B324))^2+((((C328/B327)^2+(B328*C327/(B327^2))^2))^0.5/(B328/B327))^2)^0.5))</f>
        <v/>
      </c>
      <c r="G327" s="141"/>
      <c r="H327" s="270" t="str">
        <f>IF('Entrada das intensidades'!F136&gt;0,'Entrada das intensidades'!F136,"")</f>
        <v/>
      </c>
      <c r="I327" s="327"/>
      <c r="J327" s="205" t="str">
        <f t="shared" si="52"/>
        <v/>
      </c>
      <c r="L327" s="205"/>
      <c r="R327" s="326" t="str">
        <f>IF(R323="","","Incerteza expandida (mg.kg-1)")</f>
        <v/>
      </c>
      <c r="S327" s="148" t="str">
        <f>IFERROR(IF($S$96=1,S325*J323*O323,""),"")</f>
        <v/>
      </c>
      <c r="T327" s="214"/>
    </row>
    <row r="328" spans="1:32" x14ac:dyDescent="0.2">
      <c r="A328" s="150" t="str">
        <f>IF('Massas Corrigidas'!$P$151="","","Massa total")</f>
        <v/>
      </c>
      <c r="B328" s="215" t="str">
        <f>'Massas Corrigidas'!R154</f>
        <v/>
      </c>
      <c r="C328" s="265" t="str">
        <f>IF(B328="","",'Massas Corrigidas'!S154)</f>
        <v/>
      </c>
      <c r="D328" s="205"/>
      <c r="E328" s="220"/>
      <c r="G328" s="141"/>
      <c r="H328" s="270" t="str">
        <f>IF('Entrada das intensidades'!F137&gt;0,'Entrada das intensidades'!F137,"")</f>
        <v/>
      </c>
      <c r="I328" s="327"/>
      <c r="J328" s="205" t="str">
        <f t="shared" si="52"/>
        <v/>
      </c>
      <c r="L328" s="205"/>
      <c r="R328" s="214"/>
      <c r="S328" s="214"/>
      <c r="T328" s="214"/>
    </row>
    <row r="329" spans="1:32" x14ac:dyDescent="0.2">
      <c r="A329" s="141" t="str">
        <f>IF('Massas Corrigidas'!W151="","",CONCATENATE("Terceira diluição Amostra ",'Massas Corrigidas'!I151))</f>
        <v/>
      </c>
      <c r="B329" s="205"/>
      <c r="C329" s="213"/>
      <c r="D329" s="214"/>
      <c r="E329" s="247"/>
      <c r="G329" s="141"/>
      <c r="H329" s="270" t="str">
        <f>IF('Entrada das intensidades'!F138&gt;0,'Entrada das intensidades'!F138,"")</f>
        <v/>
      </c>
      <c r="I329" s="327"/>
      <c r="J329" s="205" t="str">
        <f t="shared" si="52"/>
        <v/>
      </c>
      <c r="L329" s="205"/>
      <c r="R329" s="214"/>
      <c r="S329" s="214"/>
      <c r="T329" s="214"/>
    </row>
    <row r="330" spans="1:32" x14ac:dyDescent="0.2">
      <c r="A330" s="150" t="str">
        <f>IF('Massas Corrigidas'!$SO$151="","","Massa da amostra")</f>
        <v/>
      </c>
      <c r="B330" s="215" t="str">
        <f>'Massas Corrigidas'!Y153</f>
        <v/>
      </c>
      <c r="C330" s="265" t="str">
        <f>IF(B330="","",'Massas Corrigidas'!Z153)</f>
        <v/>
      </c>
      <c r="D330" s="272" t="str">
        <f>IF(B330="",D327,B331/B330*D327)</f>
        <v/>
      </c>
      <c r="E330" s="273" t="str">
        <f>IF(B330="",E327,D330*(((((C325/B324)^2)+(((B325*C324)/(B324^2))^2))^0.5/(B325/B324))^2+((((C328/B327)^2+(B328*C327/(B327^2))^2))^0.5/(B328/B327))^2+(((((C331/B330)^2+(B331*C330/(B330^2))^2))^0.5)/(B331/B330))^2)^0.5)</f>
        <v/>
      </c>
      <c r="G330" s="141"/>
      <c r="H330" s="270" t="str">
        <f>IF('Entrada das intensidades'!F139&gt;0,'Entrada das intensidades'!F139,"")</f>
        <v/>
      </c>
      <c r="I330" s="327"/>
      <c r="J330" s="205" t="str">
        <f t="shared" si="52"/>
        <v/>
      </c>
      <c r="L330" s="205"/>
      <c r="R330" s="214"/>
      <c r="S330" s="214"/>
      <c r="T330" s="214"/>
    </row>
    <row r="331" spans="1:32" x14ac:dyDescent="0.2">
      <c r="A331" s="150" t="str">
        <f>IF('Massas Corrigidas'!$W$151="","","Massa total")</f>
        <v/>
      </c>
      <c r="B331" s="215" t="str">
        <f>'Massas Corrigidas'!Y154</f>
        <v/>
      </c>
      <c r="C331" s="265" t="str">
        <f>IF(B331="","",'Massas Corrigidas'!Z154)</f>
        <v/>
      </c>
      <c r="D331" s="205"/>
      <c r="E331" s="247"/>
      <c r="G331" s="141"/>
      <c r="H331" s="329"/>
      <c r="I331" s="274"/>
      <c r="L331" s="205"/>
      <c r="R331" s="214"/>
      <c r="S331" s="214"/>
      <c r="T331" s="214"/>
    </row>
    <row r="332" spans="1:32" x14ac:dyDescent="0.2">
      <c r="A332" s="141" t="str">
        <f>IF('Massas Corrigidas'!I156="","",CONCATENATE("Primeira diluição Amostra ",'Massas Corrigidas'!I156))</f>
        <v/>
      </c>
      <c r="B332" s="205"/>
      <c r="C332" s="205"/>
      <c r="D332" s="205"/>
      <c r="E332" s="270"/>
      <c r="G332" s="262" t="str">
        <f>IF('Massas Corrigidas'!I156="","",CONCATENATE("Amostra ",'Massas Corrigidas'!I156))</f>
        <v/>
      </c>
      <c r="H332" s="329" t="str">
        <f>IFERROR(AVERAGE(H333:H339),"")</f>
        <v/>
      </c>
      <c r="I332" s="327" t="str">
        <f>IFERROR(STDEV(H333:H339),"")</f>
        <v/>
      </c>
      <c r="J332" s="205" t="str">
        <f>IFERROR(AVERAGE(J333:J339),"")</f>
        <v/>
      </c>
      <c r="K332" s="263" t="str">
        <f>IF(H332="","",(E339/D339))</f>
        <v/>
      </c>
      <c r="L332" s="264" t="str">
        <f t="shared" ref="L332" si="53">IF(H332="","",IFERROR(((($B$48/$B$47)^2+($B$51/$B$50)^2+($B$54/$B$53)^2+($B$57/$B$56)^2+($B$60/$B$59)^2+($B$63/$B$62)^2)^0.5),((($B$48/$B$47)^2+($B$51/$B$50)^2+($B$54/$B$53)^2+($B$57/$B$56)^2+($B$60/$B$59)^2)^0.5)))</f>
        <v/>
      </c>
      <c r="M332" s="264" t="str">
        <f>IF(J332="","",STDEV(J333:J339)/J332)</f>
        <v/>
      </c>
      <c r="N332" s="264" t="str">
        <f>IF(H332="","",((($P$10/$P$7)*(SQRT((1/$E$12)+(1/$E$10)+(((J332/D339)-$P$16)^2)/$P$18))))/(J332/D339))</f>
        <v/>
      </c>
      <c r="O332" s="264" t="str">
        <f>IF(H332="","",(SQRT(L332^2+M332^2+N332^2+K332^2)))</f>
        <v/>
      </c>
      <c r="P332" s="271"/>
      <c r="Q332" s="209"/>
      <c r="R332" s="590" t="str">
        <f>IF($J$332="","",IF($S$96=1,CONCATENATE("Resultado final amostra ", 'Massas Corrigidas'!$I$156),""))</f>
        <v/>
      </c>
      <c r="S332" s="590"/>
      <c r="T332" s="145"/>
      <c r="U332" s="590" t="str">
        <f>IF($J$332="","",IF($S$96=2,CONCATENATE("Resultado final amostra ", 'Massas Corrigidas'!$I$156),""))</f>
        <v/>
      </c>
      <c r="V332" s="590"/>
      <c r="W332" s="590"/>
      <c r="X332" s="590"/>
      <c r="Y332" s="590"/>
      <c r="Z332" s="590"/>
      <c r="AA332" s="590"/>
      <c r="AB332" s="590"/>
      <c r="AC332" s="590"/>
      <c r="AD332" s="590"/>
      <c r="AE332" s="590"/>
      <c r="AF332" s="590"/>
    </row>
    <row r="333" spans="1:32" x14ac:dyDescent="0.2">
      <c r="A333" s="150" t="str">
        <f>IF('Massas Corrigidas'!$I$156="","","Massa da amostra")</f>
        <v/>
      </c>
      <c r="B333" s="215" t="str">
        <f>'Massas Corrigidas'!K158</f>
        <v/>
      </c>
      <c r="C333" s="265" t="str">
        <f>IF(B333="","",'Massas Corrigidas'!L158)</f>
        <v/>
      </c>
      <c r="D333" s="272" t="str">
        <f>IF(A332="","",IF(B333="",1,B334/B333))</f>
        <v/>
      </c>
      <c r="E333" s="245" t="str">
        <f>IF(B333="","",IF(D333=1,0,(((C334/B333)^2)+(((B334*C333)/(B333^2))^2))^0.5))</f>
        <v/>
      </c>
      <c r="G333" s="141"/>
      <c r="H333" s="270" t="str">
        <f>IF('Entrada das intensidades'!B142&gt;0,'Entrada das intensidades'!B142,"")</f>
        <v/>
      </c>
      <c r="I333" s="327"/>
      <c r="J333" s="205" t="str">
        <f>IFERROR(((H333-$P$8)/$P$7)*$D$339,"")</f>
        <v/>
      </c>
      <c r="L333" s="205"/>
      <c r="R333" s="326" t="str">
        <f>IF(R332="","","ueff")</f>
        <v/>
      </c>
      <c r="S333" s="267" t="str">
        <f>IFERROR(IF($S$96=1,(O332^4)/(((M332^4)/(7-1))+((N332^4)/(42-1))),""),"")</f>
        <v/>
      </c>
      <c r="T333" s="148"/>
      <c r="U333" s="326" t="str">
        <f>IF(U332="","","Fração mássica da amostra (mg.kg-1)")</f>
        <v/>
      </c>
      <c r="V333" s="325"/>
      <c r="W333" s="148" t="str">
        <f>IFERROR(IF($S$96=2,AVERAGE(J333:J339,J342:J348),""),"")</f>
        <v/>
      </c>
      <c r="X333" s="326"/>
      <c r="Y333" s="325"/>
      <c r="Z333" s="148"/>
      <c r="AA333" s="326"/>
      <c r="AB333" s="325"/>
      <c r="AC333" s="148"/>
      <c r="AD333" s="326"/>
      <c r="AE333" s="325"/>
      <c r="AF333" s="148"/>
    </row>
    <row r="334" spans="1:32" x14ac:dyDescent="0.2">
      <c r="A334" s="150" t="str">
        <f>IF('Massas Corrigidas'!$I$156="","","Massa total")</f>
        <v/>
      </c>
      <c r="B334" s="215" t="str">
        <f>'Massas Corrigidas'!K159</f>
        <v/>
      </c>
      <c r="C334" s="265" t="str">
        <f>IF(B334="","",'Massas Corrigidas'!L159)</f>
        <v/>
      </c>
      <c r="D334" s="205"/>
      <c r="E334" s="246"/>
      <c r="G334" s="141"/>
      <c r="H334" s="270" t="str">
        <f>IF('Entrada das intensidades'!B143&gt;0,'Entrada das intensidades'!B143,"")</f>
        <v/>
      </c>
      <c r="I334" s="327"/>
      <c r="J334" s="205" t="str">
        <f t="shared" ref="J334:J339" si="54">IFERROR(((H334-$P$8)/$P$7)*$D$339,"")</f>
        <v/>
      </c>
      <c r="L334" s="205"/>
      <c r="R334" s="326" t="str">
        <f>IF(R332="","","K 0,05")</f>
        <v/>
      </c>
      <c r="S334" s="135" t="str">
        <f>IFERROR(IF($S$96=1,TINV(0.05,S333),""),"")</f>
        <v/>
      </c>
      <c r="T334" s="148"/>
      <c r="U334" s="326" t="str">
        <f>IF(U332="","","Incerteza expandida (mg.kg-1)")</f>
        <v/>
      </c>
      <c r="V334" s="325"/>
      <c r="W334" s="148" t="str">
        <f>IF(Q332="","",IF($S$96=2,2*(SQRT(SUMSQ(Q332,Q341))/SQRT($S$96)),""))</f>
        <v/>
      </c>
      <c r="X334" s="326"/>
      <c r="Y334" s="325"/>
      <c r="Z334" s="148"/>
      <c r="AA334" s="326"/>
      <c r="AB334" s="325"/>
      <c r="AC334" s="148"/>
      <c r="AD334" s="326"/>
      <c r="AE334" s="325"/>
      <c r="AF334" s="148"/>
    </row>
    <row r="335" spans="1:32" x14ac:dyDescent="0.2">
      <c r="A335" s="141" t="str">
        <f>IF('Massas Corrigidas'!P156="","",CONCATENATE("Segunda diluição Amostra ",'Massas Corrigidas'!I156))</f>
        <v/>
      </c>
      <c r="B335" s="205"/>
      <c r="C335" s="213"/>
      <c r="D335" s="214"/>
      <c r="E335" s="247"/>
      <c r="G335" s="141"/>
      <c r="H335" s="270" t="str">
        <f>IF('Entrada das intensidades'!B144&gt;0,'Entrada das intensidades'!B144,"")</f>
        <v/>
      </c>
      <c r="I335" s="327"/>
      <c r="J335" s="205" t="str">
        <f t="shared" si="54"/>
        <v/>
      </c>
      <c r="L335" s="205"/>
      <c r="R335" s="326" t="str">
        <f>IF(R332="","","Fração mássica da amostra (mg.kg-1)")</f>
        <v/>
      </c>
      <c r="S335" s="148" t="str">
        <f>IFERROR(IF($S$96=1,AVERAGE(J333:J339),""),"")</f>
        <v/>
      </c>
      <c r="T335" s="311"/>
    </row>
    <row r="336" spans="1:32" x14ac:dyDescent="0.2">
      <c r="A336" s="150" t="str">
        <f>IF('Massas Corrigidas'!$P$156="","","Massa da amostra")</f>
        <v/>
      </c>
      <c r="B336" s="215" t="str">
        <f>'Massas Corrigidas'!R158</f>
        <v/>
      </c>
      <c r="C336" s="265" t="str">
        <f>IF(B336="","",'Massas Corrigidas'!S158)</f>
        <v/>
      </c>
      <c r="D336" s="272" t="str">
        <f>IF(B336="",D333,B337/B336*D333)</f>
        <v/>
      </c>
      <c r="E336" s="245" t="str">
        <f>IF(B336="",E333,D336*((((((C334/B333)^2)+(((B334*C333)/(B333^2))^2))^0.5/(B334/B333))^2+((((C337/B336)^2+(B337*C336/(B336^2))^2))^0.5/(B337/B336))^2)^0.5))</f>
        <v/>
      </c>
      <c r="G336" s="141"/>
      <c r="H336" s="270" t="str">
        <f>IF('Entrada das intensidades'!B145&gt;0,'Entrada das intensidades'!B145,"")</f>
        <v/>
      </c>
      <c r="I336" s="327"/>
      <c r="J336" s="205" t="str">
        <f t="shared" si="54"/>
        <v/>
      </c>
      <c r="L336" s="205"/>
      <c r="R336" s="326" t="str">
        <f>IF(R332="","","Incerteza expandida (mg.kg-1)")</f>
        <v/>
      </c>
      <c r="S336" s="148" t="str">
        <f>IFERROR(IF($S$96=1,S334*J332*O332,""),"")</f>
        <v/>
      </c>
      <c r="T336" s="214"/>
    </row>
    <row r="337" spans="1:32" x14ac:dyDescent="0.2">
      <c r="A337" s="150" t="str">
        <f>IF('Massas Corrigidas'!$P$156="","","Massa total")</f>
        <v/>
      </c>
      <c r="B337" s="215" t="str">
        <f>'Massas Corrigidas'!R159</f>
        <v/>
      </c>
      <c r="C337" s="265" t="str">
        <f>IF(B337="","",'Massas Corrigidas'!S159)</f>
        <v/>
      </c>
      <c r="D337" s="205"/>
      <c r="E337" s="220"/>
      <c r="G337" s="141"/>
      <c r="H337" s="270" t="str">
        <f>IF('Entrada das intensidades'!B146&gt;0,'Entrada das intensidades'!B146,"")</f>
        <v/>
      </c>
      <c r="I337" s="327"/>
      <c r="J337" s="205" t="str">
        <f t="shared" si="54"/>
        <v/>
      </c>
      <c r="L337" s="205"/>
      <c r="R337" s="214"/>
      <c r="S337" s="214"/>
      <c r="T337" s="214"/>
    </row>
    <row r="338" spans="1:32" x14ac:dyDescent="0.2">
      <c r="A338" s="141" t="str">
        <f>IF('Massas Corrigidas'!W156="","",CONCATENATE("Terceira diluição Amostra ",'Massas Corrigidas'!I156))</f>
        <v/>
      </c>
      <c r="B338" s="205"/>
      <c r="C338" s="213"/>
      <c r="D338" s="214"/>
      <c r="E338" s="247"/>
      <c r="G338" s="141"/>
      <c r="H338" s="270" t="str">
        <f>IF('Entrada das intensidades'!B147&gt;0,'Entrada das intensidades'!B147,"")</f>
        <v/>
      </c>
      <c r="I338" s="327"/>
      <c r="J338" s="205" t="str">
        <f t="shared" si="54"/>
        <v/>
      </c>
      <c r="L338" s="205"/>
      <c r="R338" s="214"/>
      <c r="S338" s="214"/>
      <c r="T338" s="214"/>
    </row>
    <row r="339" spans="1:32" x14ac:dyDescent="0.2">
      <c r="A339" s="150" t="str">
        <f>IF('Massas Corrigidas'!$W$156="","","Massa da amostra")</f>
        <v/>
      </c>
      <c r="B339" s="215" t="str">
        <f>'Massas Corrigidas'!Y158</f>
        <v/>
      </c>
      <c r="C339" s="265" t="str">
        <f>IF(B339="","",'Massas Corrigidas'!Z158)</f>
        <v/>
      </c>
      <c r="D339" s="272" t="str">
        <f>IF(B339="",D336,B340/B339*D336)</f>
        <v/>
      </c>
      <c r="E339" s="273" t="str">
        <f>IF(B339="",E336,D339*(((((C334/B333)^2)+(((B334*C333)/(B333^2))^2))^0.5/(B334/B333))^2+((((C337/B336)^2+(B337*C336/(B336^2))^2))^0.5/(B337/B336))^2+(((((C340/B339)^2+(B340*C339/(B339^2))^2))^0.5)/(B340/B339))^2)^0.5)</f>
        <v/>
      </c>
      <c r="G339" s="141"/>
      <c r="H339" s="270" t="str">
        <f>IF('Entrada das intensidades'!B148&gt;0,'Entrada das intensidades'!B148,"")</f>
        <v/>
      </c>
      <c r="I339" s="327"/>
      <c r="J339" s="205" t="str">
        <f t="shared" si="54"/>
        <v/>
      </c>
      <c r="L339" s="205"/>
      <c r="R339" s="214"/>
      <c r="S339" s="214"/>
      <c r="T339" s="214"/>
    </row>
    <row r="340" spans="1:32" x14ac:dyDescent="0.2">
      <c r="A340" s="150" t="str">
        <f>IF('Massas Corrigidas'!$W$156="","","Massa total")</f>
        <v/>
      </c>
      <c r="B340" s="215" t="str">
        <f>'Massas Corrigidas'!Y159</f>
        <v/>
      </c>
      <c r="C340" s="265" t="str">
        <f>IF(B340="","",'Massas Corrigidas'!Z159)</f>
        <v/>
      </c>
      <c r="D340" s="205"/>
      <c r="E340" s="247"/>
      <c r="G340" s="141"/>
      <c r="H340" s="329"/>
      <c r="I340" s="274"/>
      <c r="L340" s="205"/>
      <c r="R340" s="214"/>
      <c r="S340" s="214"/>
      <c r="T340" s="214"/>
    </row>
    <row r="341" spans="1:32" x14ac:dyDescent="0.2">
      <c r="A341" s="141" t="str">
        <f>IF('Massas Corrigidas'!I161="","",CONCATENATE("Primeira diluição Amostra ",'Massas Corrigidas'!I161))</f>
        <v/>
      </c>
      <c r="B341" s="205"/>
      <c r="C341" s="205"/>
      <c r="D341" s="205"/>
      <c r="E341" s="270"/>
      <c r="G341" s="262" t="str">
        <f>IF('Massas Corrigidas'!I161="","",CONCATENATE("Amostra ",'Massas Corrigidas'!I161))</f>
        <v/>
      </c>
      <c r="H341" s="329" t="str">
        <f>IFERROR(AVERAGE(H342:H348),"")</f>
        <v/>
      </c>
      <c r="I341" s="327" t="str">
        <f>IFERROR(STDEV(H342:H348),"")</f>
        <v/>
      </c>
      <c r="J341" s="205" t="str">
        <f>IFERROR(AVERAGE(J342:J348),"")</f>
        <v/>
      </c>
      <c r="K341" s="263" t="str">
        <f>IF(H341="","",(E348/D348))</f>
        <v/>
      </c>
      <c r="L341" s="264" t="str">
        <f t="shared" ref="L341" si="55">IF(H341="","",IFERROR(((($B$48/$B$47)^2+($B$51/$B$50)^2+($B$54/$B$53)^2+($B$57/$B$56)^2+($B$60/$B$59)^2+($B$63/$B$62)^2)^0.5),((($B$48/$B$47)^2+($B$51/$B$50)^2+($B$54/$B$53)^2+($B$57/$B$56)^2+($B$60/$B$59)^2)^0.5)))</f>
        <v/>
      </c>
      <c r="M341" s="264" t="str">
        <f>IF(J341="","",STDEV(J342:J348)/J341)</f>
        <v/>
      </c>
      <c r="N341" s="264" t="str">
        <f>IF(H341="","",((($P$10/$P$7)*(SQRT((1/$E$12)+(1/$E$10)+(((J341/D348)-$P$16)^2)/$P$18))))/(J341/D348))</f>
        <v/>
      </c>
      <c r="O341" s="264" t="str">
        <f>IF(H341="","",(SQRT(L341^2+M341^2+N341^2+K341^2)))</f>
        <v/>
      </c>
      <c r="P341" s="271"/>
      <c r="Q341" s="209"/>
      <c r="R341" s="590" t="str">
        <f>IF($J$341="","",IF($S$96=1,CONCATENATE("Resultado final amostra ", 'Massas Corrigidas'!$I$161),""))</f>
        <v/>
      </c>
      <c r="S341" s="590"/>
      <c r="T341" s="145"/>
      <c r="U341" s="590"/>
      <c r="V341" s="590"/>
      <c r="W341" s="590"/>
      <c r="X341" s="590" t="str">
        <f>IF($J$341="","",IF($S$96=3,CONCATENATE("Resultado final amostra ", 'Massas Corrigidas'!$I$161),""))</f>
        <v/>
      </c>
      <c r="Y341" s="590"/>
      <c r="Z341" s="590"/>
      <c r="AA341" s="590" t="str">
        <f>IF($J$341="","",IF($S$96=4,CONCATENATE("Resultado final amostra ", 'Massas Corrigidas'!$I$161),""))</f>
        <v/>
      </c>
      <c r="AB341" s="590"/>
      <c r="AC341" s="590"/>
      <c r="AD341" s="590"/>
      <c r="AE341" s="590"/>
      <c r="AF341" s="590"/>
    </row>
    <row r="342" spans="1:32" x14ac:dyDescent="0.2">
      <c r="A342" s="150" t="str">
        <f>IF('Massas Corrigidas'!$I$161="","","Massa da amostra")</f>
        <v/>
      </c>
      <c r="B342" s="215" t="str">
        <f>'Massas Corrigidas'!K163</f>
        <v/>
      </c>
      <c r="C342" s="265" t="str">
        <f>IF(B342="","",'Massas Corrigidas'!L163)</f>
        <v/>
      </c>
      <c r="D342" s="272" t="str">
        <f>IF(A341="","",IF(B342="",1,B343/B342))</f>
        <v/>
      </c>
      <c r="E342" s="245" t="str">
        <f>IF(B342="","",IF(D342=1,0,(((C343/B342)^2)+(((B343*C342)/(B342^2))^2))^0.5))</f>
        <v/>
      </c>
      <c r="G342" s="141"/>
      <c r="H342" s="270" t="str">
        <f>IF('Entrada das intensidades'!F142&gt;0,'Entrada das intensidades'!F142,"")</f>
        <v/>
      </c>
      <c r="I342" s="327"/>
      <c r="J342" s="205" t="str">
        <f>IFERROR(((H342-$P$8)/$P$7)*$D$348,"")</f>
        <v/>
      </c>
      <c r="L342" s="205"/>
      <c r="R342" s="326" t="str">
        <f>IF(R341="","","ueff")</f>
        <v/>
      </c>
      <c r="S342" s="267" t="str">
        <f>IFERROR(IF($S$96=1,(O341^4)/(((M341^4)/(7-1))+((N341^4)/(42-1))),""),"")</f>
        <v/>
      </c>
      <c r="T342" s="148"/>
      <c r="U342" s="326"/>
      <c r="V342" s="325"/>
      <c r="W342" s="148"/>
      <c r="X342" s="326" t="str">
        <f>IF(X341="","","Fração mássica da amostra (mg.kg-1)")</f>
        <v/>
      </c>
      <c r="Y342" s="325"/>
      <c r="Z342" s="148" t="str">
        <f>IFERROR(IF($S$96=3,AVERAGE(J342:J348,J351:J357,J360:J366),""),"")</f>
        <v/>
      </c>
      <c r="AA342" s="326" t="str">
        <f>IF(AA341="","","Fração mássica da amostra (mg.kg-1)")</f>
        <v/>
      </c>
      <c r="AB342" s="325"/>
      <c r="AC342" s="148" t="str">
        <f>IF($S$96=4,AVERAGE(J342:J348,J351:J357,J360:J366,J369:J375),"")</f>
        <v/>
      </c>
      <c r="AD342" s="326"/>
      <c r="AE342" s="325"/>
      <c r="AF342" s="148"/>
    </row>
    <row r="343" spans="1:32" x14ac:dyDescent="0.2">
      <c r="A343" s="150" t="str">
        <f>IF('Massas Corrigidas'!$I$161="","","Massa total")</f>
        <v/>
      </c>
      <c r="B343" s="215" t="str">
        <f>'Massas Corrigidas'!K164</f>
        <v/>
      </c>
      <c r="C343" s="265" t="str">
        <f>IF(B343="","",'Massas Corrigidas'!L164)</f>
        <v/>
      </c>
      <c r="D343" s="205"/>
      <c r="E343" s="246"/>
      <c r="G343" s="141"/>
      <c r="H343" s="270" t="str">
        <f>IF('Entrada das intensidades'!F143&gt;0,'Entrada das intensidades'!F143,"")</f>
        <v/>
      </c>
      <c r="I343" s="327"/>
      <c r="J343" s="205" t="str">
        <f t="shared" ref="J343:J348" si="56">IFERROR(((H343-$P$8)/$P$7)*$D$348,"")</f>
        <v/>
      </c>
      <c r="L343" s="205"/>
      <c r="R343" s="326" t="str">
        <f>IF(R341="","","K 0,05")</f>
        <v/>
      </c>
      <c r="S343" s="135" t="str">
        <f>IFERROR(IF($S$96=1,TINV(0.05,S342),""),"")</f>
        <v/>
      </c>
      <c r="T343" s="148"/>
      <c r="U343" s="326"/>
      <c r="V343" s="325"/>
      <c r="W343" s="148"/>
      <c r="X343" s="326" t="str">
        <f>IF(X341="","","Incerteza expandida (mg.kg-1)")</f>
        <v/>
      </c>
      <c r="Y343" s="325"/>
      <c r="Z343" s="148" t="str">
        <f>IF(Q341="","",IF($S$96=3,2*(SQRT(SUMSQ(Q341,Q350,Q359))/SQRT($S$96)),""))</f>
        <v/>
      </c>
      <c r="AA343" s="326" t="str">
        <f>IF(AA341="","","Incerteza expandida (mg.kg-1)")</f>
        <v/>
      </c>
      <c r="AB343" s="325"/>
      <c r="AC343" s="148" t="str">
        <f>IF($S$96=4,2*(SQRT(SUMSQ(Q341,Q350,Q359,Q368))/SQRT($S$96)),"")</f>
        <v/>
      </c>
      <c r="AD343" s="326"/>
      <c r="AE343" s="325"/>
      <c r="AF343" s="148"/>
    </row>
    <row r="344" spans="1:32" x14ac:dyDescent="0.2">
      <c r="A344" s="141" t="str">
        <f>IF('Massas Corrigidas'!P161="","",CONCATENATE("Segunda diluição Amostra ",'Massas Corrigidas'!I161))</f>
        <v/>
      </c>
      <c r="B344" s="205"/>
      <c r="C344" s="213"/>
      <c r="D344" s="214"/>
      <c r="E344" s="247"/>
      <c r="G344" s="141"/>
      <c r="H344" s="270" t="str">
        <f>IF('Entrada das intensidades'!F144&gt;0,'Entrada das intensidades'!F144,"")</f>
        <v/>
      </c>
      <c r="I344" s="327"/>
      <c r="J344" s="205" t="str">
        <f t="shared" si="56"/>
        <v/>
      </c>
      <c r="L344" s="205"/>
      <c r="R344" s="326" t="str">
        <f>IF(R341="","","Fração mássica da amostra (mg.kg-1)")</f>
        <v/>
      </c>
      <c r="S344" s="148" t="str">
        <f>IFERROR(IF($S$96=1,AVERAGE(J342:J348),""),"")</f>
        <v/>
      </c>
      <c r="T344" s="311"/>
    </row>
    <row r="345" spans="1:32" x14ac:dyDescent="0.2">
      <c r="A345" s="150" t="str">
        <f>IF('Massas Corrigidas'!$P$161="","","Massa da amostra")</f>
        <v/>
      </c>
      <c r="B345" s="215" t="str">
        <f>'Massas Corrigidas'!R163</f>
        <v/>
      </c>
      <c r="C345" s="265" t="str">
        <f>IF(B345="","",'Massas Corrigidas'!S163)</f>
        <v/>
      </c>
      <c r="D345" s="272" t="str">
        <f>IF(B345="",D342,B346/B345*D342)</f>
        <v/>
      </c>
      <c r="E345" s="245" t="str">
        <f>IF(B345="",E342,D345*((((((C343/B342)^2)+(((B343*C342)/(B342^2))^2))^0.5/(B343/B342))^2+((((C346/B345)^2+(B346*C345/(B345^2))^2))^0.5/(B346/B345))^2)^0.5))</f>
        <v/>
      </c>
      <c r="G345" s="141"/>
      <c r="H345" s="270" t="str">
        <f>IF('Entrada das intensidades'!F145&gt;0,'Entrada das intensidades'!F145,"")</f>
        <v/>
      </c>
      <c r="I345" s="327"/>
      <c r="J345" s="205" t="str">
        <f t="shared" si="56"/>
        <v/>
      </c>
      <c r="L345" s="205"/>
      <c r="R345" s="326" t="str">
        <f>IF(R341="","","Incerteza expandida (mg.kg-1)")</f>
        <v/>
      </c>
      <c r="S345" s="148" t="str">
        <f>IFERROR(IF($S$96=1,S343*J341*O341,""),"")</f>
        <v/>
      </c>
      <c r="T345" s="214"/>
    </row>
    <row r="346" spans="1:32" x14ac:dyDescent="0.2">
      <c r="A346" s="150" t="str">
        <f>IF('Massas Corrigidas'!$P$161="","","Massa total")</f>
        <v/>
      </c>
      <c r="B346" s="215" t="str">
        <f>'Massas Corrigidas'!R164</f>
        <v/>
      </c>
      <c r="C346" s="265" t="str">
        <f>IF(B346="","",'Massas Corrigidas'!S164)</f>
        <v/>
      </c>
      <c r="D346" s="205"/>
      <c r="E346" s="220"/>
      <c r="G346" s="141"/>
      <c r="H346" s="270" t="str">
        <f>IF('Entrada das intensidades'!F146&gt;0,'Entrada das intensidades'!F146,"")</f>
        <v/>
      </c>
      <c r="I346" s="327"/>
      <c r="J346" s="205" t="str">
        <f t="shared" si="56"/>
        <v/>
      </c>
      <c r="L346" s="205"/>
      <c r="R346" s="214"/>
      <c r="S346" s="214"/>
      <c r="T346" s="214"/>
    </row>
    <row r="347" spans="1:32" x14ac:dyDescent="0.2">
      <c r="A347" s="141" t="str">
        <f>IF('Massas Corrigidas'!W161="","",CONCATENATE("Terceira diluição Amostra ",'Massas Corrigidas'!I161))</f>
        <v/>
      </c>
      <c r="B347" s="205"/>
      <c r="C347" s="213"/>
      <c r="D347" s="214"/>
      <c r="E347" s="247"/>
      <c r="G347" s="141"/>
      <c r="H347" s="270" t="str">
        <f>IF('Entrada das intensidades'!F147&gt;0,'Entrada das intensidades'!F147,"")</f>
        <v/>
      </c>
      <c r="I347" s="327"/>
      <c r="J347" s="205" t="str">
        <f t="shared" si="56"/>
        <v/>
      </c>
      <c r="L347" s="205"/>
      <c r="R347" s="214"/>
      <c r="S347" s="214"/>
      <c r="T347" s="214"/>
    </row>
    <row r="348" spans="1:32" x14ac:dyDescent="0.2">
      <c r="A348" s="150" t="str">
        <f>IF('Massas Corrigidas'!$W$161="","","Massa da amostra")</f>
        <v/>
      </c>
      <c r="B348" s="215" t="str">
        <f>'Massas Corrigidas'!Y163</f>
        <v/>
      </c>
      <c r="C348" s="265" t="str">
        <f>IF(B348="","",'Massas Corrigidas'!Z163)</f>
        <v/>
      </c>
      <c r="D348" s="272" t="str">
        <f>IF(B348="",D345,B349/B348*D345)</f>
        <v/>
      </c>
      <c r="E348" s="273" t="str">
        <f>IF(B348="",E345,D348*(((((C343/B342)^2)+(((B343*C342)/(B342^2))^2))^0.5/(B343/B342))^2+((((C346/B345)^2+(B346*C345/(B345^2))^2))^0.5/(B346/B345))^2+(((((C349/B348)^2+(B349*C348/(B348^2))^2))^0.5)/(B349/B348))^2)^0.5)</f>
        <v/>
      </c>
      <c r="G348" s="141"/>
      <c r="H348" s="270" t="str">
        <f>IF('Entrada das intensidades'!F148&gt;0,'Entrada das intensidades'!F148,"")</f>
        <v/>
      </c>
      <c r="I348" s="327"/>
      <c r="J348" s="205" t="str">
        <f t="shared" si="56"/>
        <v/>
      </c>
      <c r="L348" s="205"/>
      <c r="R348" s="214"/>
      <c r="S348" s="214"/>
      <c r="T348" s="214"/>
    </row>
    <row r="349" spans="1:32" x14ac:dyDescent="0.2">
      <c r="A349" s="150" t="str">
        <f>IF('Massas Corrigidas'!$W$161="","","Massa total")</f>
        <v/>
      </c>
      <c r="B349" s="215" t="str">
        <f>'Massas Corrigidas'!Y164</f>
        <v/>
      </c>
      <c r="C349" s="265" t="str">
        <f>IF(B349="","",'Massas Corrigidas'!Z164)</f>
        <v/>
      </c>
      <c r="D349" s="205"/>
      <c r="E349" s="247"/>
      <c r="G349" s="141"/>
      <c r="H349" s="329"/>
      <c r="I349" s="274"/>
      <c r="L349" s="205"/>
      <c r="R349" s="214"/>
      <c r="S349" s="214"/>
      <c r="T349" s="214"/>
    </row>
    <row r="350" spans="1:32" x14ac:dyDescent="0.2">
      <c r="A350" s="141" t="str">
        <f>IF('Massas Corrigidas'!I166="","",CONCATENATE("Primeira diluição Amostra ",'Massas Corrigidas'!I166))</f>
        <v/>
      </c>
      <c r="B350" s="205"/>
      <c r="C350" s="205"/>
      <c r="D350" s="205"/>
      <c r="E350" s="270"/>
      <c r="G350" s="262" t="str">
        <f>IF('Massas Corrigidas'!I166="","",CONCATENATE("Amostra ",'Massas Corrigidas'!I166))</f>
        <v/>
      </c>
      <c r="H350" s="329" t="str">
        <f>IFERROR(AVERAGE(H351:H357),"")</f>
        <v/>
      </c>
      <c r="I350" s="327" t="str">
        <f>IFERROR(STDEV(H351:H357),"")</f>
        <v/>
      </c>
      <c r="J350" s="205" t="str">
        <f>IFERROR(AVERAGE(J351:J357),"")</f>
        <v/>
      </c>
      <c r="K350" s="263" t="str">
        <f>IF(H350="","",(E357/D357))</f>
        <v/>
      </c>
      <c r="L350" s="264" t="str">
        <f t="shared" ref="L350" si="57">IF(H350="","",IFERROR(((($B$48/$B$47)^2+($B$51/$B$50)^2+($B$54/$B$53)^2+($B$57/$B$56)^2+($B$60/$B$59)^2+($B$63/$B$62)^2)^0.5),((($B$48/$B$47)^2+($B$51/$B$50)^2+($B$54/$B$53)^2+($B$57/$B$56)^2+($B$60/$B$59)^2)^0.5)))</f>
        <v/>
      </c>
      <c r="M350" s="264" t="str">
        <f>IF(J350="","",STDEV(J351:J357)/J350)</f>
        <v/>
      </c>
      <c r="N350" s="264" t="str">
        <f>IF(H350="","",((($P$10/$P$7)*(SQRT((1/$E$12)+(1/$E$10)+(((J350/D357)-$P$16)^2)/$P$18))))/(J350/D357))</f>
        <v/>
      </c>
      <c r="O350" s="264" t="str">
        <f>IF(H350="","",(SQRT(L350^2+M350^2+N350^2+K350^2)))</f>
        <v/>
      </c>
      <c r="P350" s="271"/>
      <c r="Q350" s="209"/>
      <c r="R350" s="590" t="str">
        <f>IF($J$350="","",IF($S$96=1,CONCATENATE("Resultado final amostra ", 'Massas Corrigidas'!$I$166),""))</f>
        <v/>
      </c>
      <c r="S350" s="590"/>
      <c r="T350" s="145"/>
      <c r="U350" s="590" t="str">
        <f>IF($J$350="","",IF($S$96=2,CONCATENATE("Resultado final amostra ", 'Massas Corrigidas'!$I$166),""))</f>
        <v/>
      </c>
      <c r="V350" s="590"/>
      <c r="W350" s="590"/>
      <c r="X350" s="590"/>
      <c r="Y350" s="590"/>
      <c r="Z350" s="590"/>
      <c r="AA350" s="590"/>
      <c r="AB350" s="590"/>
      <c r="AC350" s="590"/>
      <c r="AD350" s="590"/>
      <c r="AE350" s="590"/>
      <c r="AF350" s="590"/>
    </row>
    <row r="351" spans="1:32" x14ac:dyDescent="0.2">
      <c r="A351" s="150" t="str">
        <f>IF('Massas Corrigidas'!$I$166="","","Massa da amostra")</f>
        <v/>
      </c>
      <c r="B351" s="215" t="str">
        <f>'Massas Corrigidas'!K168</f>
        <v/>
      </c>
      <c r="C351" s="265" t="str">
        <f>IF(B351="","",'Massas Corrigidas'!L168)</f>
        <v/>
      </c>
      <c r="D351" s="272" t="str">
        <f>IF(A350="","",IF(B351="",1,B352/B351))</f>
        <v/>
      </c>
      <c r="E351" s="245" t="str">
        <f>IF(B351="","",IF(D351=1,0,(((C352/B351)^2)+(((B352*C351)/(B351^2))^2))^0.5))</f>
        <v/>
      </c>
      <c r="G351" s="141"/>
      <c r="H351" s="270" t="str">
        <f>IF('Entrada das intensidades'!B151&gt;0,'Entrada das intensidades'!B151,"")</f>
        <v/>
      </c>
      <c r="I351" s="327"/>
      <c r="J351" s="205" t="str">
        <f>IFERROR(((H351-$P$8)/$P$7)*$D$357,"")</f>
        <v/>
      </c>
      <c r="L351" s="205"/>
      <c r="R351" s="326" t="str">
        <f>IF(R350="","","ueff")</f>
        <v/>
      </c>
      <c r="S351" s="267" t="str">
        <f>IFERROR(IF($S$96=1,(O350^4)/(((M350^4)/(7-1))+((N350^4)/(42-1))),""),"")</f>
        <v/>
      </c>
      <c r="T351" s="148"/>
      <c r="U351" s="326" t="str">
        <f>IF(U350="","","Fração mássica da amostra (mg.kg-1)")</f>
        <v/>
      </c>
      <c r="V351" s="325"/>
      <c r="W351" s="148" t="str">
        <f>IFERROR(IF($S$96=2,AVERAGE(J351:J357,J360:J366),""),"")</f>
        <v/>
      </c>
      <c r="X351" s="326"/>
      <c r="Y351" s="325"/>
      <c r="Z351" s="148"/>
      <c r="AA351" s="326"/>
      <c r="AB351" s="325"/>
      <c r="AC351" s="148"/>
      <c r="AD351" s="326"/>
      <c r="AE351" s="325"/>
      <c r="AF351" s="148"/>
    </row>
    <row r="352" spans="1:32" x14ac:dyDescent="0.2">
      <c r="A352" s="150" t="str">
        <f>IF('Massas Corrigidas'!$I$166="","","Massa total")</f>
        <v/>
      </c>
      <c r="B352" s="215" t="str">
        <f>'Massas Corrigidas'!K169</f>
        <v/>
      </c>
      <c r="C352" s="265" t="str">
        <f>IF(B352="","",'Massas Corrigidas'!L169)</f>
        <v/>
      </c>
      <c r="D352" s="205"/>
      <c r="E352" s="246"/>
      <c r="G352" s="141"/>
      <c r="H352" s="270" t="str">
        <f>IF('Entrada das intensidades'!B152&gt;0,'Entrada das intensidades'!B152,"")</f>
        <v/>
      </c>
      <c r="I352" s="327"/>
      <c r="J352" s="205" t="str">
        <f t="shared" ref="J352:J357" si="58">IFERROR(((H352-$P$8)/$P$7)*$D$357,"")</f>
        <v/>
      </c>
      <c r="L352" s="205"/>
      <c r="R352" s="326" t="str">
        <f>IF(R350="","","K 0,05")</f>
        <v/>
      </c>
      <c r="S352" s="135" t="str">
        <f>IFERROR(IF($S$96=1,TINV(0.05,S351),""),"")</f>
        <v/>
      </c>
      <c r="T352" s="148"/>
      <c r="U352" s="326" t="str">
        <f>IF(U350="","","Incerteza expandida (mg.kg-1)")</f>
        <v/>
      </c>
      <c r="V352" s="325"/>
      <c r="W352" s="148" t="str">
        <f>IF(Q350="","",IF($S$96=2,2*(SQRT(SUMSQ(Q350,Q359))/SQRT($S$96)),""))</f>
        <v/>
      </c>
      <c r="X352" s="326"/>
      <c r="Y352" s="325"/>
      <c r="Z352" s="148"/>
      <c r="AA352" s="326"/>
      <c r="AB352" s="325"/>
      <c r="AC352" s="148"/>
      <c r="AD352" s="326"/>
      <c r="AE352" s="325"/>
      <c r="AF352" s="148"/>
    </row>
    <row r="353" spans="1:32" x14ac:dyDescent="0.2">
      <c r="A353" s="141" t="str">
        <f>IF('Massas Corrigidas'!P166="","",CONCATENATE("Segunda diluição Amostra ",'Massas Corrigidas'!I166))</f>
        <v/>
      </c>
      <c r="B353" s="205"/>
      <c r="C353" s="213"/>
      <c r="D353" s="214"/>
      <c r="E353" s="247"/>
      <c r="G353" s="141"/>
      <c r="H353" s="270" t="str">
        <f>IF('Entrada das intensidades'!B153&gt;0,'Entrada das intensidades'!B153,"")</f>
        <v/>
      </c>
      <c r="I353" s="327"/>
      <c r="J353" s="205" t="str">
        <f t="shared" si="58"/>
        <v/>
      </c>
      <c r="L353" s="264" t="str">
        <f>IF(H353="","",IFERROR(((($B$48/$B$47)^2+($B$51/$B$50)^2+($B$54/$B$53)^2+($B$57/$B$56)^2+($B$60/$B$59)^2+($B$63/$B$62)^2)^0.5),((($B$48/$B$47)^2+($B$51/$B$50)^2+($B$54/$B$53)^2+($B$57/$B$56)^2+($B$60/$B$59)^2)^0.5)))</f>
        <v/>
      </c>
      <c r="R353" s="326" t="str">
        <f>IF(R350="","","Fração mássica da amostra (mg.kg-1)")</f>
        <v/>
      </c>
      <c r="S353" s="148" t="str">
        <f>IFERROR(IF($S$96=1,AVERAGE(J351:J357),""),"")</f>
        <v/>
      </c>
      <c r="T353" s="311"/>
    </row>
    <row r="354" spans="1:32" x14ac:dyDescent="0.2">
      <c r="A354" s="150" t="str">
        <f>IF('Massas Corrigidas'!$P$166="","","Massa da amostra")</f>
        <v/>
      </c>
      <c r="B354" s="215" t="str">
        <f>'Massas Corrigidas'!R168</f>
        <v/>
      </c>
      <c r="C354" s="265" t="str">
        <f>IF(B354="","",'Massas Corrigidas'!S168)</f>
        <v/>
      </c>
      <c r="D354" s="272" t="str">
        <f>IF(B354="",D351,B355/B354*D351)</f>
        <v/>
      </c>
      <c r="E354" s="245" t="str">
        <f>IF(B354="",E351,D354*((((((C352/B351)^2)+(((B352*C351)/(B351^2))^2))^0.5/(B352/B351))^2+((((C355/B354)^2+(B355*C354/(B354^2))^2))^0.5/(B355/B354))^2)^0.5))</f>
        <v/>
      </c>
      <c r="G354" s="141"/>
      <c r="H354" s="270" t="str">
        <f>IF('Entrada das intensidades'!B154&gt;0,'Entrada das intensidades'!B154,"")</f>
        <v/>
      </c>
      <c r="I354" s="327"/>
      <c r="J354" s="205" t="str">
        <f t="shared" si="58"/>
        <v/>
      </c>
      <c r="L354" s="205"/>
      <c r="R354" s="326" t="str">
        <f>IF(R350="","","Incerteza expandida (mg.kg-1)")</f>
        <v/>
      </c>
      <c r="S354" s="148" t="str">
        <f>IFERROR(IF($S$96=1,S352*J350*O350,""),"")</f>
        <v/>
      </c>
      <c r="T354" s="214"/>
    </row>
    <row r="355" spans="1:32" x14ac:dyDescent="0.2">
      <c r="A355" s="150" t="str">
        <f>IF('Massas Corrigidas'!$P$166="","","Massa total")</f>
        <v/>
      </c>
      <c r="B355" s="215" t="str">
        <f>'Massas Corrigidas'!R169</f>
        <v/>
      </c>
      <c r="C355" s="265" t="str">
        <f>IF(B355="","",'Massas Corrigidas'!S169)</f>
        <v/>
      </c>
      <c r="D355" s="205"/>
      <c r="E355" s="220"/>
      <c r="G355" s="141"/>
      <c r="H355" s="270" t="str">
        <f>IF('Entrada das intensidades'!B155&gt;0,'Entrada das intensidades'!B155,"")</f>
        <v/>
      </c>
      <c r="I355" s="327"/>
      <c r="J355" s="205" t="str">
        <f t="shared" si="58"/>
        <v/>
      </c>
      <c r="L355" s="205"/>
      <c r="R355" s="214"/>
      <c r="S355" s="214"/>
      <c r="T355" s="214"/>
    </row>
    <row r="356" spans="1:32" x14ac:dyDescent="0.2">
      <c r="A356" s="141" t="str">
        <f>IF('Massas Corrigidas'!W166="","",CONCATENATE("Terceira diluição Amostra ",'Massas Corrigidas'!I166))</f>
        <v/>
      </c>
      <c r="B356" s="205"/>
      <c r="C356" s="213"/>
      <c r="D356" s="214"/>
      <c r="E356" s="247"/>
      <c r="G356" s="141"/>
      <c r="H356" s="270" t="str">
        <f>IF('Entrada das intensidades'!B156&gt;0,'Entrada das intensidades'!B156,"")</f>
        <v/>
      </c>
      <c r="I356" s="327"/>
      <c r="J356" s="205" t="str">
        <f t="shared" si="58"/>
        <v/>
      </c>
      <c r="L356" s="205"/>
      <c r="R356" s="214"/>
      <c r="S356" s="214"/>
      <c r="T356" s="214"/>
    </row>
    <row r="357" spans="1:32" x14ac:dyDescent="0.2">
      <c r="A357" s="150" t="str">
        <f>IF('Massas Corrigidas'!$W$166="","","Massa da amostra")</f>
        <v/>
      </c>
      <c r="B357" s="215" t="str">
        <f>'Massas Corrigidas'!Y168</f>
        <v/>
      </c>
      <c r="C357" s="265" t="str">
        <f>IF(B357="","",'Massas Corrigidas'!Z168)</f>
        <v/>
      </c>
      <c r="D357" s="272" t="str">
        <f>IF(B357="",D354,B358/B357*D354)</f>
        <v/>
      </c>
      <c r="E357" s="273" t="str">
        <f>IF(B357="",E354,D357*(((((C352/B351)^2)+(((B352*C351)/(B351^2))^2))^0.5/(B352/B351))^2+((((C355/B354)^2+(B355*C354/(B354^2))^2))^0.5/(B355/B354))^2+(((((C358/B357)^2+(B358*C357/(B357^2))^2))^0.5)/(B358/B357))^2)^0.5)</f>
        <v/>
      </c>
      <c r="G357" s="141"/>
      <c r="H357" s="270" t="str">
        <f>IF('Entrada das intensidades'!B157&gt;0,'Entrada das intensidades'!B157,"")</f>
        <v/>
      </c>
      <c r="I357" s="327"/>
      <c r="J357" s="205" t="str">
        <f t="shared" si="58"/>
        <v/>
      </c>
      <c r="L357" s="205"/>
      <c r="R357" s="214"/>
      <c r="S357" s="214"/>
      <c r="T357" s="214"/>
    </row>
    <row r="358" spans="1:32" x14ac:dyDescent="0.2">
      <c r="A358" s="150" t="str">
        <f>IF('Massas Corrigidas'!$W$166="","","Massa total")</f>
        <v/>
      </c>
      <c r="B358" s="215" t="str">
        <f>'Massas Corrigidas'!Y169</f>
        <v/>
      </c>
      <c r="C358" s="265" t="str">
        <f>IF(B358="","",'Massas Corrigidas'!Z169)</f>
        <v/>
      </c>
      <c r="D358" s="205"/>
      <c r="E358" s="247"/>
      <c r="G358" s="141"/>
      <c r="H358" s="329"/>
      <c r="I358" s="274"/>
      <c r="L358" s="205"/>
      <c r="R358" s="214"/>
      <c r="S358" s="214"/>
      <c r="T358" s="214"/>
    </row>
    <row r="359" spans="1:32" x14ac:dyDescent="0.2">
      <c r="A359" s="141" t="str">
        <f>IF('Massas Corrigidas'!I171="","",CONCATENATE("Primeira diluição Amostra ",'Massas Corrigidas'!I171))</f>
        <v/>
      </c>
      <c r="B359" s="205"/>
      <c r="C359" s="205"/>
      <c r="D359" s="205"/>
      <c r="E359" s="270"/>
      <c r="G359" s="262" t="str">
        <f>IF('Massas Corrigidas'!I171="","",CONCATENATE("Amostra ",'Massas Corrigidas'!I171))</f>
        <v/>
      </c>
      <c r="H359" s="329" t="str">
        <f>IFERROR(AVERAGE(H360:H366),"")</f>
        <v/>
      </c>
      <c r="I359" s="327" t="str">
        <f>IFERROR(STDEV(H360:H366),"")</f>
        <v/>
      </c>
      <c r="J359" s="205" t="str">
        <f>IFERROR(AVERAGE(J360:J366),"")</f>
        <v/>
      </c>
      <c r="K359" s="263" t="str">
        <f>IF(H359="","",(E366/D366))</f>
        <v/>
      </c>
      <c r="L359" s="205"/>
      <c r="M359" s="264" t="str">
        <f>IF(J359="","",STDEV(J360:J366)/J359)</f>
        <v/>
      </c>
      <c r="N359" s="264" t="str">
        <f>IF(H359="","",((($P$10/$P$7)*(SQRT((1/$E$12)+(1/$E$10)+(((J359/D366)-$P$16)^2)/$P$18))))/(J359/D366))</f>
        <v/>
      </c>
      <c r="O359" s="264" t="str">
        <f>IF(H359="","",(SQRT(L359^2+M359^2+N359^2+K359^2)))</f>
        <v/>
      </c>
      <c r="P359" s="271"/>
      <c r="Q359" s="209"/>
      <c r="R359" s="590" t="str">
        <f>IF($J$359="","",IF($S$96=1,CONCATENATE("Resultado final amostra ", 'Massas Corrigidas'!$I$171),""))</f>
        <v/>
      </c>
      <c r="S359" s="590"/>
      <c r="T359" s="145"/>
      <c r="U359" s="590"/>
      <c r="V359" s="590"/>
      <c r="W359" s="590"/>
      <c r="X359" s="590"/>
      <c r="Y359" s="590"/>
      <c r="Z359" s="590"/>
      <c r="AA359" s="590"/>
      <c r="AB359" s="590"/>
      <c r="AC359" s="590"/>
      <c r="AD359" s="590"/>
      <c r="AE359" s="590"/>
      <c r="AF359" s="590"/>
    </row>
    <row r="360" spans="1:32" x14ac:dyDescent="0.2">
      <c r="A360" s="150" t="str">
        <f>IF('Massas Corrigidas'!$I$171="","","Massa da amostra")</f>
        <v/>
      </c>
      <c r="B360" s="215" t="str">
        <f>'Massas Corrigidas'!K173</f>
        <v/>
      </c>
      <c r="C360" s="265" t="str">
        <f>IF(B360="","",'Massas Corrigidas'!L173)</f>
        <v/>
      </c>
      <c r="D360" s="272" t="str">
        <f>IF(A359="","",IF(B360="",1,B361/B360))</f>
        <v/>
      </c>
      <c r="E360" s="245" t="str">
        <f>IF(B360="","",IF(D360=1,0,(((C361/B360)^2)+(((B361*C360)/(B360^2))^2))^0.5))</f>
        <v/>
      </c>
      <c r="G360" s="141"/>
      <c r="H360" s="270" t="str">
        <f>IF('Entrada das intensidades'!F151&gt;0,'Entrada das intensidades'!F151,"")</f>
        <v/>
      </c>
      <c r="I360" s="327"/>
      <c r="J360" s="205" t="str">
        <f>IFERROR(((H360-$P$8)/$P$7)*$D$366,"")</f>
        <v/>
      </c>
      <c r="L360" s="264" t="str">
        <f>IF(H360="","",IFERROR(((($B$48/$B$47)^2+($B$51/$B$50)^2+($B$54/$B$53)^2+($B$57/$B$56)^2+($B$60/$B$59)^2+($B$63/$B$62)^2)^0.5),((($B$48/$B$47)^2+($B$51/$B$50)^2+($B$54/$B$53)^2+($B$57/$B$56)^2+($B$60/$B$59)^2)^0.5)))</f>
        <v/>
      </c>
      <c r="R360" s="326" t="str">
        <f>IF(R359="","","ueff")</f>
        <v/>
      </c>
      <c r="S360" s="267" t="str">
        <f>IFERROR(IF($S$96=1,(O359^4)/(((M359^4)/(7-1))+((N359^4)/(42-1))),""),"")</f>
        <v/>
      </c>
      <c r="T360" s="148"/>
      <c r="U360" s="326"/>
      <c r="V360" s="325"/>
      <c r="W360" s="148"/>
      <c r="X360" s="326"/>
      <c r="Y360" s="325"/>
      <c r="Z360" s="148"/>
      <c r="AA360" s="326"/>
      <c r="AB360" s="325"/>
      <c r="AC360" s="148"/>
      <c r="AD360" s="326"/>
      <c r="AE360" s="325"/>
      <c r="AF360" s="148"/>
    </row>
    <row r="361" spans="1:32" x14ac:dyDescent="0.2">
      <c r="A361" s="150" t="str">
        <f>IF('Massas Corrigidas'!$I$171="","","Massa total")</f>
        <v/>
      </c>
      <c r="B361" s="215" t="str">
        <f>'Massas Corrigidas'!K174</f>
        <v/>
      </c>
      <c r="C361" s="265" t="str">
        <f>IF(B361="","",'Massas Corrigidas'!L174)</f>
        <v/>
      </c>
      <c r="D361" s="205"/>
      <c r="E361" s="246"/>
      <c r="G361" s="141"/>
      <c r="H361" s="270" t="str">
        <f>IF('Entrada das intensidades'!F152&gt;0,'Entrada das intensidades'!F152,"")</f>
        <v/>
      </c>
      <c r="I361" s="327"/>
      <c r="J361" s="205" t="str">
        <f t="shared" ref="J361:J366" si="59">IFERROR(((H361-$P$8)/$P$7)*$D$366,"")</f>
        <v/>
      </c>
      <c r="R361" s="326" t="str">
        <f>IF(R359="","","K 0,05")</f>
        <v/>
      </c>
      <c r="S361" s="135" t="str">
        <f>IFERROR(IF($S$96=1,TINV(0.05,S360),""),"")</f>
        <v/>
      </c>
      <c r="T361" s="148"/>
      <c r="U361" s="326"/>
      <c r="V361" s="325"/>
      <c r="W361" s="148"/>
      <c r="X361" s="326"/>
      <c r="Y361" s="325"/>
      <c r="Z361" s="148"/>
      <c r="AA361" s="326"/>
      <c r="AB361" s="325"/>
      <c r="AC361" s="148"/>
      <c r="AD361" s="326"/>
      <c r="AE361" s="325"/>
      <c r="AF361" s="148"/>
    </row>
    <row r="362" spans="1:32" x14ac:dyDescent="0.2">
      <c r="A362" s="141" t="str">
        <f>IF('Massas Corrigidas'!P171="","",CONCATENATE("Segunda diluição Amostra ",'Massas Corrigidas'!I171))</f>
        <v/>
      </c>
      <c r="B362" s="205"/>
      <c r="C362" s="213"/>
      <c r="D362" s="214"/>
      <c r="E362" s="247"/>
      <c r="G362" s="141"/>
      <c r="H362" s="270" t="str">
        <f>IF('Entrada das intensidades'!F153&gt;0,'Entrada das intensidades'!F153,"")</f>
        <v/>
      </c>
      <c r="I362" s="327"/>
      <c r="J362" s="205" t="str">
        <f t="shared" si="59"/>
        <v/>
      </c>
      <c r="R362" s="326" t="str">
        <f>IF(R359="","","Fração mássica da amostra (mg.kg-1)")</f>
        <v/>
      </c>
      <c r="S362" s="148" t="str">
        <f>IFERROR(IF($S$96=1,AVERAGE(J360:J366),""),"")</f>
        <v/>
      </c>
      <c r="T362" s="311"/>
    </row>
    <row r="363" spans="1:32" x14ac:dyDescent="0.2">
      <c r="A363" s="150" t="str">
        <f>IF('Massas Corrigidas'!$P$171="","","Massa da amostra")</f>
        <v/>
      </c>
      <c r="B363" s="215" t="str">
        <f>'Massas Corrigidas'!R173</f>
        <v/>
      </c>
      <c r="C363" s="265" t="str">
        <f>IF(B363="","",'Massas Corrigidas'!S173)</f>
        <v/>
      </c>
      <c r="D363" s="272" t="str">
        <f>IF(B363="",D360,B364/B363*D360)</f>
        <v/>
      </c>
      <c r="E363" s="245" t="str">
        <f>IF(B363="",E360,D363*((((((C361/B360)^2)+(((B361*C360)/(B360^2))^2))^0.5/(B361/B360))^2+((((C364/B363)^2+(B364*C363/(B363^2))^2))^0.5/(B364/B363))^2)^0.5))</f>
        <v/>
      </c>
      <c r="G363" s="141"/>
      <c r="H363" s="270" t="str">
        <f>IF('Entrada das intensidades'!F154&gt;0,'Entrada das intensidades'!F154,"")</f>
        <v/>
      </c>
      <c r="I363" s="327"/>
      <c r="J363" s="205" t="str">
        <f t="shared" si="59"/>
        <v/>
      </c>
      <c r="R363" s="326" t="str">
        <f>IF(R359="","","Incerteza expandida (mg.kg-1)")</f>
        <v/>
      </c>
      <c r="S363" s="148" t="str">
        <f>IFERROR(IF($S$96=1,S361*J359*O359,""),"")</f>
        <v/>
      </c>
      <c r="T363" s="214"/>
    </row>
    <row r="364" spans="1:32" x14ac:dyDescent="0.2">
      <c r="A364" s="150" t="str">
        <f>IF('Massas Corrigidas'!$P$171="","","Massa total")</f>
        <v/>
      </c>
      <c r="B364" s="215" t="str">
        <f>'Massas Corrigidas'!R174</f>
        <v/>
      </c>
      <c r="C364" s="265" t="str">
        <f>IF(B364="","",'Massas Corrigidas'!S174)</f>
        <v/>
      </c>
      <c r="D364" s="205"/>
      <c r="E364" s="220"/>
      <c r="G364" s="141"/>
      <c r="H364" s="270" t="str">
        <f>IF('Entrada das intensidades'!F155&gt;0,'Entrada das intensidades'!F155,"")</f>
        <v/>
      </c>
      <c r="I364" s="327"/>
      <c r="J364" s="205" t="str">
        <f t="shared" si="59"/>
        <v/>
      </c>
      <c r="R364" s="214"/>
      <c r="S364" s="214"/>
      <c r="T364" s="214"/>
    </row>
    <row r="365" spans="1:32" x14ac:dyDescent="0.2">
      <c r="A365" s="141" t="str">
        <f>IF('Massas Corrigidas'!W171="","",CONCATENATE("Terceira diluição Amostra ",'Massas Corrigidas'!I171))</f>
        <v/>
      </c>
      <c r="B365" s="205"/>
      <c r="C365" s="213"/>
      <c r="D365" s="214"/>
      <c r="E365" s="247"/>
      <c r="G365" s="141"/>
      <c r="H365" s="270" t="str">
        <f>IF('Entrada das intensidades'!F156&gt;0,'Entrada das intensidades'!F156,"")</f>
        <v/>
      </c>
      <c r="I365" s="327"/>
      <c r="J365" s="205" t="str">
        <f t="shared" si="59"/>
        <v/>
      </c>
      <c r="R365" s="214"/>
      <c r="S365" s="214"/>
      <c r="T365" s="214"/>
    </row>
    <row r="366" spans="1:32" x14ac:dyDescent="0.2">
      <c r="A366" s="150" t="str">
        <f>IF('Massas Corrigidas'!$W$171="","","Massa da amostra")</f>
        <v/>
      </c>
      <c r="B366" s="215" t="str">
        <f>'Massas Corrigidas'!Y173</f>
        <v/>
      </c>
      <c r="C366" s="265" t="str">
        <f>IF(B366="","",'Massas Corrigidas'!Z173)</f>
        <v/>
      </c>
      <c r="D366" s="272" t="str">
        <f>IF(B366="",D363,B367/B366*D363)</f>
        <v/>
      </c>
      <c r="E366" s="273" t="str">
        <f>IF(B366="",E363,D366*(((((C361/B360)^2)+(((B361*C360)/(B360^2))^2))^0.5/(B361/B360))^2+((((C364/B363)^2+(B364*C363/(B363^2))^2))^0.5/(B364/B363))^2+(((((C367/B366)^2+(B367*C366/(B366^2))^2))^0.5)/(B367/B366))^2)^0.5)</f>
        <v/>
      </c>
      <c r="G366" s="141"/>
      <c r="H366" s="270" t="str">
        <f>IF('Entrada das intensidades'!F157&gt;0,'Entrada das intensidades'!F157,"")</f>
        <v/>
      </c>
      <c r="I366" s="327"/>
      <c r="J366" s="205" t="str">
        <f t="shared" si="59"/>
        <v/>
      </c>
      <c r="R366" s="214"/>
      <c r="S366" s="214"/>
      <c r="T366" s="214"/>
    </row>
    <row r="367" spans="1:32" x14ac:dyDescent="0.2">
      <c r="A367" s="150" t="str">
        <f>IF('Massas Corrigidas'!$W$171="","","Massa total")</f>
        <v/>
      </c>
      <c r="B367" s="215" t="str">
        <f>'Massas Corrigidas'!Y174</f>
        <v/>
      </c>
      <c r="C367" s="265" t="str">
        <f>IF(B367="","",'Massas Corrigidas'!Z174)</f>
        <v/>
      </c>
      <c r="E367" s="247"/>
      <c r="G367" s="141"/>
      <c r="H367" s="274"/>
      <c r="I367" s="274"/>
      <c r="R367" s="214"/>
      <c r="S367" s="214"/>
      <c r="T367" s="214"/>
    </row>
    <row r="368" spans="1:32" x14ac:dyDescent="0.2">
      <c r="E368" s="270"/>
      <c r="G368" s="262"/>
      <c r="H368" s="274"/>
      <c r="I368" s="274"/>
      <c r="R368" s="590"/>
      <c r="S368" s="590"/>
      <c r="T368" s="590"/>
      <c r="U368" s="590"/>
      <c r="V368" s="590"/>
      <c r="W368" s="590"/>
      <c r="X368" s="590"/>
      <c r="Y368" s="590"/>
      <c r="Z368" s="590"/>
      <c r="AA368" s="590"/>
      <c r="AB368" s="590"/>
      <c r="AC368" s="590"/>
      <c r="AD368" s="590"/>
      <c r="AE368" s="590"/>
      <c r="AF368" s="590"/>
    </row>
    <row r="369" spans="7:32" x14ac:dyDescent="0.2">
      <c r="G369" s="141"/>
      <c r="H369" s="274"/>
      <c r="I369" s="274"/>
      <c r="R369" s="243"/>
      <c r="S369" s="141"/>
      <c r="T369" s="148"/>
      <c r="U369" s="243"/>
      <c r="V369" s="141"/>
      <c r="W369" s="148"/>
      <c r="X369" s="243"/>
      <c r="Y369" s="141"/>
      <c r="Z369" s="148"/>
      <c r="AA369" s="243"/>
      <c r="AB369" s="141"/>
      <c r="AC369" s="148"/>
      <c r="AD369" s="243"/>
      <c r="AE369" s="141"/>
      <c r="AF369" s="148"/>
    </row>
    <row r="370" spans="7:32" x14ac:dyDescent="0.2">
      <c r="G370" s="141"/>
      <c r="H370" s="274"/>
      <c r="I370" s="274"/>
      <c r="R370" s="243"/>
      <c r="S370" s="141"/>
      <c r="T370" s="148"/>
      <c r="U370" s="243"/>
      <c r="V370" s="141"/>
      <c r="W370" s="148"/>
      <c r="X370" s="243"/>
      <c r="Y370" s="141"/>
      <c r="Z370" s="148"/>
      <c r="AA370" s="243"/>
      <c r="AB370" s="141"/>
      <c r="AC370" s="148"/>
      <c r="AD370" s="243"/>
      <c r="AE370" s="141"/>
      <c r="AF370" s="148"/>
    </row>
    <row r="371" spans="7:32" x14ac:dyDescent="0.2">
      <c r="G371" s="141"/>
      <c r="H371" s="274"/>
      <c r="I371" s="274"/>
      <c r="R371" s="214"/>
      <c r="S371" s="214"/>
      <c r="T371" s="214"/>
    </row>
    <row r="372" spans="7:32" x14ac:dyDescent="0.2">
      <c r="G372" s="141"/>
      <c r="H372" s="274"/>
      <c r="I372" s="274"/>
      <c r="R372" s="214"/>
      <c r="S372" s="214"/>
      <c r="T372" s="214"/>
    </row>
    <row r="373" spans="7:32" x14ac:dyDescent="0.2">
      <c r="G373" s="141"/>
      <c r="H373" s="274"/>
      <c r="I373" s="274"/>
      <c r="R373" s="214"/>
      <c r="S373" s="214"/>
      <c r="T373" s="214"/>
    </row>
    <row r="374" spans="7:32" x14ac:dyDescent="0.2">
      <c r="G374" s="141"/>
      <c r="H374" s="274"/>
      <c r="I374" s="274"/>
      <c r="R374" s="214"/>
      <c r="S374" s="214"/>
      <c r="T374" s="214"/>
    </row>
    <row r="375" spans="7:32" x14ac:dyDescent="0.2">
      <c r="G375" s="141"/>
      <c r="H375" s="274"/>
      <c r="I375" s="274"/>
      <c r="R375" s="214"/>
      <c r="S375" s="214"/>
      <c r="T375" s="214"/>
    </row>
    <row r="376" spans="7:32" x14ac:dyDescent="0.2">
      <c r="G376" s="141"/>
      <c r="H376" s="274"/>
      <c r="I376" s="274"/>
      <c r="R376" s="214"/>
      <c r="S376" s="214"/>
      <c r="T376" s="214"/>
    </row>
    <row r="377" spans="7:32" x14ac:dyDescent="0.2">
      <c r="G377" s="262"/>
      <c r="H377" s="274"/>
      <c r="I377" s="274"/>
      <c r="R377" s="590"/>
      <c r="S377" s="590"/>
      <c r="T377" s="590"/>
      <c r="U377" s="590"/>
      <c r="V377" s="590"/>
      <c r="W377" s="590"/>
      <c r="X377" s="590"/>
      <c r="Y377" s="590"/>
      <c r="Z377" s="590"/>
      <c r="AA377" s="590"/>
      <c r="AB377" s="590"/>
      <c r="AC377" s="590"/>
      <c r="AD377" s="590"/>
      <c r="AE377" s="590"/>
      <c r="AF377" s="590"/>
    </row>
    <row r="378" spans="7:32" x14ac:dyDescent="0.2">
      <c r="G378" s="141"/>
      <c r="H378" s="274"/>
      <c r="I378" s="274"/>
      <c r="R378" s="243"/>
      <c r="S378" s="141"/>
      <c r="T378" s="148"/>
      <c r="U378" s="243"/>
      <c r="V378" s="141"/>
      <c r="W378" s="148"/>
      <c r="X378" s="243"/>
      <c r="Y378" s="141"/>
      <c r="Z378" s="148"/>
      <c r="AA378" s="243"/>
      <c r="AB378" s="141"/>
      <c r="AC378" s="148"/>
      <c r="AD378" s="243"/>
      <c r="AE378" s="141"/>
      <c r="AF378" s="148"/>
    </row>
    <row r="379" spans="7:32" x14ac:dyDescent="0.2">
      <c r="G379" s="141"/>
      <c r="H379" s="274"/>
      <c r="I379" s="274"/>
      <c r="R379" s="243"/>
      <c r="S379" s="141"/>
      <c r="T379" s="148"/>
      <c r="U379" s="243"/>
      <c r="V379" s="141"/>
      <c r="W379" s="148"/>
      <c r="X379" s="243"/>
      <c r="Y379" s="141"/>
      <c r="Z379" s="148"/>
      <c r="AA379" s="243"/>
      <c r="AB379" s="141"/>
      <c r="AC379" s="148"/>
      <c r="AD379" s="243"/>
      <c r="AE379" s="141"/>
      <c r="AF379" s="148"/>
    </row>
    <row r="380" spans="7:32" x14ac:dyDescent="0.2">
      <c r="G380" s="141"/>
      <c r="H380" s="274"/>
      <c r="I380" s="274"/>
      <c r="R380" s="214"/>
      <c r="S380" s="214"/>
      <c r="T380" s="214"/>
    </row>
    <row r="381" spans="7:32" x14ac:dyDescent="0.2">
      <c r="G381" s="141"/>
      <c r="H381" s="274"/>
      <c r="I381" s="274"/>
      <c r="R381" s="214"/>
      <c r="S381" s="214"/>
      <c r="T381" s="214"/>
    </row>
    <row r="382" spans="7:32" x14ac:dyDescent="0.2">
      <c r="G382" s="141"/>
      <c r="H382" s="274"/>
      <c r="I382" s="274"/>
      <c r="R382" s="214"/>
      <c r="S382" s="214"/>
      <c r="T382" s="214"/>
    </row>
    <row r="383" spans="7:32" x14ac:dyDescent="0.2">
      <c r="G383" s="141"/>
      <c r="H383" s="274"/>
      <c r="I383" s="274"/>
      <c r="R383" s="214"/>
      <c r="S383" s="214"/>
      <c r="T383" s="214"/>
    </row>
    <row r="384" spans="7:32" x14ac:dyDescent="0.2">
      <c r="G384" s="141"/>
      <c r="H384" s="274"/>
      <c r="I384" s="274"/>
      <c r="R384" s="214"/>
      <c r="S384" s="214"/>
      <c r="T384" s="214"/>
    </row>
    <row r="385" spans="7:20" x14ac:dyDescent="0.2">
      <c r="G385" s="141"/>
      <c r="H385" s="274"/>
      <c r="I385" s="274"/>
      <c r="R385" s="214"/>
      <c r="S385" s="214"/>
      <c r="T385" s="214"/>
    </row>
    <row r="386" spans="7:20" x14ac:dyDescent="0.2">
      <c r="G386" s="262"/>
      <c r="H386" s="274"/>
      <c r="I386" s="274"/>
      <c r="R386" s="214"/>
      <c r="S386" s="214"/>
      <c r="T386" s="214"/>
    </row>
    <row r="387" spans="7:20" x14ac:dyDescent="0.2">
      <c r="G387" s="141"/>
      <c r="H387" s="274"/>
      <c r="I387" s="274"/>
      <c r="R387" s="214"/>
      <c r="S387" s="214"/>
      <c r="T387" s="214"/>
    </row>
    <row r="388" spans="7:20" x14ac:dyDescent="0.2">
      <c r="G388" s="141"/>
      <c r="H388" s="274"/>
      <c r="I388" s="274"/>
      <c r="R388" s="214"/>
      <c r="S388" s="214"/>
      <c r="T388" s="214"/>
    </row>
    <row r="389" spans="7:20" x14ac:dyDescent="0.2">
      <c r="G389" s="141"/>
      <c r="H389" s="274"/>
      <c r="I389" s="274"/>
      <c r="R389" s="214"/>
      <c r="S389" s="214"/>
      <c r="T389" s="214"/>
    </row>
    <row r="390" spans="7:20" x14ac:dyDescent="0.2">
      <c r="G390" s="141"/>
      <c r="H390" s="274"/>
      <c r="I390" s="274"/>
      <c r="R390" s="214"/>
      <c r="S390" s="214"/>
      <c r="T390" s="214"/>
    </row>
    <row r="391" spans="7:20" x14ac:dyDescent="0.2">
      <c r="G391" s="141"/>
      <c r="H391" s="274"/>
      <c r="I391" s="274"/>
      <c r="R391" s="214"/>
      <c r="S391" s="214"/>
      <c r="T391" s="214"/>
    </row>
    <row r="392" spans="7:20" x14ac:dyDescent="0.2">
      <c r="G392" s="141"/>
      <c r="H392" s="274"/>
      <c r="I392" s="274"/>
      <c r="R392" s="214"/>
      <c r="S392" s="214"/>
      <c r="T392" s="214"/>
    </row>
    <row r="393" spans="7:20" x14ac:dyDescent="0.2">
      <c r="G393" s="141"/>
      <c r="H393" s="274"/>
      <c r="I393" s="274"/>
      <c r="R393" s="214"/>
      <c r="S393" s="214"/>
      <c r="T393" s="214"/>
    </row>
    <row r="394" spans="7:20" x14ac:dyDescent="0.2">
      <c r="G394" s="141"/>
      <c r="H394" s="274"/>
      <c r="I394" s="274"/>
      <c r="R394" s="214"/>
      <c r="S394" s="214"/>
      <c r="T394" s="214"/>
    </row>
    <row r="395" spans="7:20" x14ac:dyDescent="0.2">
      <c r="G395" s="141"/>
      <c r="H395" s="274"/>
      <c r="I395" s="274"/>
      <c r="R395" s="214"/>
      <c r="S395" s="214"/>
      <c r="T395" s="214"/>
    </row>
    <row r="396" spans="7:20" x14ac:dyDescent="0.2">
      <c r="G396" s="141"/>
      <c r="H396" s="274"/>
      <c r="I396" s="274"/>
      <c r="R396" s="214"/>
      <c r="S396" s="214"/>
      <c r="T396" s="214"/>
    </row>
    <row r="397" spans="7:20" x14ac:dyDescent="0.2">
      <c r="G397" s="141"/>
      <c r="H397" s="274"/>
      <c r="I397" s="274"/>
      <c r="R397" s="214"/>
      <c r="S397" s="214"/>
      <c r="T397" s="214"/>
    </row>
    <row r="398" spans="7:20" x14ac:dyDescent="0.2">
      <c r="G398" s="141"/>
      <c r="H398" s="274"/>
      <c r="I398" s="274"/>
      <c r="R398" s="214"/>
      <c r="S398" s="214"/>
      <c r="T398" s="214"/>
    </row>
    <row r="399" spans="7:20" x14ac:dyDescent="0.2">
      <c r="G399" s="141"/>
      <c r="H399" s="274"/>
      <c r="I399" s="274"/>
      <c r="R399" s="214"/>
      <c r="S399" s="214"/>
      <c r="T399" s="214"/>
    </row>
    <row r="400" spans="7:20" x14ac:dyDescent="0.2">
      <c r="G400" s="141"/>
      <c r="H400" s="274"/>
      <c r="I400" s="274"/>
      <c r="R400" s="214"/>
      <c r="S400" s="214"/>
      <c r="T400" s="214"/>
    </row>
    <row r="401" spans="7:20" x14ac:dyDescent="0.2">
      <c r="G401" s="141"/>
      <c r="H401" s="274"/>
      <c r="I401" s="274"/>
      <c r="R401" s="214"/>
      <c r="S401" s="214"/>
      <c r="T401" s="214"/>
    </row>
    <row r="402" spans="7:20" x14ac:dyDescent="0.2">
      <c r="G402" s="141"/>
      <c r="H402" s="274"/>
      <c r="I402" s="274"/>
      <c r="R402" s="214"/>
      <c r="S402" s="214"/>
      <c r="T402" s="214"/>
    </row>
    <row r="403" spans="7:20" x14ac:dyDescent="0.2">
      <c r="G403" s="141"/>
      <c r="H403" s="274"/>
      <c r="I403" s="274"/>
      <c r="R403" s="214"/>
      <c r="S403" s="214"/>
      <c r="T403" s="214"/>
    </row>
    <row r="404" spans="7:20" x14ac:dyDescent="0.2">
      <c r="G404" s="262"/>
      <c r="H404" s="274"/>
      <c r="I404" s="274"/>
      <c r="R404" s="214"/>
      <c r="S404" s="214"/>
      <c r="T404" s="214"/>
    </row>
    <row r="405" spans="7:20" x14ac:dyDescent="0.2">
      <c r="G405" s="141"/>
      <c r="H405" s="274"/>
      <c r="I405" s="274"/>
      <c r="R405" s="214"/>
      <c r="S405" s="214"/>
      <c r="T405" s="214"/>
    </row>
    <row r="406" spans="7:20" x14ac:dyDescent="0.2">
      <c r="G406" s="141"/>
      <c r="H406" s="274"/>
      <c r="I406" s="274"/>
      <c r="R406" s="214"/>
      <c r="S406" s="214"/>
      <c r="T406" s="214"/>
    </row>
    <row r="407" spans="7:20" x14ac:dyDescent="0.2">
      <c r="G407" s="141"/>
      <c r="H407" s="274"/>
      <c r="I407" s="274"/>
      <c r="R407" s="214"/>
      <c r="S407" s="214"/>
      <c r="T407" s="214"/>
    </row>
    <row r="408" spans="7:20" x14ac:dyDescent="0.2">
      <c r="G408" s="141"/>
      <c r="H408" s="274"/>
      <c r="I408" s="274"/>
      <c r="R408" s="214"/>
      <c r="S408" s="214"/>
      <c r="T408" s="214"/>
    </row>
    <row r="409" spans="7:20" x14ac:dyDescent="0.2">
      <c r="G409" s="141"/>
      <c r="H409" s="274"/>
      <c r="I409" s="274"/>
      <c r="R409" s="214"/>
      <c r="S409" s="214"/>
      <c r="T409" s="214"/>
    </row>
    <row r="410" spans="7:20" x14ac:dyDescent="0.2">
      <c r="G410" s="141"/>
      <c r="H410" s="274"/>
      <c r="I410" s="274"/>
      <c r="R410" s="214"/>
      <c r="S410" s="214"/>
      <c r="T410" s="214"/>
    </row>
    <row r="411" spans="7:20" x14ac:dyDescent="0.2">
      <c r="G411" s="141"/>
      <c r="H411" s="274"/>
      <c r="I411" s="274"/>
      <c r="R411" s="214"/>
      <c r="S411" s="214"/>
      <c r="T411" s="214"/>
    </row>
    <row r="412" spans="7:20" x14ac:dyDescent="0.2">
      <c r="G412" s="141"/>
      <c r="H412" s="274"/>
      <c r="I412" s="274"/>
      <c r="R412" s="214"/>
      <c r="S412" s="214"/>
      <c r="T412" s="214"/>
    </row>
    <row r="413" spans="7:20" x14ac:dyDescent="0.2">
      <c r="G413" s="262"/>
      <c r="H413" s="274"/>
      <c r="I413" s="274"/>
      <c r="R413" s="214"/>
      <c r="S413" s="214"/>
      <c r="T413" s="214"/>
    </row>
    <row r="414" spans="7:20" x14ac:dyDescent="0.2">
      <c r="G414" s="141"/>
      <c r="H414" s="274"/>
      <c r="I414" s="274"/>
      <c r="R414" s="214"/>
      <c r="S414" s="214"/>
      <c r="T414" s="214"/>
    </row>
    <row r="415" spans="7:20" x14ac:dyDescent="0.2">
      <c r="G415" s="141"/>
      <c r="H415" s="274"/>
      <c r="I415" s="274"/>
      <c r="R415" s="214"/>
      <c r="S415" s="214"/>
      <c r="T415" s="214"/>
    </row>
    <row r="416" spans="7:20" x14ac:dyDescent="0.2">
      <c r="G416" s="141"/>
      <c r="H416" s="274"/>
      <c r="I416" s="274"/>
      <c r="R416" s="214"/>
      <c r="S416" s="214"/>
      <c r="T416" s="214"/>
    </row>
    <row r="417" spans="7:20" x14ac:dyDescent="0.2">
      <c r="G417" s="141"/>
      <c r="H417" s="274"/>
      <c r="I417" s="274"/>
      <c r="R417" s="214"/>
      <c r="S417" s="214"/>
      <c r="T417" s="214"/>
    </row>
    <row r="418" spans="7:20" x14ac:dyDescent="0.2">
      <c r="G418" s="141"/>
      <c r="H418" s="274"/>
      <c r="I418" s="274"/>
      <c r="R418" s="214"/>
      <c r="S418" s="214"/>
      <c r="T418" s="214"/>
    </row>
    <row r="419" spans="7:20" x14ac:dyDescent="0.2">
      <c r="G419" s="141"/>
      <c r="H419" s="274"/>
      <c r="I419" s="274"/>
      <c r="R419" s="214"/>
      <c r="S419" s="214"/>
      <c r="T419" s="214"/>
    </row>
    <row r="420" spans="7:20" x14ac:dyDescent="0.2">
      <c r="G420" s="141"/>
      <c r="H420" s="274"/>
      <c r="I420" s="274"/>
      <c r="R420" s="214"/>
      <c r="S420" s="214"/>
      <c r="T420" s="214"/>
    </row>
    <row r="421" spans="7:20" x14ac:dyDescent="0.2">
      <c r="G421" s="141"/>
      <c r="H421" s="274"/>
      <c r="I421" s="274"/>
      <c r="R421" s="214"/>
      <c r="S421" s="214"/>
      <c r="T421" s="214"/>
    </row>
    <row r="422" spans="7:20" x14ac:dyDescent="0.2">
      <c r="G422" s="141"/>
      <c r="H422" s="274"/>
      <c r="I422" s="274"/>
      <c r="R422" s="214"/>
      <c r="S422" s="214"/>
      <c r="T422" s="214"/>
    </row>
    <row r="423" spans="7:20" x14ac:dyDescent="0.2">
      <c r="G423" s="141"/>
      <c r="H423" s="274"/>
      <c r="I423" s="274"/>
      <c r="R423" s="214"/>
      <c r="S423" s="214"/>
      <c r="T423" s="214"/>
    </row>
    <row r="424" spans="7:20" x14ac:dyDescent="0.2">
      <c r="G424" s="141"/>
      <c r="H424" s="274"/>
      <c r="I424" s="274"/>
      <c r="R424" s="214"/>
      <c r="S424" s="214"/>
      <c r="T424" s="214"/>
    </row>
    <row r="425" spans="7:20" x14ac:dyDescent="0.2">
      <c r="G425" s="141"/>
      <c r="H425" s="274"/>
      <c r="I425" s="274"/>
      <c r="R425" s="214"/>
      <c r="S425" s="214"/>
      <c r="T425" s="214"/>
    </row>
    <row r="426" spans="7:20" x14ac:dyDescent="0.2">
      <c r="G426" s="141"/>
      <c r="H426" s="274"/>
      <c r="I426" s="274"/>
      <c r="R426" s="214"/>
      <c r="S426" s="214"/>
      <c r="T426" s="214"/>
    </row>
    <row r="427" spans="7:20" x14ac:dyDescent="0.2">
      <c r="G427" s="141"/>
      <c r="H427" s="274"/>
      <c r="I427" s="274"/>
      <c r="R427" s="214"/>
      <c r="S427" s="214"/>
      <c r="T427" s="214"/>
    </row>
    <row r="428" spans="7:20" x14ac:dyDescent="0.2">
      <c r="G428" s="141"/>
      <c r="H428" s="274"/>
      <c r="I428" s="274"/>
      <c r="R428" s="214"/>
      <c r="S428" s="214"/>
      <c r="T428" s="214"/>
    </row>
    <row r="429" spans="7:20" x14ac:dyDescent="0.2">
      <c r="G429" s="141"/>
      <c r="H429" s="274"/>
      <c r="I429" s="274"/>
      <c r="R429" s="214"/>
      <c r="S429" s="214"/>
      <c r="T429" s="214"/>
    </row>
    <row r="430" spans="7:20" x14ac:dyDescent="0.2">
      <c r="G430" s="141"/>
      <c r="H430" s="274"/>
      <c r="I430" s="274"/>
      <c r="R430" s="214"/>
      <c r="S430" s="214"/>
      <c r="T430" s="214"/>
    </row>
    <row r="431" spans="7:20" x14ac:dyDescent="0.2">
      <c r="G431" s="262"/>
      <c r="H431" s="274"/>
      <c r="I431" s="274"/>
      <c r="R431" s="214"/>
      <c r="S431" s="214"/>
      <c r="T431" s="214"/>
    </row>
    <row r="432" spans="7:20" x14ac:dyDescent="0.2">
      <c r="G432" s="141"/>
      <c r="H432" s="274"/>
      <c r="I432" s="274"/>
      <c r="R432" s="214"/>
      <c r="S432" s="214"/>
      <c r="T432" s="214"/>
    </row>
    <row r="433" spans="7:20" x14ac:dyDescent="0.2">
      <c r="G433" s="141"/>
      <c r="H433" s="274"/>
      <c r="I433" s="274"/>
      <c r="R433" s="214"/>
      <c r="S433" s="214"/>
      <c r="T433" s="214"/>
    </row>
    <row r="434" spans="7:20" x14ac:dyDescent="0.2">
      <c r="G434" s="141"/>
      <c r="H434" s="274"/>
      <c r="I434" s="274"/>
      <c r="R434" s="214"/>
      <c r="S434" s="214"/>
      <c r="T434" s="214"/>
    </row>
    <row r="435" spans="7:20" x14ac:dyDescent="0.2">
      <c r="G435" s="141"/>
      <c r="H435" s="274"/>
      <c r="I435" s="274"/>
      <c r="R435" s="214"/>
      <c r="S435" s="214"/>
      <c r="T435" s="214"/>
    </row>
    <row r="436" spans="7:20" x14ac:dyDescent="0.2">
      <c r="G436" s="141"/>
      <c r="H436" s="274"/>
      <c r="I436" s="274"/>
      <c r="R436" s="214"/>
      <c r="S436" s="214"/>
      <c r="T436" s="214"/>
    </row>
    <row r="437" spans="7:20" x14ac:dyDescent="0.2">
      <c r="G437" s="141"/>
      <c r="H437" s="274"/>
      <c r="R437" s="214"/>
      <c r="S437" s="214"/>
      <c r="T437" s="214"/>
    </row>
    <row r="438" spans="7:20" x14ac:dyDescent="0.2">
      <c r="G438" s="141"/>
      <c r="H438" s="274"/>
      <c r="R438" s="214"/>
      <c r="S438" s="214"/>
      <c r="T438" s="214"/>
    </row>
    <row r="439" spans="7:20" x14ac:dyDescent="0.2">
      <c r="G439" s="141"/>
      <c r="H439" s="274"/>
      <c r="R439" s="214"/>
      <c r="S439" s="214"/>
      <c r="T439" s="214"/>
    </row>
    <row r="440" spans="7:20" x14ac:dyDescent="0.2">
      <c r="G440" s="262"/>
      <c r="H440" s="274"/>
      <c r="R440" s="214"/>
      <c r="S440" s="214"/>
      <c r="T440" s="214"/>
    </row>
    <row r="441" spans="7:20" x14ac:dyDescent="0.2">
      <c r="G441" s="141"/>
      <c r="H441" s="274"/>
      <c r="R441" s="214"/>
      <c r="S441" s="214"/>
      <c r="T441" s="214"/>
    </row>
    <row r="442" spans="7:20" x14ac:dyDescent="0.2">
      <c r="G442" s="141"/>
      <c r="H442" s="274"/>
      <c r="R442" s="214"/>
      <c r="S442" s="214"/>
      <c r="T442" s="214"/>
    </row>
    <row r="443" spans="7:20" x14ac:dyDescent="0.2">
      <c r="G443" s="141"/>
      <c r="H443" s="274"/>
      <c r="R443" s="214"/>
      <c r="S443" s="214"/>
      <c r="T443" s="214"/>
    </row>
    <row r="444" spans="7:20" x14ac:dyDescent="0.2">
      <c r="G444" s="141"/>
      <c r="H444" s="274"/>
      <c r="R444" s="214"/>
      <c r="S444" s="214"/>
      <c r="T444" s="214"/>
    </row>
    <row r="445" spans="7:20" x14ac:dyDescent="0.2">
      <c r="G445" s="141"/>
      <c r="H445" s="274"/>
      <c r="R445" s="214"/>
      <c r="S445" s="214"/>
      <c r="T445" s="214"/>
    </row>
    <row r="446" spans="7:20" x14ac:dyDescent="0.2">
      <c r="G446" s="141"/>
      <c r="H446" s="274"/>
      <c r="R446" s="214"/>
      <c r="S446" s="214"/>
      <c r="T446" s="214"/>
    </row>
    <row r="447" spans="7:20" x14ac:dyDescent="0.2">
      <c r="G447" s="141"/>
      <c r="H447" s="274"/>
      <c r="R447" s="214"/>
      <c r="S447" s="214"/>
      <c r="T447" s="214"/>
    </row>
    <row r="448" spans="7:20" x14ac:dyDescent="0.2">
      <c r="G448" s="141"/>
      <c r="H448" s="274"/>
      <c r="R448" s="214"/>
      <c r="S448" s="214"/>
      <c r="T448" s="214"/>
    </row>
    <row r="449" spans="7:20" x14ac:dyDescent="0.2">
      <c r="G449" s="141"/>
      <c r="H449" s="274"/>
      <c r="R449" s="214"/>
      <c r="S449" s="214"/>
      <c r="T449" s="214"/>
    </row>
    <row r="450" spans="7:20" x14ac:dyDescent="0.2">
      <c r="G450" s="141"/>
      <c r="H450" s="274"/>
      <c r="R450" s="214"/>
      <c r="S450" s="214"/>
      <c r="T450" s="214"/>
    </row>
    <row r="451" spans="7:20" x14ac:dyDescent="0.2">
      <c r="G451" s="141"/>
      <c r="H451" s="274"/>
      <c r="R451" s="214"/>
      <c r="S451" s="214"/>
      <c r="T451" s="214"/>
    </row>
    <row r="452" spans="7:20" x14ac:dyDescent="0.2">
      <c r="G452" s="141"/>
      <c r="H452" s="274"/>
      <c r="R452" s="214"/>
      <c r="S452" s="214"/>
      <c r="T452" s="214"/>
    </row>
    <row r="453" spans="7:20" x14ac:dyDescent="0.2">
      <c r="G453" s="141"/>
      <c r="H453" s="274"/>
      <c r="R453" s="214"/>
      <c r="S453" s="214"/>
      <c r="T453" s="214"/>
    </row>
    <row r="454" spans="7:20" x14ac:dyDescent="0.2">
      <c r="G454" s="141"/>
      <c r="H454" s="274"/>
      <c r="R454" s="214"/>
      <c r="S454" s="214"/>
      <c r="T454" s="214"/>
    </row>
    <row r="455" spans="7:20" x14ac:dyDescent="0.2">
      <c r="G455" s="141"/>
      <c r="H455" s="274"/>
      <c r="R455" s="214"/>
      <c r="S455" s="214"/>
      <c r="T455" s="214"/>
    </row>
    <row r="456" spans="7:20" x14ac:dyDescent="0.2">
      <c r="G456" s="141"/>
      <c r="H456" s="274"/>
      <c r="R456" s="214"/>
      <c r="S456" s="214"/>
      <c r="T456" s="214"/>
    </row>
    <row r="457" spans="7:20" x14ac:dyDescent="0.2">
      <c r="G457" s="141"/>
      <c r="H457" s="274"/>
      <c r="R457" s="214"/>
      <c r="S457" s="214"/>
      <c r="T457" s="214"/>
    </row>
    <row r="458" spans="7:20" x14ac:dyDescent="0.2">
      <c r="G458" s="262"/>
      <c r="H458" s="274"/>
      <c r="R458" s="214"/>
      <c r="S458" s="214"/>
      <c r="T458" s="214"/>
    </row>
    <row r="459" spans="7:20" x14ac:dyDescent="0.2">
      <c r="G459" s="141"/>
      <c r="H459" s="274"/>
      <c r="R459" s="214"/>
      <c r="S459" s="214"/>
      <c r="T459" s="214"/>
    </row>
    <row r="460" spans="7:20" x14ac:dyDescent="0.2">
      <c r="G460" s="141"/>
      <c r="H460" s="274"/>
      <c r="R460" s="214"/>
      <c r="S460" s="214"/>
      <c r="T460" s="214"/>
    </row>
    <row r="461" spans="7:20" x14ac:dyDescent="0.2">
      <c r="G461" s="141"/>
      <c r="H461" s="274"/>
      <c r="R461" s="214"/>
      <c r="S461" s="214"/>
      <c r="T461" s="214"/>
    </row>
    <row r="462" spans="7:20" x14ac:dyDescent="0.2">
      <c r="G462" s="141"/>
      <c r="H462" s="274"/>
      <c r="R462" s="214"/>
      <c r="S462" s="214"/>
      <c r="T462" s="214"/>
    </row>
    <row r="463" spans="7:20" x14ac:dyDescent="0.2">
      <c r="G463" s="141"/>
      <c r="H463" s="274"/>
      <c r="R463" s="214"/>
      <c r="S463" s="214"/>
      <c r="T463" s="214"/>
    </row>
    <row r="464" spans="7:20" x14ac:dyDescent="0.2">
      <c r="G464" s="141"/>
      <c r="H464" s="274"/>
      <c r="R464" s="214"/>
      <c r="S464" s="214"/>
      <c r="T464" s="214"/>
    </row>
    <row r="465" spans="7:20" x14ac:dyDescent="0.2">
      <c r="G465" s="141"/>
      <c r="H465" s="274"/>
      <c r="R465" s="214"/>
      <c r="S465" s="214"/>
      <c r="T465" s="214"/>
    </row>
    <row r="466" spans="7:20" x14ac:dyDescent="0.2">
      <c r="G466" s="141"/>
      <c r="H466" s="274"/>
      <c r="R466" s="214"/>
      <c r="S466" s="214"/>
      <c r="T466" s="214"/>
    </row>
    <row r="467" spans="7:20" x14ac:dyDescent="0.2">
      <c r="G467" s="262"/>
      <c r="H467" s="274"/>
      <c r="R467" s="214"/>
      <c r="S467" s="214"/>
      <c r="T467" s="214"/>
    </row>
    <row r="468" spans="7:20" x14ac:dyDescent="0.2">
      <c r="G468" s="141"/>
      <c r="H468" s="274"/>
      <c r="R468" s="214"/>
      <c r="S468" s="214"/>
      <c r="T468" s="214"/>
    </row>
    <row r="469" spans="7:20" x14ac:dyDescent="0.2">
      <c r="G469" s="141"/>
      <c r="H469" s="274"/>
      <c r="R469" s="214"/>
      <c r="S469" s="214"/>
      <c r="T469" s="214"/>
    </row>
    <row r="470" spans="7:20" x14ac:dyDescent="0.2">
      <c r="G470" s="141"/>
      <c r="H470" s="274"/>
      <c r="R470" s="214"/>
      <c r="S470" s="214"/>
      <c r="T470" s="214"/>
    </row>
    <row r="471" spans="7:20" x14ac:dyDescent="0.2">
      <c r="G471" s="141"/>
      <c r="R471" s="214"/>
      <c r="S471" s="214"/>
      <c r="T471" s="214"/>
    </row>
    <row r="472" spans="7:20" x14ac:dyDescent="0.2">
      <c r="G472" s="141"/>
      <c r="R472" s="214"/>
      <c r="S472" s="214"/>
      <c r="T472" s="214"/>
    </row>
    <row r="473" spans="7:20" x14ac:dyDescent="0.2">
      <c r="G473" s="141"/>
      <c r="R473" s="214"/>
      <c r="S473" s="214"/>
      <c r="T473" s="214"/>
    </row>
    <row r="474" spans="7:20" x14ac:dyDescent="0.2">
      <c r="G474" s="141"/>
      <c r="R474" s="214"/>
      <c r="S474" s="214"/>
      <c r="T474" s="214"/>
    </row>
    <row r="475" spans="7:20" x14ac:dyDescent="0.2">
      <c r="G475" s="141"/>
    </row>
    <row r="476" spans="7:20" x14ac:dyDescent="0.2">
      <c r="G476" s="262"/>
    </row>
  </sheetData>
  <mergeCells count="237">
    <mergeCell ref="AD377:AF377"/>
    <mergeCell ref="AD332:AF332"/>
    <mergeCell ref="AD341:AF341"/>
    <mergeCell ref="AD350:AF350"/>
    <mergeCell ref="AD359:AF359"/>
    <mergeCell ref="AD368:AF368"/>
    <mergeCell ref="AD287:AF287"/>
    <mergeCell ref="AD296:AF296"/>
    <mergeCell ref="AD305:AF305"/>
    <mergeCell ref="AD314:AF314"/>
    <mergeCell ref="AD323:AF323"/>
    <mergeCell ref="AD242:AF242"/>
    <mergeCell ref="AD251:AF251"/>
    <mergeCell ref="AD260:AF260"/>
    <mergeCell ref="AD269:AF269"/>
    <mergeCell ref="AD278:AF278"/>
    <mergeCell ref="AD197:AF197"/>
    <mergeCell ref="AD206:AF206"/>
    <mergeCell ref="AD215:AF215"/>
    <mergeCell ref="AD224:AF224"/>
    <mergeCell ref="AD233:AF233"/>
    <mergeCell ref="AD152:AF152"/>
    <mergeCell ref="AD161:AF161"/>
    <mergeCell ref="AD170:AF170"/>
    <mergeCell ref="AD179:AF179"/>
    <mergeCell ref="AD188:AF188"/>
    <mergeCell ref="AA377:AC377"/>
    <mergeCell ref="AD17:AE17"/>
    <mergeCell ref="AD18:AE18"/>
    <mergeCell ref="AD43:AE43"/>
    <mergeCell ref="AD45:AE45"/>
    <mergeCell ref="AD46:AE46"/>
    <mergeCell ref="AD47:AE47"/>
    <mergeCell ref="AD48:AE48"/>
    <mergeCell ref="AD49:AE49"/>
    <mergeCell ref="AD50:AE50"/>
    <mergeCell ref="AD98:AF98"/>
    <mergeCell ref="AD107:AF107"/>
    <mergeCell ref="AD116:AF116"/>
    <mergeCell ref="AD125:AF125"/>
    <mergeCell ref="AD134:AF134"/>
    <mergeCell ref="AD143:AF143"/>
    <mergeCell ref="AA332:AC332"/>
    <mergeCell ref="AA341:AC341"/>
    <mergeCell ref="AA350:AC350"/>
    <mergeCell ref="AA161:AC161"/>
    <mergeCell ref="AA170:AC170"/>
    <mergeCell ref="AA179:AC179"/>
    <mergeCell ref="AA188:AC188"/>
    <mergeCell ref="AA359:AC359"/>
    <mergeCell ref="AA368:AC368"/>
    <mergeCell ref="AA287:AC287"/>
    <mergeCell ref="AA296:AC296"/>
    <mergeCell ref="AA305:AC305"/>
    <mergeCell ref="AA314:AC314"/>
    <mergeCell ref="AA323:AC323"/>
    <mergeCell ref="AA242:AC242"/>
    <mergeCell ref="AA251:AC251"/>
    <mergeCell ref="AA260:AC260"/>
    <mergeCell ref="AA269:AC269"/>
    <mergeCell ref="AA278:AC278"/>
    <mergeCell ref="AA224:AC224"/>
    <mergeCell ref="X368:Z368"/>
    <mergeCell ref="X377:Z377"/>
    <mergeCell ref="X43:Y43"/>
    <mergeCell ref="X45:Y45"/>
    <mergeCell ref="X46:Y46"/>
    <mergeCell ref="X47:Y47"/>
    <mergeCell ref="X48:Y48"/>
    <mergeCell ref="X49:Y49"/>
    <mergeCell ref="X50:Y50"/>
    <mergeCell ref="X323:Z323"/>
    <mergeCell ref="X332:Z332"/>
    <mergeCell ref="X341:Z341"/>
    <mergeCell ref="X350:Z350"/>
    <mergeCell ref="X359:Z359"/>
    <mergeCell ref="X278:Z278"/>
    <mergeCell ref="X287:Z287"/>
    <mergeCell ref="X296:Z296"/>
    <mergeCell ref="X305:Z305"/>
    <mergeCell ref="X314:Z314"/>
    <mergeCell ref="X260:Z260"/>
    <mergeCell ref="X269:Z269"/>
    <mergeCell ref="X188:Z188"/>
    <mergeCell ref="X197:Z197"/>
    <mergeCell ref="X161:Z161"/>
    <mergeCell ref="X224:Z224"/>
    <mergeCell ref="X206:Z206"/>
    <mergeCell ref="U296:W296"/>
    <mergeCell ref="U287:W287"/>
    <mergeCell ref="AA17:AB17"/>
    <mergeCell ref="AA18:AB18"/>
    <mergeCell ref="AA43:AB43"/>
    <mergeCell ref="AA45:AB45"/>
    <mergeCell ref="AA46:AB46"/>
    <mergeCell ref="AA107:AC107"/>
    <mergeCell ref="AA116:AC116"/>
    <mergeCell ref="AA125:AC125"/>
    <mergeCell ref="AA134:AC134"/>
    <mergeCell ref="AA143:AC143"/>
    <mergeCell ref="AA47:AB47"/>
    <mergeCell ref="AA48:AB48"/>
    <mergeCell ref="AA49:AB49"/>
    <mergeCell ref="AA50:AB50"/>
    <mergeCell ref="AA98:AC98"/>
    <mergeCell ref="AA197:AC197"/>
    <mergeCell ref="AA206:AC206"/>
    <mergeCell ref="AA215:AC215"/>
    <mergeCell ref="AA233:AC233"/>
    <mergeCell ref="AA152:AC152"/>
    <mergeCell ref="R359:S359"/>
    <mergeCell ref="X17:Y17"/>
    <mergeCell ref="X18:Y18"/>
    <mergeCell ref="X98:Z98"/>
    <mergeCell ref="X107:Z107"/>
    <mergeCell ref="X116:Z116"/>
    <mergeCell ref="X125:Z125"/>
    <mergeCell ref="X134:Z134"/>
    <mergeCell ref="X143:Z143"/>
    <mergeCell ref="X152:Z152"/>
    <mergeCell ref="X170:Z170"/>
    <mergeCell ref="X179:Z179"/>
    <mergeCell ref="U305:W305"/>
    <mergeCell ref="U314:W314"/>
    <mergeCell ref="U323:W323"/>
    <mergeCell ref="U332:W332"/>
    <mergeCell ref="U341:W341"/>
    <mergeCell ref="U260:W260"/>
    <mergeCell ref="U269:W269"/>
    <mergeCell ref="U278:W278"/>
    <mergeCell ref="X233:Z233"/>
    <mergeCell ref="X242:Z242"/>
    <mergeCell ref="X251:Z251"/>
    <mergeCell ref="X215:Z215"/>
    <mergeCell ref="R278:S278"/>
    <mergeCell ref="R269:S269"/>
    <mergeCell ref="R260:S260"/>
    <mergeCell ref="R377:T377"/>
    <mergeCell ref="U17:V17"/>
    <mergeCell ref="U18:V18"/>
    <mergeCell ref="U98:W98"/>
    <mergeCell ref="U107:W107"/>
    <mergeCell ref="U116:W116"/>
    <mergeCell ref="U125:W125"/>
    <mergeCell ref="U134:W134"/>
    <mergeCell ref="U143:W143"/>
    <mergeCell ref="U152:W152"/>
    <mergeCell ref="U161:W161"/>
    <mergeCell ref="U170:W170"/>
    <mergeCell ref="U179:W179"/>
    <mergeCell ref="U188:W188"/>
    <mergeCell ref="U197:W197"/>
    <mergeCell ref="U206:W206"/>
    <mergeCell ref="U350:W350"/>
    <mergeCell ref="U359:W359"/>
    <mergeCell ref="R368:T368"/>
    <mergeCell ref="U377:W377"/>
    <mergeCell ref="R116:S116"/>
    <mergeCell ref="G87:H87"/>
    <mergeCell ref="A33:D33"/>
    <mergeCell ref="R49:S49"/>
    <mergeCell ref="R50:S50"/>
    <mergeCell ref="U368:W368"/>
    <mergeCell ref="R170:S170"/>
    <mergeCell ref="R161:S161"/>
    <mergeCell ref="R152:S152"/>
    <mergeCell ref="R143:S143"/>
    <mergeCell ref="R134:S134"/>
    <mergeCell ref="R125:S125"/>
    <mergeCell ref="U215:W215"/>
    <mergeCell ref="U224:W224"/>
    <mergeCell ref="U233:W233"/>
    <mergeCell ref="U242:W242"/>
    <mergeCell ref="U251:W251"/>
    <mergeCell ref="R350:S350"/>
    <mergeCell ref="R341:S341"/>
    <mergeCell ref="R332:S332"/>
    <mergeCell ref="R323:S323"/>
    <mergeCell ref="R314:S314"/>
    <mergeCell ref="R305:S305"/>
    <mergeCell ref="R296:S296"/>
    <mergeCell ref="R287:S287"/>
    <mergeCell ref="R251:S251"/>
    <mergeCell ref="R242:S242"/>
    <mergeCell ref="R233:S233"/>
    <mergeCell ref="R224:S224"/>
    <mergeCell ref="R215:S215"/>
    <mergeCell ref="R206:S206"/>
    <mergeCell ref="R197:S197"/>
    <mergeCell ref="R188:S188"/>
    <mergeCell ref="R18:S18"/>
    <mergeCell ref="R179:S179"/>
    <mergeCell ref="R47:S47"/>
    <mergeCell ref="R48:S48"/>
    <mergeCell ref="R98:S98"/>
    <mergeCell ref="R107:S107"/>
    <mergeCell ref="T48:U48"/>
    <mergeCell ref="H4:P4"/>
    <mergeCell ref="A4:E4"/>
    <mergeCell ref="H6:N6"/>
    <mergeCell ref="G78:H78"/>
    <mergeCell ref="G79:H79"/>
    <mergeCell ref="G75:H75"/>
    <mergeCell ref="O17:P17"/>
    <mergeCell ref="G86:H86"/>
    <mergeCell ref="G85:H85"/>
    <mergeCell ref="G84:H84"/>
    <mergeCell ref="B7:E7"/>
    <mergeCell ref="T49:U49"/>
    <mergeCell ref="T50:U50"/>
    <mergeCell ref="G76:H76"/>
    <mergeCell ref="B5:C5"/>
    <mergeCell ref="B6:C6"/>
    <mergeCell ref="D2:E2"/>
    <mergeCell ref="B1:C1"/>
    <mergeCell ref="B2:C2"/>
    <mergeCell ref="AG98:AI98"/>
    <mergeCell ref="AJ98:AL98"/>
    <mergeCell ref="R5:U5"/>
    <mergeCell ref="R29:U29"/>
    <mergeCell ref="J96:K96"/>
    <mergeCell ref="H96:I96"/>
    <mergeCell ref="G80:H80"/>
    <mergeCell ref="G81:H81"/>
    <mergeCell ref="G82:H82"/>
    <mergeCell ref="G83:H83"/>
    <mergeCell ref="L96:Q96"/>
    <mergeCell ref="G94:H94"/>
    <mergeCell ref="G93:H93"/>
    <mergeCell ref="R45:S45"/>
    <mergeCell ref="R46:S46"/>
    <mergeCell ref="T43:U43"/>
    <mergeCell ref="T45:U45"/>
    <mergeCell ref="T46:U46"/>
    <mergeCell ref="R17:S17"/>
    <mergeCell ref="R43:S43"/>
    <mergeCell ref="T47:U47"/>
  </mergeCells>
  <phoneticPr fontId="0" type="noConversion"/>
  <conditionalFormatting sqref="F93:F471 A98:E476 P99:Q476 R98:S102 T98 T106:T107 T112:T116 T121:T125 R106:S476 U98:BK476 T130:T476 G367:O476 G98:G366 I98:O366">
    <cfRule type="notContainsBlanks" dxfId="54" priority="129" stopIfTrue="1">
      <formula>LEN(TRIM(A93))&gt;0</formula>
    </cfRule>
  </conditionalFormatting>
  <conditionalFormatting sqref="T98 T106:T107 T112:T116 T121:T125 T130:T137">
    <cfRule type="notContainsBlanks" dxfId="53" priority="12" stopIfTrue="1">
      <formula>LEN(TRIM(T98))&gt;0</formula>
    </cfRule>
  </conditionalFormatting>
  <conditionalFormatting sqref="T97">
    <cfRule type="notContainsBlanks" dxfId="52" priority="11" stopIfTrue="1">
      <formula>LEN(TRIM(T97))&gt;0</formula>
    </cfRule>
  </conditionalFormatting>
  <conditionalFormatting sqref="T151:T152 T157:T161 T166:T170 T175:T182">
    <cfRule type="notContainsBlanks" dxfId="51" priority="10" stopIfTrue="1">
      <formula>LEN(TRIM(T151))&gt;0</formula>
    </cfRule>
  </conditionalFormatting>
  <conditionalFormatting sqref="T196:T197 T202:T206 T211:T215 T220:T227">
    <cfRule type="notContainsBlanks" dxfId="50" priority="9" stopIfTrue="1">
      <formula>LEN(TRIM(T196))&gt;0</formula>
    </cfRule>
  </conditionalFormatting>
  <conditionalFormatting sqref="T241:T242 T247:T251 T256:T260 T265:T272">
    <cfRule type="notContainsBlanks" dxfId="49" priority="8" stopIfTrue="1">
      <formula>LEN(TRIM(T241))&gt;0</formula>
    </cfRule>
  </conditionalFormatting>
  <conditionalFormatting sqref="T286:T287 T292:T296 T301:T305 T310:T317">
    <cfRule type="notContainsBlanks" dxfId="48" priority="7" stopIfTrue="1">
      <formula>LEN(TRIM(T286))&gt;0</formula>
    </cfRule>
  </conditionalFormatting>
  <conditionalFormatting sqref="T326">
    <cfRule type="notContainsBlanks" dxfId="47" priority="6" stopIfTrue="1">
      <formula>LEN(TRIM(T326))&gt;0</formula>
    </cfRule>
  </conditionalFormatting>
  <conditionalFormatting sqref="T335">
    <cfRule type="notContainsBlanks" dxfId="46" priority="5" stopIfTrue="1">
      <formula>LEN(TRIM(T335))&gt;0</formula>
    </cfRule>
  </conditionalFormatting>
  <conditionalFormatting sqref="T344">
    <cfRule type="notContainsBlanks" dxfId="45" priority="4" stopIfTrue="1">
      <formula>LEN(TRIM(T344))&gt;0</formula>
    </cfRule>
  </conditionalFormatting>
  <conditionalFormatting sqref="T353">
    <cfRule type="notContainsBlanks" dxfId="44" priority="3" stopIfTrue="1">
      <formula>LEN(TRIM(T353))&gt;0</formula>
    </cfRule>
  </conditionalFormatting>
  <conditionalFormatting sqref="T362">
    <cfRule type="notContainsBlanks" dxfId="43" priority="2" stopIfTrue="1">
      <formula>LEN(TRIM(T362))&gt;0</formula>
    </cfRule>
  </conditionalFormatting>
  <conditionalFormatting sqref="H98:H366">
    <cfRule type="notContainsBlanks" dxfId="42" priority="1" stopIfTrue="1">
      <formula>LEN(TRIM(H98))&gt;0</formula>
    </cfRule>
  </conditionalFormatting>
  <pageMargins left="0.24" right="0.17" top="0.51" bottom="0.62" header="0.17" footer="0.67"/>
  <pageSetup paperSize="9" scale="35" orientation="portrait" r:id="rId1"/>
  <headerFooter alignWithMargins="0"/>
  <colBreaks count="2" manualBreakCount="2">
    <brk id="6" min="2" max="238" man="1"/>
    <brk id="16" max="1048575" man="1"/>
  </colBreaks>
  <ignoredErrors>
    <ignoredError sqref="I99:I1170" formula="1"/>
    <ignoredError sqref="C100:C224 C225:C421" unlockedFormula="1"/>
    <ignoredError sqref="B40 H16:L16 D39 B46 D42 B49 D48 B52 D51 B55 D54 B58 D57 B61 D60 D63 D40 D46 D49 D52 D55 D58 D61" evalError="1"/>
  </ignoredErrors>
  <drawing r:id="rId2"/>
  <legacyDrawing r:id="rId3"/>
  <oleObjects>
    <mc:AlternateContent xmlns:mc="http://schemas.openxmlformats.org/markup-compatibility/2006">
      <mc:Choice Requires="x14">
        <oleObject progId="Equation.3" shapeId="1026" r:id="rId4">
          <objectPr defaultSize="0" autoPict="0" r:id="rId5">
            <anchor moveWithCells="1">
              <from>
                <xdr:col>5</xdr:col>
                <xdr:colOff>304800</xdr:colOff>
                <xdr:row>46</xdr:row>
                <xdr:rowOff>104775</xdr:rowOff>
              </from>
              <to>
                <xdr:col>7</xdr:col>
                <xdr:colOff>1343025</xdr:colOff>
                <xdr:row>49</xdr:row>
                <xdr:rowOff>66675</xdr:rowOff>
              </to>
            </anchor>
          </objectPr>
        </oleObject>
      </mc:Choice>
      <mc:Fallback>
        <oleObject progId="Equation.3" shapeId="1026" r:id="rId4"/>
      </mc:Fallback>
    </mc:AlternateContent>
    <mc:AlternateContent xmlns:mc="http://schemas.openxmlformats.org/markup-compatibility/2006">
      <mc:Choice Requires="x14">
        <oleObject progId="Equation.3" shapeId="1028" r:id="rId6">
          <objectPr defaultSize="0" autoPict="0" r:id="rId7">
            <anchor moveWithCells="1">
              <from>
                <xdr:col>5</xdr:col>
                <xdr:colOff>333375</xdr:colOff>
                <xdr:row>55</xdr:row>
                <xdr:rowOff>142875</xdr:rowOff>
              </from>
              <to>
                <xdr:col>7</xdr:col>
                <xdr:colOff>9525</xdr:colOff>
                <xdr:row>59</xdr:row>
                <xdr:rowOff>57150</xdr:rowOff>
              </to>
            </anchor>
          </objectPr>
        </oleObject>
      </mc:Choice>
      <mc:Fallback>
        <oleObject progId="Equation.3" shapeId="1028" r:id="rId6"/>
      </mc:Fallback>
    </mc:AlternateContent>
    <mc:AlternateContent xmlns:mc="http://schemas.openxmlformats.org/markup-compatibility/2006">
      <mc:Choice Requires="x14">
        <oleObject progId="Equation.3" shapeId="1030" r:id="rId8">
          <objectPr defaultSize="0" autoPict="0" r:id="rId9">
            <anchor moveWithCells="1">
              <from>
                <xdr:col>5</xdr:col>
                <xdr:colOff>314325</xdr:colOff>
                <xdr:row>49</xdr:row>
                <xdr:rowOff>123825</xdr:rowOff>
              </from>
              <to>
                <xdr:col>7</xdr:col>
                <xdr:colOff>628650</xdr:colOff>
                <xdr:row>55</xdr:row>
                <xdr:rowOff>66675</xdr:rowOff>
              </to>
            </anchor>
          </objectPr>
        </oleObject>
      </mc:Choice>
      <mc:Fallback>
        <oleObject progId="Equation.3" shapeId="1030" r:id="rId8"/>
      </mc:Fallback>
    </mc:AlternateContent>
    <mc:AlternateContent xmlns:mc="http://schemas.openxmlformats.org/markup-compatibility/2006">
      <mc:Choice Requires="x14">
        <oleObject progId="Equation.3" shapeId="1040" r:id="rId10">
          <objectPr defaultSize="0" autoPict="0" r:id="rId11">
            <anchor moveWithCells="1">
              <from>
                <xdr:col>0</xdr:col>
                <xdr:colOff>66675</xdr:colOff>
                <xdr:row>66</xdr:row>
                <xdr:rowOff>85725</xdr:rowOff>
              </from>
              <to>
                <xdr:col>0</xdr:col>
                <xdr:colOff>2600325</xdr:colOff>
                <xdr:row>70</xdr:row>
                <xdr:rowOff>123825</xdr:rowOff>
              </to>
            </anchor>
          </objectPr>
        </oleObject>
      </mc:Choice>
      <mc:Fallback>
        <oleObject progId="Equation.3" shapeId="1040" r:id="rId10"/>
      </mc:Fallback>
    </mc:AlternateContent>
    <mc:AlternateContent xmlns:mc="http://schemas.openxmlformats.org/markup-compatibility/2006">
      <mc:Choice Requires="x14">
        <oleObject progId="Equation.3" shapeId="1042" r:id="rId12">
          <objectPr defaultSize="0" autoPict="0" r:id="rId13">
            <anchor moveWithCells="1">
              <from>
                <xdr:col>0</xdr:col>
                <xdr:colOff>57150</xdr:colOff>
                <xdr:row>63</xdr:row>
                <xdr:rowOff>47625</xdr:rowOff>
              </from>
              <to>
                <xdr:col>0</xdr:col>
                <xdr:colOff>885825</xdr:colOff>
                <xdr:row>66</xdr:row>
                <xdr:rowOff>66675</xdr:rowOff>
              </to>
            </anchor>
          </objectPr>
        </oleObject>
      </mc:Choice>
      <mc:Fallback>
        <oleObject progId="Equation.3" shapeId="1042" r:id="rId12"/>
      </mc:Fallback>
    </mc:AlternateContent>
    <mc:AlternateContent xmlns:mc="http://schemas.openxmlformats.org/markup-compatibility/2006">
      <mc:Choice Requires="x14">
        <oleObject progId="Equation.3" shapeId="1046" r:id="rId14">
          <objectPr defaultSize="0" autoPict="0" r:id="rId15">
            <anchor moveWithCells="1">
              <from>
                <xdr:col>6</xdr:col>
                <xdr:colOff>19050</xdr:colOff>
                <xdr:row>69</xdr:row>
                <xdr:rowOff>19050</xdr:rowOff>
              </from>
              <to>
                <xdr:col>7</xdr:col>
                <xdr:colOff>752475</xdr:colOff>
                <xdr:row>74</xdr:row>
                <xdr:rowOff>28575</xdr:rowOff>
              </to>
            </anchor>
          </objectPr>
        </oleObject>
      </mc:Choice>
      <mc:Fallback>
        <oleObject progId="Equation.3" shapeId="1046" r:id="rId14"/>
      </mc:Fallback>
    </mc:AlternateContent>
    <mc:AlternateContent xmlns:mc="http://schemas.openxmlformats.org/markup-compatibility/2006">
      <mc:Choice Requires="x14">
        <oleObject progId="Equation.3" shapeId="1048" r:id="rId16">
          <objectPr defaultSize="0" autoPict="0" r:id="rId17">
            <anchor moveWithCells="1">
              <from>
                <xdr:col>5</xdr:col>
                <xdr:colOff>361950</xdr:colOff>
                <xdr:row>79</xdr:row>
                <xdr:rowOff>142875</xdr:rowOff>
              </from>
              <to>
                <xdr:col>8</xdr:col>
                <xdr:colOff>942975</xdr:colOff>
                <xdr:row>86</xdr:row>
                <xdr:rowOff>133350</xdr:rowOff>
              </to>
            </anchor>
          </objectPr>
        </oleObject>
      </mc:Choice>
      <mc:Fallback>
        <oleObject progId="Equation.3" shapeId="1048" r:id="rId16"/>
      </mc:Fallback>
    </mc:AlternateContent>
    <mc:AlternateContent xmlns:mc="http://schemas.openxmlformats.org/markup-compatibility/2006">
      <mc:Choice Requires="x14">
        <oleObject progId="Equation.3" shapeId="1049" r:id="rId18">
          <objectPr defaultSize="0" autoPict="0" r:id="rId19">
            <anchor moveWithCells="1">
              <from>
                <xdr:col>10</xdr:col>
                <xdr:colOff>19050</xdr:colOff>
                <xdr:row>80</xdr:row>
                <xdr:rowOff>19050</xdr:rowOff>
              </from>
              <to>
                <xdr:col>12</xdr:col>
                <xdr:colOff>276225</xdr:colOff>
                <xdr:row>83</xdr:row>
                <xdr:rowOff>28575</xdr:rowOff>
              </to>
            </anchor>
          </objectPr>
        </oleObject>
      </mc:Choice>
      <mc:Fallback>
        <oleObject progId="Equation.3" shapeId="1049" r:id="rId18"/>
      </mc:Fallback>
    </mc:AlternateContent>
    <mc:AlternateContent xmlns:mc="http://schemas.openxmlformats.org/markup-compatibility/2006">
      <mc:Choice Requires="x14">
        <oleObject progId="Equation.3" shapeId="1053" r:id="rId20">
          <objectPr defaultSize="0" autoPict="0" r:id="rId21">
            <anchor moveWithCells="1">
              <from>
                <xdr:col>6</xdr:col>
                <xdr:colOff>19050</xdr:colOff>
                <xdr:row>61</xdr:row>
                <xdr:rowOff>38100</xdr:rowOff>
              </from>
              <to>
                <xdr:col>8</xdr:col>
                <xdr:colOff>581025</xdr:colOff>
                <xdr:row>67</xdr:row>
                <xdr:rowOff>57150</xdr:rowOff>
              </to>
            </anchor>
          </objectPr>
        </oleObject>
      </mc:Choice>
      <mc:Fallback>
        <oleObject progId="Equation.3" shapeId="1053" r:id="rId20"/>
      </mc:Fallback>
    </mc:AlternateContent>
    <mc:AlternateContent xmlns:mc="http://schemas.openxmlformats.org/markup-compatibility/2006">
      <mc:Choice Requires="x14">
        <oleObject progId="Equation.3" shapeId="1072" r:id="rId22">
          <objectPr defaultSize="0" autoPict="0" r:id="rId23">
            <anchor moveWithCells="1">
              <from>
                <xdr:col>0</xdr:col>
                <xdr:colOff>76200</xdr:colOff>
                <xdr:row>74</xdr:row>
                <xdr:rowOff>57150</xdr:rowOff>
              </from>
              <to>
                <xdr:col>0</xdr:col>
                <xdr:colOff>1362075</xdr:colOff>
                <xdr:row>78</xdr:row>
                <xdr:rowOff>28575</xdr:rowOff>
              </to>
            </anchor>
          </objectPr>
        </oleObject>
      </mc:Choice>
      <mc:Fallback>
        <oleObject progId="Equation.3" shapeId="1072" r:id="rId22"/>
      </mc:Fallback>
    </mc:AlternateContent>
    <mc:AlternateContent xmlns:mc="http://schemas.openxmlformats.org/markup-compatibility/2006">
      <mc:Choice Requires="x14">
        <oleObject progId="Equation.3" shapeId="1073" r:id="rId24">
          <objectPr defaultSize="0" autoPict="0" r:id="rId25">
            <anchor moveWithCells="1">
              <from>
                <xdr:col>0</xdr:col>
                <xdr:colOff>104775</xdr:colOff>
                <xdr:row>83</xdr:row>
                <xdr:rowOff>19050</xdr:rowOff>
              </from>
              <to>
                <xdr:col>1</xdr:col>
                <xdr:colOff>600075</xdr:colOff>
                <xdr:row>87</xdr:row>
                <xdr:rowOff>66675</xdr:rowOff>
              </to>
            </anchor>
          </objectPr>
        </oleObject>
      </mc:Choice>
      <mc:Fallback>
        <oleObject progId="Equation.3" shapeId="1073" r:id="rId24"/>
      </mc:Fallback>
    </mc:AlternateContent>
    <mc:AlternateContent xmlns:mc="http://schemas.openxmlformats.org/markup-compatibility/2006">
      <mc:Choice Requires="x14">
        <oleObject progId="Equation.3" shapeId="1078" r:id="rId26">
          <objectPr defaultSize="0" r:id="rId27">
            <anchor moveWithCells="1">
              <from>
                <xdr:col>0</xdr:col>
                <xdr:colOff>85725</xdr:colOff>
                <xdr:row>78</xdr:row>
                <xdr:rowOff>76200</xdr:rowOff>
              </from>
              <to>
                <xdr:col>0</xdr:col>
                <xdr:colOff>1190625</xdr:colOff>
                <xdr:row>82</xdr:row>
                <xdr:rowOff>0</xdr:rowOff>
              </to>
            </anchor>
          </objectPr>
        </oleObject>
      </mc:Choice>
      <mc:Fallback>
        <oleObject progId="Equation.3" shapeId="1078" r:id="rId26"/>
      </mc:Fallback>
    </mc:AlternateContent>
    <mc:AlternateContent xmlns:mc="http://schemas.openxmlformats.org/markup-compatibility/2006">
      <mc:Choice Requires="x14">
        <oleObject progId="Equation.3" shapeId="354211" r:id="rId28">
          <objectPr defaultSize="0" autoPict="0" r:id="rId29">
            <anchor moveWithCells="1">
              <from>
                <xdr:col>10</xdr:col>
                <xdr:colOff>180975</xdr:colOff>
                <xdr:row>86</xdr:row>
                <xdr:rowOff>38100</xdr:rowOff>
              </from>
              <to>
                <xdr:col>12</xdr:col>
                <xdr:colOff>95250</xdr:colOff>
                <xdr:row>93</xdr:row>
                <xdr:rowOff>57150</xdr:rowOff>
              </to>
            </anchor>
          </objectPr>
        </oleObject>
      </mc:Choice>
      <mc:Fallback>
        <oleObject progId="Equation.3" shapeId="354211" r:id="rId28"/>
      </mc:Fallback>
    </mc:AlternateContent>
    <mc:AlternateContent xmlns:mc="http://schemas.openxmlformats.org/markup-compatibility/2006">
      <mc:Choice Requires="x14">
        <oleObject progId="Equation.3" shapeId="354212" r:id="rId30">
          <objectPr defaultSize="0" autoPict="0" r:id="rId31">
            <anchor moveWithCells="1">
              <from>
                <xdr:col>6</xdr:col>
                <xdr:colOff>171450</xdr:colOff>
                <xdr:row>74</xdr:row>
                <xdr:rowOff>123825</xdr:rowOff>
              </from>
              <to>
                <xdr:col>7</xdr:col>
                <xdr:colOff>38100</xdr:colOff>
                <xdr:row>78</xdr:row>
                <xdr:rowOff>9525</xdr:rowOff>
              </to>
            </anchor>
          </objectPr>
        </oleObject>
      </mc:Choice>
      <mc:Fallback>
        <oleObject progId="Equation.3" shapeId="354212" r:id="rId3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D70"/>
  <sheetViews>
    <sheetView topLeftCell="A10" zoomScale="70" zoomScaleNormal="70" workbookViewId="0">
      <selection activeCell="S4" sqref="S4"/>
    </sheetView>
  </sheetViews>
  <sheetFormatPr defaultRowHeight="18.75" customHeight="1" x14ac:dyDescent="0.2"/>
  <cols>
    <col min="1" max="1" width="9.140625" style="339"/>
    <col min="2" max="5" width="22.42578125" style="339" customWidth="1"/>
    <col min="6" max="6" width="16" style="339" customWidth="1"/>
    <col min="7" max="7" width="17.42578125" style="340" bestFit="1" customWidth="1"/>
    <col min="8" max="8" width="17.5703125" style="339" customWidth="1"/>
    <col min="9" max="9" width="15.42578125" style="339" customWidth="1"/>
    <col min="10" max="11" width="9.140625" style="339"/>
    <col min="12" max="12" width="9.42578125" style="339" customWidth="1"/>
    <col min="13" max="13" width="23.140625" style="339" customWidth="1"/>
    <col min="14" max="16" width="19.85546875" style="339" customWidth="1"/>
    <col min="17" max="17" width="38.28515625" style="339" customWidth="1"/>
    <col min="18" max="18" width="25.28515625" style="339" customWidth="1"/>
    <col min="19" max="19" width="24.28515625" style="339" customWidth="1"/>
    <col min="20" max="20" width="23.85546875" style="339" customWidth="1"/>
    <col min="21" max="21" width="19.85546875" style="339" customWidth="1"/>
    <col min="22" max="22" width="27.140625" style="339" customWidth="1"/>
    <col min="23" max="25" width="15.5703125" style="339" customWidth="1"/>
    <col min="26" max="26" width="15.5703125" style="341" customWidth="1"/>
    <col min="27" max="27" width="15.5703125" style="339" customWidth="1"/>
    <col min="28" max="28" width="9.140625" style="339"/>
    <col min="29" max="29" width="9.140625" style="342"/>
    <col min="30" max="30" width="16.28515625" style="340" customWidth="1"/>
    <col min="31" max="16384" width="9.140625" style="339"/>
  </cols>
  <sheetData>
    <row r="1" spans="2:29" ht="18.75" customHeight="1" thickBot="1" x14ac:dyDescent="0.25"/>
    <row r="2" spans="2:29" ht="18.75" customHeight="1" thickBot="1" x14ac:dyDescent="0.25">
      <c r="B2" s="604" t="s">
        <v>253</v>
      </c>
      <c r="C2" s="605"/>
      <c r="D2" s="605"/>
      <c r="E2" s="606"/>
      <c r="G2" s="604" t="s">
        <v>254</v>
      </c>
      <c r="H2" s="605"/>
      <c r="I2" s="606"/>
      <c r="J2" s="343"/>
      <c r="K2" s="343"/>
      <c r="L2" s="343"/>
      <c r="M2" s="343"/>
      <c r="N2" s="607" t="s">
        <v>255</v>
      </c>
      <c r="O2" s="608"/>
      <c r="P2" s="608"/>
      <c r="Q2" s="609"/>
      <c r="R2" s="607" t="s">
        <v>256</v>
      </c>
      <c r="S2" s="608"/>
      <c r="T2" s="608"/>
      <c r="U2" s="608"/>
      <c r="V2" s="609"/>
      <c r="W2" s="607" t="s">
        <v>257</v>
      </c>
      <c r="X2" s="608"/>
      <c r="Y2" s="608"/>
      <c r="Z2" s="608"/>
      <c r="AA2" s="609"/>
      <c r="AB2" s="343"/>
      <c r="AC2" s="344"/>
    </row>
    <row r="3" spans="2:29" ht="18.75" customHeight="1" x14ac:dyDescent="0.2">
      <c r="G3" s="345" t="s">
        <v>258</v>
      </c>
      <c r="H3" s="346">
        <f>' Principal'!B9</f>
        <v>10005</v>
      </c>
      <c r="I3" s="347" t="s">
        <v>259</v>
      </c>
      <c r="J3" s="343"/>
      <c r="K3" s="343"/>
      <c r="L3" s="343"/>
      <c r="M3" s="343"/>
      <c r="N3" s="348"/>
      <c r="O3" s="348"/>
      <c r="P3" s="348"/>
      <c r="Q3" s="348"/>
      <c r="R3" s="348"/>
      <c r="S3" s="348"/>
      <c r="T3" s="348"/>
      <c r="U3" s="348"/>
      <c r="V3" s="348"/>
      <c r="W3" s="348"/>
      <c r="X3" s="348"/>
      <c r="Y3" s="348"/>
      <c r="Z3" s="349"/>
      <c r="AA3" s="348"/>
      <c r="AB3" s="343"/>
    </row>
    <row r="4" spans="2:29" ht="18.75" customHeight="1" x14ac:dyDescent="0.2">
      <c r="B4" s="602" t="s">
        <v>260</v>
      </c>
      <c r="C4" s="610"/>
      <c r="D4" s="602"/>
      <c r="E4" s="602"/>
      <c r="G4" s="350" t="s">
        <v>261</v>
      </c>
      <c r="H4" s="351">
        <f>' Principal'!B38</f>
        <v>132.94860709721314</v>
      </c>
      <c r="I4" s="352" t="s">
        <v>259</v>
      </c>
      <c r="J4" s="343"/>
      <c r="K4" s="343"/>
      <c r="L4" s="343"/>
      <c r="M4" s="343"/>
      <c r="N4" s="353" t="s">
        <v>262</v>
      </c>
      <c r="O4" s="353" t="s">
        <v>263</v>
      </c>
      <c r="P4" s="353" t="s">
        <v>264</v>
      </c>
      <c r="Q4" s="354" t="s">
        <v>265</v>
      </c>
      <c r="R4" s="353" t="s">
        <v>266</v>
      </c>
      <c r="S4" s="353" t="s">
        <v>267</v>
      </c>
      <c r="T4" s="353" t="s">
        <v>268</v>
      </c>
      <c r="U4" s="353" t="s">
        <v>269</v>
      </c>
      <c r="V4" s="354" t="s">
        <v>270</v>
      </c>
      <c r="W4" s="353" t="s">
        <v>271</v>
      </c>
      <c r="X4" s="353" t="s">
        <v>272</v>
      </c>
      <c r="Y4" s="353" t="s">
        <v>38</v>
      </c>
      <c r="Z4" s="355" t="s">
        <v>273</v>
      </c>
      <c r="AA4" s="354" t="s">
        <v>274</v>
      </c>
      <c r="AB4" s="343"/>
      <c r="AC4" s="356"/>
    </row>
    <row r="5" spans="2:29" ht="18.75" customHeight="1" x14ac:dyDescent="0.2">
      <c r="B5" s="505" t="s">
        <v>278</v>
      </c>
      <c r="C5" s="508">
        <f>'Massas Corrigidas'!B27</f>
        <v>15.090319819380001</v>
      </c>
      <c r="D5" s="506"/>
      <c r="E5" s="507"/>
      <c r="G5" s="357" t="s">
        <v>279</v>
      </c>
      <c r="H5" s="358">
        <f>' Principal'!B41</f>
        <v>0.52136629353133102</v>
      </c>
      <c r="I5" s="359" t="s">
        <v>259</v>
      </c>
      <c r="J5" s="343"/>
      <c r="K5" s="343"/>
      <c r="N5" s="360">
        <f>$H$7</f>
        <v>5.0607198546863226E-3</v>
      </c>
      <c r="O5" s="361">
        <f t="shared" ref="O5:O11" si="0">D64</f>
        <v>73439.33142857143</v>
      </c>
      <c r="P5" s="362">
        <f>($H$14*N5)+$H$15</f>
        <v>75799.800005436293</v>
      </c>
      <c r="Q5" s="363">
        <f>O5-P5</f>
        <v>-2360.4685768648633</v>
      </c>
      <c r="R5" s="364">
        <f t="shared" ref="R5:R46" si="1">(P5-$O$47)^2</f>
        <v>8352252168.4902515</v>
      </c>
      <c r="S5" s="364">
        <f>(O5-P5)^2</f>
        <v>5571811.9023664333</v>
      </c>
      <c r="T5" s="364">
        <f t="shared" ref="T5:T11" si="2">(P5-(AVERAGE($O$5:$O$11)))^2</f>
        <v>54593.660191439973</v>
      </c>
      <c r="U5" s="364">
        <f t="shared" ref="U5:U11" si="3">(O5-(AVERAGE($O$5:$O$11)))^2</f>
        <v>4523345.0825325688</v>
      </c>
      <c r="V5" s="365">
        <f>(O5-$O$47)^2</f>
        <v>8789273528.0524101</v>
      </c>
      <c r="W5" s="364">
        <f t="shared" ref="W5:W46" si="4">$Q$47+$Q$53</f>
        <v>7177.3831366884051</v>
      </c>
      <c r="X5" s="364">
        <f t="shared" ref="X5:X46" si="5">$Q$47-$Q$53</f>
        <v>-7177.3831366882141</v>
      </c>
      <c r="Y5" s="364">
        <f t="shared" ref="Y5:Y46" si="6">$Q$47</f>
        <v>9.528039732859248E-11</v>
      </c>
      <c r="Z5" s="366"/>
      <c r="AA5" s="365"/>
      <c r="AB5" s="343"/>
      <c r="AC5" s="356"/>
    </row>
    <row r="6" spans="2:29" ht="18.75" customHeight="1" x14ac:dyDescent="0.2">
      <c r="B6" s="505" t="s">
        <v>280</v>
      </c>
      <c r="C6" s="508">
        <f>'Massas Corrigidas'!B28</f>
        <v>15.752518494979999</v>
      </c>
      <c r="D6" s="506" t="s">
        <v>281</v>
      </c>
      <c r="E6" s="509">
        <f>C6-C5</f>
        <v>0.66219867559999734</v>
      </c>
      <c r="G6" s="367" t="s">
        <v>282</v>
      </c>
      <c r="H6" s="368">
        <v>0</v>
      </c>
      <c r="I6" s="369" t="s">
        <v>259</v>
      </c>
      <c r="J6" s="370"/>
      <c r="K6" s="343"/>
      <c r="N6" s="360">
        <f t="shared" ref="N6:N11" si="7">$H$7</f>
        <v>5.0607198546863226E-3</v>
      </c>
      <c r="O6" s="361">
        <f t="shared" si="0"/>
        <v>74709.571428571435</v>
      </c>
      <c r="P6" s="362">
        <f t="shared" ref="P6:P46" si="8">($H$14*N6)+$H$15</f>
        <v>75799.800005436293</v>
      </c>
      <c r="Q6" s="363">
        <f>O6-P6</f>
        <v>-1090.228576864858</v>
      </c>
      <c r="R6" s="364">
        <f t="shared" si="1"/>
        <v>8352252168.4902515</v>
      </c>
      <c r="S6" s="364">
        <f t="shared" ref="S6:S46" si="9">(O6-P6)^2</f>
        <v>1188598.3498127738</v>
      </c>
      <c r="T6" s="364">
        <f t="shared" si="2"/>
        <v>54593.660191439973</v>
      </c>
      <c r="U6" s="364">
        <f t="shared" si="3"/>
        <v>733721.95430403866</v>
      </c>
      <c r="V6" s="365">
        <f t="shared" ref="V6:V46" si="10">(O6-$O$47)^2</f>
        <v>8552714178.4602566</v>
      </c>
      <c r="W6" s="364">
        <f t="shared" si="4"/>
        <v>7177.3831366884051</v>
      </c>
      <c r="X6" s="364">
        <f t="shared" si="5"/>
        <v>-7177.3831366882141</v>
      </c>
      <c r="Y6" s="364">
        <f t="shared" si="6"/>
        <v>9.528039732859248E-11</v>
      </c>
      <c r="Z6" s="371">
        <f>Q6-Q5</f>
        <v>1270.2400000000052</v>
      </c>
      <c r="AA6" s="365">
        <f>Q5</f>
        <v>-2360.4685768648633</v>
      </c>
      <c r="AB6" s="343"/>
      <c r="AC6" s="374"/>
    </row>
    <row r="7" spans="2:29" ht="18.75" customHeight="1" x14ac:dyDescent="0.2">
      <c r="B7" s="510" t="s">
        <v>283</v>
      </c>
      <c r="C7" s="508">
        <f>'Massas Corrigidas'!B29</f>
        <v>64.923844923810009</v>
      </c>
      <c r="D7" s="506" t="s">
        <v>284</v>
      </c>
      <c r="E7" s="509">
        <f>C7-C5</f>
        <v>49.833525104430009</v>
      </c>
      <c r="G7" s="375" t="s">
        <v>176</v>
      </c>
      <c r="H7" s="376">
        <f>E16*$H$5/E17</f>
        <v>5.0607198546863226E-3</v>
      </c>
      <c r="I7" s="377" t="s">
        <v>259</v>
      </c>
      <c r="J7" s="370"/>
      <c r="K7" s="343"/>
      <c r="N7" s="360">
        <f t="shared" si="7"/>
        <v>5.0607198546863226E-3</v>
      </c>
      <c r="O7" s="361">
        <f t="shared" si="0"/>
        <v>75383.991428571433</v>
      </c>
      <c r="P7" s="362">
        <f t="shared" si="8"/>
        <v>75799.800005436293</v>
      </c>
      <c r="Q7" s="363">
        <f>O7-P7</f>
        <v>-415.80857686485979</v>
      </c>
      <c r="R7" s="364">
        <f t="shared" si="1"/>
        <v>8352252168.4902515</v>
      </c>
      <c r="S7" s="364">
        <f t="shared" si="9"/>
        <v>172896.77259438002</v>
      </c>
      <c r="T7" s="364">
        <f t="shared" si="2"/>
        <v>54593.660191439973</v>
      </c>
      <c r="U7" s="364">
        <f t="shared" si="3"/>
        <v>33180.704246930261</v>
      </c>
      <c r="V7" s="365">
        <f t="shared" si="10"/>
        <v>8428427103.2309523</v>
      </c>
      <c r="W7" s="364">
        <f t="shared" si="4"/>
        <v>7177.3831366884051</v>
      </c>
      <c r="X7" s="364">
        <f t="shared" si="5"/>
        <v>-7177.3831366882141</v>
      </c>
      <c r="Y7" s="364">
        <f t="shared" si="6"/>
        <v>9.528039732859248E-11</v>
      </c>
      <c r="Z7" s="371">
        <f>Q7-Q6</f>
        <v>674.41999999999825</v>
      </c>
      <c r="AA7" s="365">
        <f>Q6</f>
        <v>-1090.228576864858</v>
      </c>
      <c r="AB7" s="343"/>
      <c r="AC7" s="374"/>
    </row>
    <row r="8" spans="2:29" ht="18.75" customHeight="1" x14ac:dyDescent="0.2">
      <c r="B8" s="379"/>
      <c r="C8" s="379"/>
      <c r="D8" s="379"/>
      <c r="E8" s="379"/>
      <c r="G8" s="372" t="s">
        <v>177</v>
      </c>
      <c r="H8" s="380">
        <f>E21*$H$5/E22</f>
        <v>7.6901959430766198E-3</v>
      </c>
      <c r="I8" s="381" t="s">
        <v>259</v>
      </c>
      <c r="J8" s="370"/>
      <c r="K8" s="343"/>
      <c r="N8" s="360">
        <f t="shared" si="7"/>
        <v>5.0607198546863226E-3</v>
      </c>
      <c r="O8" s="361">
        <f t="shared" si="0"/>
        <v>76085.281428571427</v>
      </c>
      <c r="P8" s="362">
        <f t="shared" si="8"/>
        <v>75799.800005436293</v>
      </c>
      <c r="Q8" s="363">
        <f t="shared" ref="Q8:Q46" si="11">O8-P8</f>
        <v>285.48142313513381</v>
      </c>
      <c r="R8" s="364">
        <f t="shared" si="1"/>
        <v>8352252168.4902515</v>
      </c>
      <c r="S8" s="364">
        <f t="shared" si="9"/>
        <v>81499.642955261312</v>
      </c>
      <c r="T8" s="364">
        <f t="shared" si="2"/>
        <v>54593.660191439973</v>
      </c>
      <c r="U8" s="364">
        <f t="shared" si="3"/>
        <v>269500.40660409926</v>
      </c>
      <c r="V8" s="365">
        <f t="shared" si="10"/>
        <v>8300152998.5474577</v>
      </c>
      <c r="W8" s="364">
        <f t="shared" si="4"/>
        <v>7177.3831366884051</v>
      </c>
      <c r="X8" s="364">
        <f t="shared" si="5"/>
        <v>-7177.3831366882141</v>
      </c>
      <c r="Y8" s="364">
        <f t="shared" si="6"/>
        <v>9.528039732859248E-11</v>
      </c>
      <c r="Z8" s="371">
        <f t="shared" ref="Z8:Z12" si="12">Q8-Q7</f>
        <v>701.2899999999936</v>
      </c>
      <c r="AA8" s="365">
        <f>Q7</f>
        <v>-415.80857686485979</v>
      </c>
      <c r="AB8" s="343"/>
      <c r="AC8" s="374"/>
    </row>
    <row r="9" spans="2:29" ht="18.75" customHeight="1" x14ac:dyDescent="0.2">
      <c r="B9" s="602" t="s">
        <v>279</v>
      </c>
      <c r="C9" s="602"/>
      <c r="D9" s="602"/>
      <c r="E9" s="602"/>
      <c r="G9" s="375" t="s">
        <v>178</v>
      </c>
      <c r="H9" s="376">
        <f>E26*$H$5/E27</f>
        <v>9.4798151909143251E-3</v>
      </c>
      <c r="I9" s="377" t="s">
        <v>259</v>
      </c>
      <c r="J9" s="370"/>
      <c r="K9" s="343"/>
      <c r="N9" s="360">
        <f t="shared" si="7"/>
        <v>5.0607198546863226E-3</v>
      </c>
      <c r="O9" s="361">
        <f t="shared" si="0"/>
        <v>76761.001428571428</v>
      </c>
      <c r="P9" s="362">
        <f t="shared" si="8"/>
        <v>75799.800005436293</v>
      </c>
      <c r="Q9" s="363">
        <f t="shared" si="11"/>
        <v>961.20142313513497</v>
      </c>
      <c r="R9" s="364">
        <f t="shared" si="1"/>
        <v>8352252168.4902515</v>
      </c>
      <c r="S9" s="364">
        <f t="shared" si="9"/>
        <v>923908.17583700875</v>
      </c>
      <c r="T9" s="364">
        <f t="shared" si="2"/>
        <v>54593.660191439973</v>
      </c>
      <c r="U9" s="364">
        <f t="shared" si="3"/>
        <v>1427676.7640898393</v>
      </c>
      <c r="V9" s="365">
        <f t="shared" si="10"/>
        <v>8177486417.720315</v>
      </c>
      <c r="W9" s="364">
        <f t="shared" si="4"/>
        <v>7177.3831366884051</v>
      </c>
      <c r="X9" s="364">
        <f t="shared" si="5"/>
        <v>-7177.3831366882141</v>
      </c>
      <c r="Y9" s="364">
        <f t="shared" si="6"/>
        <v>9.528039732859248E-11</v>
      </c>
      <c r="Z9" s="371">
        <f t="shared" si="12"/>
        <v>675.72000000000116</v>
      </c>
      <c r="AA9" s="365">
        <f t="shared" ref="AA9:AA46" si="13">Q8</f>
        <v>285.48142313513381</v>
      </c>
      <c r="AB9" s="343"/>
      <c r="AC9" s="374"/>
    </row>
    <row r="10" spans="2:29" ht="18.75" customHeight="1" x14ac:dyDescent="0.2">
      <c r="B10" s="505" t="s">
        <v>278</v>
      </c>
      <c r="C10" s="508">
        <f>'Massas Corrigidas'!B32</f>
        <v>14.89503020996</v>
      </c>
      <c r="D10" s="506"/>
      <c r="E10" s="507"/>
      <c r="G10" s="372" t="s">
        <v>179</v>
      </c>
      <c r="H10" s="380">
        <f>E31*$H$5/E32</f>
        <v>1.1634202105838006E-2</v>
      </c>
      <c r="I10" s="381" t="s">
        <v>259</v>
      </c>
      <c r="J10" s="370"/>
      <c r="K10" s="343"/>
      <c r="N10" s="360">
        <f t="shared" si="7"/>
        <v>5.0607198546863226E-3</v>
      </c>
      <c r="O10" s="361">
        <f t="shared" si="0"/>
        <v>76516.321428571435</v>
      </c>
      <c r="P10" s="362">
        <f t="shared" si="8"/>
        <v>75799.800005436293</v>
      </c>
      <c r="Q10" s="363">
        <f t="shared" si="11"/>
        <v>716.52142313514196</v>
      </c>
      <c r="R10" s="364">
        <f t="shared" si="1"/>
        <v>8352252168.4902515</v>
      </c>
      <c r="S10" s="364">
        <f t="shared" si="9"/>
        <v>513402.94981160917</v>
      </c>
      <c r="T10" s="364">
        <f t="shared" si="2"/>
        <v>54593.660191439973</v>
      </c>
      <c r="U10" s="364">
        <f t="shared" si="3"/>
        <v>902831.17323270079</v>
      </c>
      <c r="V10" s="365">
        <f t="shared" si="10"/>
        <v>8221798844.3545427</v>
      </c>
      <c r="W10" s="364">
        <f t="shared" si="4"/>
        <v>7177.3831366884051</v>
      </c>
      <c r="X10" s="364">
        <f t="shared" si="5"/>
        <v>-7177.3831366882141</v>
      </c>
      <c r="Y10" s="364">
        <f t="shared" si="6"/>
        <v>9.528039732859248E-11</v>
      </c>
      <c r="Z10" s="371">
        <f t="shared" si="12"/>
        <v>-244.67999999999302</v>
      </c>
      <c r="AA10" s="365">
        <f t="shared" si="13"/>
        <v>961.20142313513497</v>
      </c>
      <c r="AB10" s="343"/>
      <c r="AC10" s="374"/>
    </row>
    <row r="11" spans="2:29" ht="18.75" customHeight="1" x14ac:dyDescent="0.2">
      <c r="B11" s="505" t="s">
        <v>280</v>
      </c>
      <c r="C11" s="508">
        <f>'Massas Corrigidas'!B33</f>
        <v>15.094759810500001</v>
      </c>
      <c r="D11" s="506" t="s">
        <v>281</v>
      </c>
      <c r="E11" s="509">
        <f>C11-C10</f>
        <v>0.19972960054000133</v>
      </c>
      <c r="G11" s="375" t="s">
        <v>180</v>
      </c>
      <c r="H11" s="376">
        <f>E36*$H$5/E37</f>
        <v>1.4498360072169121E-2</v>
      </c>
      <c r="I11" s="377" t="s">
        <v>259</v>
      </c>
      <c r="J11" s="370"/>
      <c r="K11" s="343"/>
      <c r="N11" s="360">
        <f t="shared" si="7"/>
        <v>5.0607198546863226E-3</v>
      </c>
      <c r="O11" s="361">
        <f t="shared" si="0"/>
        <v>76067.531428571427</v>
      </c>
      <c r="P11" s="362">
        <f t="shared" si="8"/>
        <v>75799.800005436293</v>
      </c>
      <c r="Q11" s="363">
        <f t="shared" si="11"/>
        <v>267.73142313513381</v>
      </c>
      <c r="R11" s="364">
        <f t="shared" si="1"/>
        <v>8352252168.4902515</v>
      </c>
      <c r="S11" s="364">
        <f t="shared" si="9"/>
        <v>71680.114933964069</v>
      </c>
      <c r="T11" s="364">
        <f t="shared" si="2"/>
        <v>54593.660191439973</v>
      </c>
      <c r="U11" s="364">
        <f t="shared" si="3"/>
        <v>251386.20196124149</v>
      </c>
      <c r="V11" s="365">
        <f t="shared" si="10"/>
        <v>8303387547.3393631</v>
      </c>
      <c r="W11" s="364">
        <f t="shared" si="4"/>
        <v>7177.3831366884051</v>
      </c>
      <c r="X11" s="364">
        <f t="shared" si="5"/>
        <v>-7177.3831366882141</v>
      </c>
      <c r="Y11" s="364">
        <f t="shared" si="6"/>
        <v>9.528039732859248E-11</v>
      </c>
      <c r="Z11" s="371">
        <f t="shared" si="12"/>
        <v>-448.79000000000815</v>
      </c>
      <c r="AA11" s="365">
        <f t="shared" si="13"/>
        <v>716.52142313514196</v>
      </c>
      <c r="AB11" s="343"/>
      <c r="AC11" s="374"/>
    </row>
    <row r="12" spans="2:29" ht="18.75" customHeight="1" x14ac:dyDescent="0.2">
      <c r="B12" s="510" t="s">
        <v>283</v>
      </c>
      <c r="C12" s="508">
        <f>'Massas Corrigidas'!B34</f>
        <v>65.826155826120001</v>
      </c>
      <c r="D12" s="506" t="s">
        <v>284</v>
      </c>
      <c r="E12" s="509">
        <f>C12-C10</f>
        <v>50.931125616160003</v>
      </c>
      <c r="G12" s="382" t="s">
        <v>181</v>
      </c>
      <c r="H12" s="385">
        <f>E41*$H$5/E42</f>
        <v>1.8994881689350367E-2</v>
      </c>
      <c r="I12" s="386" t="s">
        <v>259</v>
      </c>
      <c r="J12" s="343"/>
      <c r="K12" s="343"/>
      <c r="L12" s="343"/>
      <c r="M12" s="370"/>
      <c r="N12" s="387">
        <f t="shared" ref="N12:N18" si="14">$H$8</f>
        <v>7.6901959430766198E-3</v>
      </c>
      <c r="O12" s="388">
        <f t="shared" ref="O12:O18" si="15">E64</f>
        <v>114422.95142857142</v>
      </c>
      <c r="P12" s="389">
        <f t="shared" si="8"/>
        <v>114775.38807927619</v>
      </c>
      <c r="Q12" s="390">
        <f>O12-P12</f>
        <v>-352.43665070476709</v>
      </c>
      <c r="R12" s="391">
        <f t="shared" si="1"/>
        <v>2747339439.9804039</v>
      </c>
      <c r="S12" s="391">
        <f t="shared" si="9"/>
        <v>124211.592759994</v>
      </c>
      <c r="T12" s="391">
        <f t="shared" ref="T12:T18" si="16">(P12-(AVERAGE($O$12:$O$18)))^2</f>
        <v>2059730.7435260247</v>
      </c>
      <c r="U12" s="391">
        <f t="shared" ref="U12:U18" si="17">(O12-(AVERAGE($O$12:$O$18)))^2</f>
        <v>3195559.7270224458</v>
      </c>
      <c r="V12" s="392">
        <f t="shared" si="10"/>
        <v>2784409634.1797919</v>
      </c>
      <c r="W12" s="391">
        <f t="shared" si="4"/>
        <v>7177.3831366884051</v>
      </c>
      <c r="X12" s="391">
        <f t="shared" si="5"/>
        <v>-7177.3831366882141</v>
      </c>
      <c r="Y12" s="391">
        <f t="shared" si="6"/>
        <v>9.528039732859248E-11</v>
      </c>
      <c r="Z12" s="393">
        <f t="shared" si="12"/>
        <v>-620.1680738399009</v>
      </c>
      <c r="AA12" s="392">
        <f>Q11</f>
        <v>267.73142313513381</v>
      </c>
      <c r="AB12" s="343"/>
      <c r="AC12" s="374"/>
    </row>
    <row r="13" spans="2:29" ht="18.75" customHeight="1" x14ac:dyDescent="0.2">
      <c r="B13" s="379"/>
      <c r="C13" s="379"/>
      <c r="D13" s="379"/>
      <c r="E13" s="379"/>
      <c r="G13" s="603" t="s">
        <v>287</v>
      </c>
      <c r="H13" s="603"/>
      <c r="J13" s="343"/>
      <c r="K13" s="343"/>
      <c r="L13" s="343"/>
      <c r="M13" s="370"/>
      <c r="N13" s="387">
        <f t="shared" si="14"/>
        <v>7.6901959430766198E-3</v>
      </c>
      <c r="O13" s="388">
        <f t="shared" si="15"/>
        <v>114855.20142857142</v>
      </c>
      <c r="P13" s="389">
        <f t="shared" si="8"/>
        <v>114775.38807927619</v>
      </c>
      <c r="Q13" s="390">
        <f t="shared" si="11"/>
        <v>79.813349295232911</v>
      </c>
      <c r="R13" s="391">
        <f t="shared" si="1"/>
        <v>2747339439.9804039</v>
      </c>
      <c r="S13" s="391">
        <f t="shared" si="9"/>
        <v>6370.1707257228554</v>
      </c>
      <c r="T13" s="391">
        <f t="shared" si="16"/>
        <v>2059730.7435260247</v>
      </c>
      <c r="U13" s="391">
        <f t="shared" si="17"/>
        <v>1837008.4745224465</v>
      </c>
      <c r="V13" s="392">
        <f t="shared" si="10"/>
        <v>2738978965.7581253</v>
      </c>
      <c r="W13" s="391">
        <f t="shared" si="4"/>
        <v>7177.3831366884051</v>
      </c>
      <c r="X13" s="391">
        <f t="shared" si="5"/>
        <v>-7177.3831366882141</v>
      </c>
      <c r="Y13" s="391">
        <f t="shared" si="6"/>
        <v>9.528039732859248E-11</v>
      </c>
      <c r="Z13" s="394">
        <f>Q13-Q12</f>
        <v>432.25</v>
      </c>
      <c r="AA13" s="392">
        <f t="shared" si="13"/>
        <v>-352.43665070476709</v>
      </c>
      <c r="AB13" s="343"/>
      <c r="AC13" s="374"/>
    </row>
    <row r="14" spans="2:29" ht="18.75" customHeight="1" x14ac:dyDescent="0.2">
      <c r="B14" s="602" t="s">
        <v>32</v>
      </c>
      <c r="C14" s="602"/>
      <c r="D14" s="602"/>
      <c r="E14" s="602"/>
      <c r="G14" s="372" t="s">
        <v>289</v>
      </c>
      <c r="H14" s="372">
        <f>SLOPE(O5:O46,N5:N46)</f>
        <v>14822567.980718864</v>
      </c>
      <c r="J14" s="343"/>
      <c r="K14" s="343"/>
      <c r="L14" s="343"/>
      <c r="M14" s="370"/>
      <c r="N14" s="387">
        <f t="shared" si="14"/>
        <v>7.6901959430766198E-3</v>
      </c>
      <c r="O14" s="388">
        <f t="shared" si="15"/>
        <v>116134.25142857143</v>
      </c>
      <c r="P14" s="389">
        <f t="shared" si="8"/>
        <v>114775.38807927619</v>
      </c>
      <c r="Q14" s="390">
        <f t="shared" si="11"/>
        <v>1358.8633492952358</v>
      </c>
      <c r="R14" s="391">
        <f t="shared" si="1"/>
        <v>2747339439.9804039</v>
      </c>
      <c r="S14" s="391">
        <f t="shared" si="9"/>
        <v>1846509.6020578661</v>
      </c>
      <c r="T14" s="391">
        <f t="shared" si="16"/>
        <v>2059730.7435260247</v>
      </c>
      <c r="U14" s="391">
        <f t="shared" si="17"/>
        <v>5823.6521653055388</v>
      </c>
      <c r="V14" s="392">
        <f t="shared" si="10"/>
        <v>2606736117.6269822</v>
      </c>
      <c r="W14" s="391">
        <f t="shared" si="4"/>
        <v>7177.3831366884051</v>
      </c>
      <c r="X14" s="391">
        <f t="shared" si="5"/>
        <v>-7177.3831366882141</v>
      </c>
      <c r="Y14" s="391">
        <f t="shared" si="6"/>
        <v>9.528039732859248E-11</v>
      </c>
      <c r="Z14" s="394">
        <f>Q14-Q13</f>
        <v>1279.0500000000029</v>
      </c>
      <c r="AA14" s="392">
        <f t="shared" si="13"/>
        <v>79.813349295232911</v>
      </c>
      <c r="AB14" s="343"/>
      <c r="AC14" s="374"/>
    </row>
    <row r="15" spans="2:29" ht="18.75" customHeight="1" x14ac:dyDescent="0.2">
      <c r="B15" s="505" t="s">
        <v>278</v>
      </c>
      <c r="C15" s="508">
        <f>'Massas Corrigidas'!B42</f>
        <v>14.409891180239999</v>
      </c>
      <c r="D15" s="506"/>
      <c r="E15" s="507"/>
      <c r="G15" s="396" t="s">
        <v>291</v>
      </c>
      <c r="H15" s="397">
        <f>INTERCEPT(O5:O46,N5:N46)</f>
        <v>786.93592797458405</v>
      </c>
      <c r="J15" s="343"/>
      <c r="K15" s="343"/>
      <c r="L15" s="343"/>
      <c r="M15" s="370"/>
      <c r="N15" s="387">
        <f t="shared" si="14"/>
        <v>7.6901959430766198E-3</v>
      </c>
      <c r="O15" s="388">
        <f t="shared" si="15"/>
        <v>117401.73142857144</v>
      </c>
      <c r="P15" s="389">
        <f t="shared" si="8"/>
        <v>114775.38807927619</v>
      </c>
      <c r="Q15" s="390">
        <f t="shared" si="11"/>
        <v>2626.3433492952463</v>
      </c>
      <c r="R15" s="391">
        <f t="shared" si="1"/>
        <v>2747339439.9804039</v>
      </c>
      <c r="S15" s="391">
        <f t="shared" si="9"/>
        <v>6897679.3883873718</v>
      </c>
      <c r="T15" s="391">
        <f t="shared" si="16"/>
        <v>2059730.7435260247</v>
      </c>
      <c r="U15" s="391">
        <f t="shared" si="17"/>
        <v>1418879.162222483</v>
      </c>
      <c r="V15" s="392">
        <f t="shared" si="10"/>
        <v>2478917184.543457</v>
      </c>
      <c r="W15" s="391">
        <f t="shared" si="4"/>
        <v>7177.3831366884051</v>
      </c>
      <c r="X15" s="391">
        <f t="shared" si="5"/>
        <v>-7177.3831366882141</v>
      </c>
      <c r="Y15" s="391">
        <f t="shared" si="6"/>
        <v>9.528039732859248E-11</v>
      </c>
      <c r="Z15" s="394">
        <f t="shared" ref="Z15:Z46" si="18">Q15-Q14</f>
        <v>1267.4800000000105</v>
      </c>
      <c r="AA15" s="392">
        <f t="shared" si="13"/>
        <v>1358.8633492952358</v>
      </c>
      <c r="AB15" s="343"/>
    </row>
    <row r="16" spans="2:29" ht="18.75" customHeight="1" x14ac:dyDescent="0.2">
      <c r="B16" s="505" t="s">
        <v>280</v>
      </c>
      <c r="C16" s="508">
        <f>'Massas Corrigidas'!B43</f>
        <v>14.89513020976</v>
      </c>
      <c r="D16" s="506" t="s">
        <v>281</v>
      </c>
      <c r="E16" s="509">
        <f>C16-C15</f>
        <v>0.48523902952000064</v>
      </c>
      <c r="L16" s="343"/>
      <c r="M16" s="370"/>
      <c r="N16" s="387">
        <f t="shared" si="14"/>
        <v>7.6901959430766198E-3</v>
      </c>
      <c r="O16" s="388">
        <f t="shared" si="15"/>
        <v>117268.61142857143</v>
      </c>
      <c r="P16" s="389">
        <f t="shared" si="8"/>
        <v>114775.38807927619</v>
      </c>
      <c r="Q16" s="390">
        <f t="shared" si="11"/>
        <v>2493.2233492952364</v>
      </c>
      <c r="R16" s="391">
        <f t="shared" si="1"/>
        <v>2747339439.9804039</v>
      </c>
      <c r="S16" s="391">
        <f t="shared" si="9"/>
        <v>6216162.6694709565</v>
      </c>
      <c r="T16" s="391">
        <f t="shared" si="16"/>
        <v>2059730.7435260247</v>
      </c>
      <c r="U16" s="391">
        <f t="shared" si="17"/>
        <v>1119463.7565081725</v>
      </c>
      <c r="V16" s="392">
        <f t="shared" si="10"/>
        <v>2492190655.7486391</v>
      </c>
      <c r="W16" s="391">
        <f t="shared" si="4"/>
        <v>7177.3831366884051</v>
      </c>
      <c r="X16" s="391">
        <f t="shared" si="5"/>
        <v>-7177.3831366882141</v>
      </c>
      <c r="Y16" s="391">
        <f t="shared" si="6"/>
        <v>9.528039732859248E-11</v>
      </c>
      <c r="Z16" s="394">
        <f t="shared" si="18"/>
        <v>-133.1200000000099</v>
      </c>
      <c r="AA16" s="392">
        <f t="shared" si="13"/>
        <v>2626.3433492952463</v>
      </c>
    </row>
    <row r="17" spans="2:27" ht="18.75" customHeight="1" x14ac:dyDescent="0.2">
      <c r="B17" s="510" t="s">
        <v>283</v>
      </c>
      <c r="C17" s="508">
        <f>'Massas Corrigidas'!B44</f>
        <v>64.40026440023</v>
      </c>
      <c r="D17" s="506" t="s">
        <v>284</v>
      </c>
      <c r="E17" s="509">
        <f>C17-C15</f>
        <v>49.990373219990005</v>
      </c>
      <c r="L17" s="343"/>
      <c r="M17" s="370"/>
      <c r="N17" s="387">
        <f t="shared" si="14"/>
        <v>7.6901959430766198E-3</v>
      </c>
      <c r="O17" s="388">
        <f t="shared" si="15"/>
        <v>117733.62142857144</v>
      </c>
      <c r="P17" s="389">
        <f t="shared" si="8"/>
        <v>114775.38807927619</v>
      </c>
      <c r="Q17" s="390">
        <f t="shared" si="11"/>
        <v>2958.2333492952457</v>
      </c>
      <c r="R17" s="391">
        <f t="shared" si="1"/>
        <v>2747339439.9804039</v>
      </c>
      <c r="S17" s="391">
        <f t="shared" si="9"/>
        <v>8751144.5488825664</v>
      </c>
      <c r="T17" s="391">
        <f t="shared" si="16"/>
        <v>2059730.7435260247</v>
      </c>
      <c r="U17" s="391">
        <f t="shared" si="17"/>
        <v>2319703.0604082053</v>
      </c>
      <c r="V17" s="392">
        <f t="shared" si="10"/>
        <v>2445978575.3189716</v>
      </c>
      <c r="W17" s="391">
        <f t="shared" si="4"/>
        <v>7177.3831366884051</v>
      </c>
      <c r="X17" s="391">
        <f t="shared" si="5"/>
        <v>-7177.3831366882141</v>
      </c>
      <c r="Y17" s="391">
        <f t="shared" si="6"/>
        <v>9.528039732859248E-11</v>
      </c>
      <c r="Z17" s="394">
        <f t="shared" si="18"/>
        <v>465.01000000000931</v>
      </c>
      <c r="AA17" s="392">
        <f t="shared" si="13"/>
        <v>2493.2233492952364</v>
      </c>
    </row>
    <row r="18" spans="2:27" ht="18.75" customHeight="1" x14ac:dyDescent="0.2">
      <c r="B18" s="379"/>
      <c r="C18" s="379"/>
      <c r="D18" s="379"/>
      <c r="E18" s="379"/>
      <c r="L18" s="343"/>
      <c r="M18" s="370"/>
      <c r="N18" s="387">
        <f t="shared" si="14"/>
        <v>7.6901959430766198E-3</v>
      </c>
      <c r="O18" s="388">
        <f t="shared" si="15"/>
        <v>115657.58142857143</v>
      </c>
      <c r="P18" s="389">
        <f t="shared" si="8"/>
        <v>114775.38807927619</v>
      </c>
      <c r="Q18" s="390">
        <f t="shared" si="11"/>
        <v>882.19334929523757</v>
      </c>
      <c r="R18" s="391">
        <f t="shared" si="1"/>
        <v>2747339439.9804039</v>
      </c>
      <c r="S18" s="391">
        <f t="shared" si="9"/>
        <v>778265.10554074903</v>
      </c>
      <c r="T18" s="391">
        <f t="shared" si="16"/>
        <v>2059730.7435260247</v>
      </c>
      <c r="U18" s="391">
        <f t="shared" si="17"/>
        <v>305790.04029387137</v>
      </c>
      <c r="V18" s="392">
        <f t="shared" si="10"/>
        <v>2655637254.8445535</v>
      </c>
      <c r="W18" s="391">
        <f t="shared" si="4"/>
        <v>7177.3831366884051</v>
      </c>
      <c r="X18" s="391">
        <f t="shared" si="5"/>
        <v>-7177.3831366882141</v>
      </c>
      <c r="Y18" s="391">
        <f t="shared" si="6"/>
        <v>9.528039732859248E-11</v>
      </c>
      <c r="Z18" s="394">
        <f t="shared" si="18"/>
        <v>-2076.0400000000081</v>
      </c>
      <c r="AA18" s="392">
        <f t="shared" si="13"/>
        <v>2958.2333492952457</v>
      </c>
    </row>
    <row r="19" spans="2:27" ht="18.75" customHeight="1" x14ac:dyDescent="0.2">
      <c r="B19" s="602" t="s">
        <v>33</v>
      </c>
      <c r="C19" s="602"/>
      <c r="D19" s="602"/>
      <c r="E19" s="602"/>
      <c r="L19" s="343"/>
      <c r="M19" s="370"/>
      <c r="N19" s="360">
        <f t="shared" ref="N19:N25" si="19">$H$9</f>
        <v>9.4798151909143251E-3</v>
      </c>
      <c r="O19" s="361">
        <f>F64</f>
        <v>137847.37142857144</v>
      </c>
      <c r="P19" s="362">
        <f t="shared" si="8"/>
        <v>141302.14103995354</v>
      </c>
      <c r="Q19" s="363">
        <f t="shared" si="11"/>
        <v>-3454.7696113821003</v>
      </c>
      <c r="R19" s="364">
        <f t="shared" si="1"/>
        <v>670204898.31608832</v>
      </c>
      <c r="S19" s="364">
        <f t="shared" si="9"/>
        <v>11935433.067729227</v>
      </c>
      <c r="T19" s="364">
        <f t="shared" ref="T19:T25" si="20">(P19-(AVERAGE($O$19:$O$25)))^2</f>
        <v>15969508.574757291</v>
      </c>
      <c r="U19" s="364">
        <f t="shared" ref="U19:U25" si="21">(O19-(AVERAGE($O$19:$O$25)))^2</f>
        <v>293132.52257960732</v>
      </c>
      <c r="V19" s="365">
        <f t="shared" si="10"/>
        <v>861016665.26301968</v>
      </c>
      <c r="W19" s="364">
        <f t="shared" si="4"/>
        <v>7177.3831366884051</v>
      </c>
      <c r="X19" s="364">
        <f t="shared" si="5"/>
        <v>-7177.3831366882141</v>
      </c>
      <c r="Y19" s="364">
        <f t="shared" si="6"/>
        <v>9.528039732859248E-11</v>
      </c>
      <c r="Z19" s="371">
        <f t="shared" si="18"/>
        <v>-4336.9629606773378</v>
      </c>
      <c r="AA19" s="365">
        <f t="shared" si="13"/>
        <v>882.19334929523757</v>
      </c>
    </row>
    <row r="20" spans="2:27" ht="18.75" customHeight="1" x14ac:dyDescent="0.2">
      <c r="B20" s="505" t="s">
        <v>278</v>
      </c>
      <c r="C20" s="508">
        <f>'Massas Corrigidas'!B47</f>
        <v>14.48700102602</v>
      </c>
      <c r="D20" s="506"/>
      <c r="E20" s="507"/>
      <c r="L20" s="343"/>
      <c r="M20" s="370"/>
      <c r="N20" s="360">
        <f t="shared" si="19"/>
        <v>9.4798151909143251E-3</v>
      </c>
      <c r="O20" s="361">
        <f t="shared" ref="O20:O25" si="22">F65</f>
        <v>136493.41142857145</v>
      </c>
      <c r="P20" s="362">
        <f t="shared" si="8"/>
        <v>141302.14103995354</v>
      </c>
      <c r="Q20" s="363">
        <f t="shared" si="11"/>
        <v>-4808.7296113820921</v>
      </c>
      <c r="R20" s="364">
        <f t="shared" si="1"/>
        <v>670204898.31608832</v>
      </c>
      <c r="S20" s="364">
        <f t="shared" si="9"/>
        <v>23123880.475382965</v>
      </c>
      <c r="T20" s="364">
        <f t="shared" si="20"/>
        <v>15969508.574757291</v>
      </c>
      <c r="U20" s="364">
        <f t="shared" si="21"/>
        <v>660225.89469384111</v>
      </c>
      <c r="V20" s="365">
        <f t="shared" si="10"/>
        <v>942308600.96730483</v>
      </c>
      <c r="W20" s="364">
        <f t="shared" si="4"/>
        <v>7177.3831366884051</v>
      </c>
      <c r="X20" s="364">
        <f t="shared" si="5"/>
        <v>-7177.3831366882141</v>
      </c>
      <c r="Y20" s="364">
        <f t="shared" si="6"/>
        <v>9.528039732859248E-11</v>
      </c>
      <c r="Z20" s="371">
        <f t="shared" si="18"/>
        <v>-1353.9599999999919</v>
      </c>
      <c r="AA20" s="365">
        <f t="shared" si="13"/>
        <v>-3454.7696113821003</v>
      </c>
    </row>
    <row r="21" spans="2:27" ht="18.75" customHeight="1" x14ac:dyDescent="0.2">
      <c r="B21" s="505" t="s">
        <v>280</v>
      </c>
      <c r="C21" s="508">
        <f>'Massas Corrigidas'!B48</f>
        <v>15.22354955292</v>
      </c>
      <c r="D21" s="506" t="s">
        <v>281</v>
      </c>
      <c r="E21" s="509">
        <f>C21-C20</f>
        <v>0.73654852690000006</v>
      </c>
      <c r="L21" s="343"/>
      <c r="M21" s="370"/>
      <c r="N21" s="360">
        <f t="shared" si="19"/>
        <v>9.4798151909143251E-3</v>
      </c>
      <c r="O21" s="361">
        <f t="shared" si="22"/>
        <v>135820.57142857142</v>
      </c>
      <c r="P21" s="362">
        <f t="shared" si="8"/>
        <v>141302.14103995354</v>
      </c>
      <c r="Q21" s="363">
        <f t="shared" si="11"/>
        <v>-5481.5696113821177</v>
      </c>
      <c r="R21" s="364">
        <f t="shared" si="1"/>
        <v>670204898.31608832</v>
      </c>
      <c r="S21" s="364">
        <f t="shared" si="9"/>
        <v>30047605.404427901</v>
      </c>
      <c r="T21" s="364">
        <f t="shared" si="20"/>
        <v>15969508.574757291</v>
      </c>
      <c r="U21" s="364">
        <f t="shared" si="21"/>
        <v>2206362.2322938871</v>
      </c>
      <c r="V21" s="365">
        <f t="shared" si="10"/>
        <v>984069714.7893064</v>
      </c>
      <c r="W21" s="364">
        <f t="shared" si="4"/>
        <v>7177.3831366884051</v>
      </c>
      <c r="X21" s="364">
        <f t="shared" si="5"/>
        <v>-7177.3831366882141</v>
      </c>
      <c r="Y21" s="364">
        <f t="shared" si="6"/>
        <v>9.528039732859248E-11</v>
      </c>
      <c r="Z21" s="371">
        <f t="shared" si="18"/>
        <v>-672.84000000002561</v>
      </c>
      <c r="AA21" s="365">
        <f t="shared" si="13"/>
        <v>-4808.7296113820921</v>
      </c>
    </row>
    <row r="22" spans="2:27" ht="18.75" customHeight="1" x14ac:dyDescent="0.2">
      <c r="B22" s="510" t="s">
        <v>283</v>
      </c>
      <c r="C22" s="508">
        <f>'Massas Corrigidas'!B49</f>
        <v>64.422214422179991</v>
      </c>
      <c r="D22" s="506" t="s">
        <v>284</v>
      </c>
      <c r="E22" s="509">
        <f>C22-C20</f>
        <v>49.935213396159995</v>
      </c>
      <c r="L22" s="343"/>
      <c r="M22" s="370"/>
      <c r="N22" s="360">
        <f t="shared" si="19"/>
        <v>9.4798151909143251E-3</v>
      </c>
      <c r="O22" s="361">
        <f t="shared" si="22"/>
        <v>136135.26142857142</v>
      </c>
      <c r="P22" s="362">
        <f t="shared" si="8"/>
        <v>141302.14103995354</v>
      </c>
      <c r="Q22" s="363">
        <f t="shared" si="11"/>
        <v>-5166.8796113821154</v>
      </c>
      <c r="R22" s="364">
        <f t="shared" si="1"/>
        <v>670204898.31608832</v>
      </c>
      <c r="S22" s="364">
        <f t="shared" si="9"/>
        <v>26696644.9185162</v>
      </c>
      <c r="T22" s="364">
        <f t="shared" si="20"/>
        <v>15969508.574757291</v>
      </c>
      <c r="U22" s="364">
        <f t="shared" si="21"/>
        <v>1370521.7657653082</v>
      </c>
      <c r="V22" s="365">
        <f t="shared" si="10"/>
        <v>964425166.06440151</v>
      </c>
      <c r="W22" s="364">
        <f t="shared" si="4"/>
        <v>7177.3831366884051</v>
      </c>
      <c r="X22" s="364">
        <f t="shared" si="5"/>
        <v>-7177.3831366882141</v>
      </c>
      <c r="Y22" s="364">
        <f t="shared" si="6"/>
        <v>9.528039732859248E-11</v>
      </c>
      <c r="Z22" s="371">
        <f t="shared" si="18"/>
        <v>314.69000000000233</v>
      </c>
      <c r="AA22" s="365">
        <f t="shared" si="13"/>
        <v>-5481.5696113821177</v>
      </c>
    </row>
    <row r="23" spans="2:27" ht="18.75" customHeight="1" x14ac:dyDescent="0.2">
      <c r="B23" s="379"/>
      <c r="C23" s="379"/>
      <c r="D23" s="379"/>
      <c r="E23" s="379"/>
      <c r="M23" s="399"/>
      <c r="N23" s="360">
        <f t="shared" si="19"/>
        <v>9.4798151909143251E-3</v>
      </c>
      <c r="O23" s="361">
        <f t="shared" si="22"/>
        <v>137848.39142857143</v>
      </c>
      <c r="P23" s="362">
        <f t="shared" si="8"/>
        <v>141302.14103995354</v>
      </c>
      <c r="Q23" s="363">
        <f t="shared" si="11"/>
        <v>-3453.7496113821107</v>
      </c>
      <c r="R23" s="364">
        <f t="shared" si="1"/>
        <v>670204898.31608832</v>
      </c>
      <c r="S23" s="364">
        <f t="shared" si="9"/>
        <v>11928386.37812208</v>
      </c>
      <c r="T23" s="364">
        <f t="shared" si="20"/>
        <v>15969508.574757291</v>
      </c>
      <c r="U23" s="364">
        <f t="shared" si="21"/>
        <v>294238.05395102454</v>
      </c>
      <c r="V23" s="365">
        <f t="shared" si="10"/>
        <v>860956806.40904891</v>
      </c>
      <c r="W23" s="364">
        <f t="shared" si="4"/>
        <v>7177.3831366884051</v>
      </c>
      <c r="X23" s="364">
        <f t="shared" si="5"/>
        <v>-7177.3831366882141</v>
      </c>
      <c r="Y23" s="364">
        <f t="shared" si="6"/>
        <v>9.528039732859248E-11</v>
      </c>
      <c r="Z23" s="371">
        <f t="shared" si="18"/>
        <v>1713.1300000000047</v>
      </c>
      <c r="AA23" s="365">
        <f t="shared" si="13"/>
        <v>-5166.8796113821154</v>
      </c>
    </row>
    <row r="24" spans="2:27" ht="18.75" customHeight="1" x14ac:dyDescent="0.2">
      <c r="B24" s="602" t="s">
        <v>34</v>
      </c>
      <c r="C24" s="602"/>
      <c r="D24" s="602"/>
      <c r="E24" s="602"/>
      <c r="M24" s="399"/>
      <c r="N24" s="360">
        <f t="shared" si="19"/>
        <v>9.4798151909143251E-3</v>
      </c>
      <c r="O24" s="361">
        <f t="shared" si="22"/>
        <v>138811.59142857144</v>
      </c>
      <c r="P24" s="362">
        <f t="shared" si="8"/>
        <v>141302.14103995354</v>
      </c>
      <c r="Q24" s="363">
        <f t="shared" si="11"/>
        <v>-2490.5496113820991</v>
      </c>
      <c r="R24" s="364">
        <f t="shared" si="1"/>
        <v>670204898.31608832</v>
      </c>
      <c r="S24" s="364">
        <f t="shared" si="9"/>
        <v>6202837.3667555247</v>
      </c>
      <c r="T24" s="364">
        <f t="shared" si="20"/>
        <v>15969508.574757291</v>
      </c>
      <c r="U24" s="364">
        <f t="shared" si="21"/>
        <v>2266943.2059510672</v>
      </c>
      <c r="V24" s="365">
        <f t="shared" si="10"/>
        <v>805360005.71571493</v>
      </c>
      <c r="W24" s="364">
        <f t="shared" si="4"/>
        <v>7177.3831366884051</v>
      </c>
      <c r="X24" s="364">
        <f t="shared" si="5"/>
        <v>-7177.3831366882141</v>
      </c>
      <c r="Y24" s="364">
        <f t="shared" si="6"/>
        <v>9.528039732859248E-11</v>
      </c>
      <c r="Z24" s="371">
        <f t="shared" si="18"/>
        <v>963.20000000001164</v>
      </c>
      <c r="AA24" s="365">
        <f t="shared" si="13"/>
        <v>-3453.7496113821107</v>
      </c>
    </row>
    <row r="25" spans="2:27" ht="18.75" customHeight="1" x14ac:dyDescent="0.2">
      <c r="B25" s="505" t="s">
        <v>278</v>
      </c>
      <c r="C25" s="508">
        <f>'Massas Corrigidas'!B52</f>
        <v>14.625210749599999</v>
      </c>
      <c r="D25" s="506"/>
      <c r="E25" s="507"/>
      <c r="M25" s="399"/>
      <c r="N25" s="360">
        <f t="shared" si="19"/>
        <v>9.4798151909143251E-3</v>
      </c>
      <c r="O25" s="361">
        <f t="shared" si="22"/>
        <v>138185.08142857143</v>
      </c>
      <c r="P25" s="362">
        <f t="shared" si="8"/>
        <v>141302.14103995354</v>
      </c>
      <c r="Q25" s="363">
        <f t="shared" si="11"/>
        <v>-3117.0596113821084</v>
      </c>
      <c r="R25" s="364">
        <f t="shared" si="1"/>
        <v>670204898.31608832</v>
      </c>
      <c r="S25" s="364">
        <f t="shared" si="9"/>
        <v>9716060.620909581</v>
      </c>
      <c r="T25" s="364">
        <f t="shared" si="20"/>
        <v>15969508.574757291</v>
      </c>
      <c r="U25" s="364">
        <f t="shared" si="21"/>
        <v>772864.53330817411</v>
      </c>
      <c r="V25" s="365">
        <f t="shared" si="10"/>
        <v>841311806.51479161</v>
      </c>
      <c r="W25" s="364">
        <f t="shared" si="4"/>
        <v>7177.3831366884051</v>
      </c>
      <c r="X25" s="364">
        <f t="shared" si="5"/>
        <v>-7177.3831366882141</v>
      </c>
      <c r="Y25" s="364">
        <f t="shared" si="6"/>
        <v>9.528039732859248E-11</v>
      </c>
      <c r="Z25" s="371">
        <f t="shared" si="18"/>
        <v>-626.51000000000931</v>
      </c>
      <c r="AA25" s="365">
        <f t="shared" si="13"/>
        <v>-2490.5496113820991</v>
      </c>
    </row>
    <row r="26" spans="2:27" ht="18.75" customHeight="1" x14ac:dyDescent="0.2">
      <c r="B26" s="505" t="s">
        <v>280</v>
      </c>
      <c r="C26" s="508">
        <f>'Massas Corrigidas'!B53</f>
        <v>15.53373893254</v>
      </c>
      <c r="D26" s="506" t="s">
        <v>281</v>
      </c>
      <c r="E26" s="509">
        <f>C26-C25</f>
        <v>0.90852818294000137</v>
      </c>
      <c r="M26" s="399"/>
      <c r="N26" s="387">
        <f t="shared" ref="N26:N32" si="23">$H$10</f>
        <v>1.1634202105838006E-2</v>
      </c>
      <c r="O26" s="388">
        <f>G64</f>
        <v>168777.89142857143</v>
      </c>
      <c r="P26" s="389">
        <f t="shared" si="8"/>
        <v>173235.687543181</v>
      </c>
      <c r="Q26" s="390">
        <f t="shared" si="11"/>
        <v>-4457.7961146095768</v>
      </c>
      <c r="R26" s="391">
        <f t="shared" si="1"/>
        <v>36544813.471681044</v>
      </c>
      <c r="S26" s="391">
        <f t="shared" si="9"/>
        <v>19871946.199428238</v>
      </c>
      <c r="T26" s="391">
        <f t="shared" ref="T26:T32" si="24">(P26-(AVERAGE($O$26:$O$32)))^2</f>
        <v>71.385123672810593</v>
      </c>
      <c r="U26" s="391">
        <f t="shared" ref="U26:U32" si="25">(O26-(AVERAGE($O$26:$O$32)))^2</f>
        <v>19796689.997651346</v>
      </c>
      <c r="V26" s="392">
        <f t="shared" si="10"/>
        <v>2519948.3673823783</v>
      </c>
      <c r="W26" s="391">
        <f t="shared" si="4"/>
        <v>7177.3831366884051</v>
      </c>
      <c r="X26" s="391">
        <f t="shared" si="5"/>
        <v>-7177.3831366882141</v>
      </c>
      <c r="Y26" s="391">
        <f t="shared" si="6"/>
        <v>9.528039732859248E-11</v>
      </c>
      <c r="Z26" s="394">
        <f t="shared" si="18"/>
        <v>-1340.7365032274683</v>
      </c>
      <c r="AA26" s="392">
        <f t="shared" si="13"/>
        <v>-3117.0596113821084</v>
      </c>
    </row>
    <row r="27" spans="2:27" ht="18.75" customHeight="1" x14ac:dyDescent="0.2">
      <c r="B27" s="510" t="s">
        <v>283</v>
      </c>
      <c r="C27" s="508">
        <f>'Massas Corrigidas'!B54</f>
        <v>64.59200459197001</v>
      </c>
      <c r="D27" s="506" t="s">
        <v>284</v>
      </c>
      <c r="E27" s="509">
        <f>C27-C25</f>
        <v>49.966793842370009</v>
      </c>
      <c r="M27" s="399"/>
      <c r="N27" s="387">
        <f t="shared" si="23"/>
        <v>1.1634202105838006E-2</v>
      </c>
      <c r="O27" s="388">
        <f t="shared" ref="O27:O32" si="26">G65</f>
        <v>172028.96142857143</v>
      </c>
      <c r="P27" s="389">
        <f t="shared" si="8"/>
        <v>173235.687543181</v>
      </c>
      <c r="Q27" s="390">
        <f t="shared" si="11"/>
        <v>-1206.7261146095698</v>
      </c>
      <c r="R27" s="391">
        <f t="shared" si="1"/>
        <v>36544813.471681044</v>
      </c>
      <c r="S27" s="391">
        <f t="shared" si="9"/>
        <v>1456187.9156807086</v>
      </c>
      <c r="T27" s="391">
        <f t="shared" si="24"/>
        <v>71.385123672810593</v>
      </c>
      <c r="U27" s="391">
        <f t="shared" si="25"/>
        <v>1435868.1110939481</v>
      </c>
      <c r="V27" s="392">
        <f t="shared" si="10"/>
        <v>23411126.026925322</v>
      </c>
      <c r="W27" s="391">
        <f t="shared" si="4"/>
        <v>7177.3831366884051</v>
      </c>
      <c r="X27" s="391">
        <f t="shared" si="5"/>
        <v>-7177.3831366882141</v>
      </c>
      <c r="Y27" s="391">
        <f t="shared" si="6"/>
        <v>9.528039732859248E-11</v>
      </c>
      <c r="Z27" s="394">
        <f t="shared" si="18"/>
        <v>3251.070000000007</v>
      </c>
      <c r="AA27" s="392">
        <f t="shared" si="13"/>
        <v>-4457.7961146095768</v>
      </c>
    </row>
    <row r="28" spans="2:27" ht="18.75" customHeight="1" x14ac:dyDescent="0.2">
      <c r="B28" s="379"/>
      <c r="C28" s="379"/>
      <c r="D28" s="379"/>
      <c r="E28" s="379"/>
      <c r="M28" s="399"/>
      <c r="N28" s="387">
        <f t="shared" si="23"/>
        <v>1.1634202105838006E-2</v>
      </c>
      <c r="O28" s="388">
        <f t="shared" si="26"/>
        <v>172089.50142857144</v>
      </c>
      <c r="P28" s="389">
        <f t="shared" si="8"/>
        <v>173235.687543181</v>
      </c>
      <c r="Q28" s="390">
        <f t="shared" si="11"/>
        <v>-1146.1861146095616</v>
      </c>
      <c r="R28" s="391">
        <f t="shared" si="1"/>
        <v>36544813.471681044</v>
      </c>
      <c r="S28" s="391">
        <f t="shared" si="9"/>
        <v>1313742.6093237631</v>
      </c>
      <c r="T28" s="391">
        <f t="shared" si="24"/>
        <v>71.385123672810593</v>
      </c>
      <c r="U28" s="391">
        <f t="shared" si="25"/>
        <v>1294445.806236783</v>
      </c>
      <c r="V28" s="392">
        <f t="shared" si="10"/>
        <v>24000637.246268257</v>
      </c>
      <c r="W28" s="391">
        <f t="shared" si="4"/>
        <v>7177.3831366884051</v>
      </c>
      <c r="X28" s="391">
        <f t="shared" si="5"/>
        <v>-7177.3831366882141</v>
      </c>
      <c r="Y28" s="391">
        <f t="shared" si="6"/>
        <v>9.528039732859248E-11</v>
      </c>
      <c r="Z28" s="394">
        <f t="shared" si="18"/>
        <v>60.540000000008149</v>
      </c>
      <c r="AA28" s="392">
        <f t="shared" si="13"/>
        <v>-1206.7261146095698</v>
      </c>
    </row>
    <row r="29" spans="2:27" ht="18.75" customHeight="1" x14ac:dyDescent="0.2">
      <c r="B29" s="602" t="s">
        <v>35</v>
      </c>
      <c r="C29" s="602"/>
      <c r="D29" s="602"/>
      <c r="E29" s="602"/>
      <c r="M29" s="399"/>
      <c r="N29" s="387">
        <f t="shared" si="23"/>
        <v>1.1634202105838006E-2</v>
      </c>
      <c r="O29" s="388">
        <f t="shared" si="26"/>
        <v>173948.81142857144</v>
      </c>
      <c r="P29" s="389">
        <f t="shared" si="8"/>
        <v>173235.687543181</v>
      </c>
      <c r="Q29" s="390">
        <f t="shared" si="11"/>
        <v>713.12388539043604</v>
      </c>
      <c r="R29" s="391">
        <f t="shared" si="1"/>
        <v>36544813.471681044</v>
      </c>
      <c r="S29" s="391">
        <f t="shared" si="9"/>
        <v>508545.67591435177</v>
      </c>
      <c r="T29" s="391">
        <f t="shared" si="24"/>
        <v>71.385123672810593</v>
      </c>
      <c r="U29" s="391">
        <f t="shared" si="25"/>
        <v>520667.38816527202</v>
      </c>
      <c r="V29" s="392">
        <f t="shared" si="10"/>
        <v>45675355.869496867</v>
      </c>
      <c r="W29" s="391">
        <f t="shared" si="4"/>
        <v>7177.3831366884051</v>
      </c>
      <c r="X29" s="391">
        <f t="shared" si="5"/>
        <v>-7177.3831366882141</v>
      </c>
      <c r="Y29" s="391">
        <f t="shared" si="6"/>
        <v>9.528039732859248E-11</v>
      </c>
      <c r="Z29" s="394">
        <f t="shared" si="18"/>
        <v>1859.3099999999977</v>
      </c>
      <c r="AA29" s="392">
        <f t="shared" si="13"/>
        <v>-1146.1861146095616</v>
      </c>
    </row>
    <row r="30" spans="2:27" ht="18.75" customHeight="1" x14ac:dyDescent="0.2">
      <c r="B30" s="505" t="s">
        <v>278</v>
      </c>
      <c r="C30" s="508">
        <f>'Massas Corrigidas'!B57</f>
        <v>14.49177101648</v>
      </c>
      <c r="D30" s="506"/>
      <c r="E30" s="507"/>
      <c r="M30" s="399"/>
      <c r="N30" s="387">
        <f t="shared" si="23"/>
        <v>1.1634202105838006E-2</v>
      </c>
      <c r="O30" s="388">
        <f t="shared" si="26"/>
        <v>175236.13142857142</v>
      </c>
      <c r="P30" s="389">
        <f t="shared" si="8"/>
        <v>173235.687543181</v>
      </c>
      <c r="Q30" s="390">
        <f t="shared" si="11"/>
        <v>2000.4438853904139</v>
      </c>
      <c r="R30" s="391">
        <f t="shared" si="1"/>
        <v>36544813.471681044</v>
      </c>
      <c r="S30" s="391">
        <f t="shared" si="9"/>
        <v>4001775.7385958955</v>
      </c>
      <c r="T30" s="391">
        <f t="shared" si="24"/>
        <v>71.385123672810593</v>
      </c>
      <c r="U30" s="391">
        <f t="shared" si="25"/>
        <v>4035650.511479408</v>
      </c>
      <c r="V30" s="392">
        <f t="shared" si="10"/>
        <v>64732878.543077506</v>
      </c>
      <c r="W30" s="391">
        <f t="shared" si="4"/>
        <v>7177.3831366884051</v>
      </c>
      <c r="X30" s="391">
        <f t="shared" si="5"/>
        <v>-7177.3831366882141</v>
      </c>
      <c r="Y30" s="391">
        <f t="shared" si="6"/>
        <v>9.528039732859248E-11</v>
      </c>
      <c r="Z30" s="394">
        <f t="shared" si="18"/>
        <v>1287.3199999999779</v>
      </c>
      <c r="AA30" s="392">
        <f t="shared" si="13"/>
        <v>713.12388539043604</v>
      </c>
    </row>
    <row r="31" spans="2:27" ht="18.75" customHeight="1" x14ac:dyDescent="0.2">
      <c r="B31" s="505" t="s">
        <v>280</v>
      </c>
      <c r="C31" s="508">
        <f>'Massas Corrigidas'!B58</f>
        <v>15.61489877022</v>
      </c>
      <c r="D31" s="506" t="s">
        <v>281</v>
      </c>
      <c r="E31" s="509">
        <f>C31-C30</f>
        <v>1.1231277537400004</v>
      </c>
      <c r="M31" s="399"/>
      <c r="N31" s="387">
        <f t="shared" si="23"/>
        <v>1.1634202105838006E-2</v>
      </c>
      <c r="O31" s="388">
        <f t="shared" si="26"/>
        <v>175135.40142857144</v>
      </c>
      <c r="P31" s="389">
        <f t="shared" si="8"/>
        <v>173235.687543181</v>
      </c>
      <c r="Q31" s="390">
        <f t="shared" si="11"/>
        <v>1899.7138853904326</v>
      </c>
      <c r="R31" s="391">
        <f t="shared" si="1"/>
        <v>36544813.471681044</v>
      </c>
      <c r="S31" s="391">
        <f t="shared" si="9"/>
        <v>3608912.8463452137</v>
      </c>
      <c r="T31" s="391">
        <f t="shared" si="24"/>
        <v>71.385123672810593</v>
      </c>
      <c r="U31" s="391">
        <f t="shared" si="25"/>
        <v>3641085.4893794884</v>
      </c>
      <c r="V31" s="392">
        <f t="shared" si="10"/>
        <v>63122143.486411132</v>
      </c>
      <c r="W31" s="391">
        <f t="shared" si="4"/>
        <v>7177.3831366884051</v>
      </c>
      <c r="X31" s="391">
        <f t="shared" si="5"/>
        <v>-7177.3831366882141</v>
      </c>
      <c r="Y31" s="391">
        <f t="shared" si="6"/>
        <v>9.528039732859248E-11</v>
      </c>
      <c r="Z31" s="394">
        <f t="shared" si="18"/>
        <v>-100.72999999998137</v>
      </c>
      <c r="AA31" s="392">
        <f t="shared" si="13"/>
        <v>2000.4438853904139</v>
      </c>
    </row>
    <row r="32" spans="2:27" ht="18.75" customHeight="1" x14ac:dyDescent="0.2">
      <c r="B32" s="510" t="s">
        <v>283</v>
      </c>
      <c r="C32" s="508">
        <f>'Massas Corrigidas'!B59</f>
        <v>64.822764822730008</v>
      </c>
      <c r="D32" s="506" t="s">
        <v>284</v>
      </c>
      <c r="E32" s="509">
        <f>C32-C30</f>
        <v>50.330993806250007</v>
      </c>
      <c r="M32" s="399"/>
      <c r="N32" s="387">
        <f t="shared" si="23"/>
        <v>1.1634202105838006E-2</v>
      </c>
      <c r="O32" s="388">
        <f t="shared" si="26"/>
        <v>175373.97142857144</v>
      </c>
      <c r="P32" s="389">
        <f t="shared" si="8"/>
        <v>173235.687543181</v>
      </c>
      <c r="Q32" s="390">
        <f t="shared" si="11"/>
        <v>2138.2838853904395</v>
      </c>
      <c r="R32" s="391">
        <f t="shared" si="1"/>
        <v>36544813.471681044</v>
      </c>
      <c r="S32" s="391">
        <f t="shared" si="9"/>
        <v>4572257.9745204346</v>
      </c>
      <c r="T32" s="391">
        <f t="shared" si="24"/>
        <v>71.385123672810593</v>
      </c>
      <c r="U32" s="391">
        <f t="shared" si="25"/>
        <v>4608461.9599366486</v>
      </c>
      <c r="V32" s="392">
        <f t="shared" si="10"/>
        <v>66969909.961401731</v>
      </c>
      <c r="W32" s="391">
        <f t="shared" si="4"/>
        <v>7177.3831366884051</v>
      </c>
      <c r="X32" s="391">
        <f t="shared" si="5"/>
        <v>-7177.3831366882141</v>
      </c>
      <c r="Y32" s="391">
        <f t="shared" si="6"/>
        <v>9.528039732859248E-11</v>
      </c>
      <c r="Z32" s="394">
        <f t="shared" si="18"/>
        <v>238.57000000000698</v>
      </c>
      <c r="AA32" s="392">
        <f t="shared" si="13"/>
        <v>1899.7138853904326</v>
      </c>
    </row>
    <row r="33" spans="2:27" ht="18.75" customHeight="1" x14ac:dyDescent="0.2">
      <c r="B33" s="379"/>
      <c r="C33" s="379"/>
      <c r="D33" s="379"/>
      <c r="E33" s="379"/>
      <c r="M33" s="399"/>
      <c r="N33" s="360">
        <f t="shared" ref="N33:N39" si="27">$H$11</f>
        <v>1.4498360072169121E-2</v>
      </c>
      <c r="O33" s="361">
        <f>H64</f>
        <v>219072.22142857144</v>
      </c>
      <c r="P33" s="362">
        <f t="shared" si="8"/>
        <v>215689.86370664145</v>
      </c>
      <c r="Q33" s="363">
        <f t="shared" si="11"/>
        <v>3382.3577219299914</v>
      </c>
      <c r="R33" s="364">
        <f t="shared" si="1"/>
        <v>2352192460.1342006</v>
      </c>
      <c r="S33" s="364">
        <f t="shared" si="9"/>
        <v>11440343.759099441</v>
      </c>
      <c r="T33" s="364">
        <f t="shared" ref="T33:T39" si="28">(P33-(AVERAGE($O$33:$O$39)))^2</f>
        <v>31203753.590426307</v>
      </c>
      <c r="U33" s="364">
        <f t="shared" ref="U33:U39" si="29">(O33-(AVERAGE($O$33:$O$39)))^2</f>
        <v>4856180.3575183498</v>
      </c>
      <c r="V33" s="365">
        <f t="shared" si="10"/>
        <v>2691717490.1040225</v>
      </c>
      <c r="W33" s="364">
        <f t="shared" si="4"/>
        <v>7177.3831366884051</v>
      </c>
      <c r="X33" s="364">
        <f t="shared" si="5"/>
        <v>-7177.3831366882141</v>
      </c>
      <c r="Y33" s="364">
        <f t="shared" si="6"/>
        <v>9.528039732859248E-11</v>
      </c>
      <c r="Z33" s="371">
        <f t="shared" si="18"/>
        <v>1244.0738365395518</v>
      </c>
      <c r="AA33" s="365">
        <f t="shared" si="13"/>
        <v>2138.2838853904395</v>
      </c>
    </row>
    <row r="34" spans="2:27" ht="18.75" customHeight="1" x14ac:dyDescent="0.2">
      <c r="B34" s="602" t="s">
        <v>36</v>
      </c>
      <c r="C34" s="602"/>
      <c r="D34" s="602"/>
      <c r="E34" s="602"/>
      <c r="M34" s="399"/>
      <c r="N34" s="360">
        <f t="shared" si="27"/>
        <v>1.4498360072169121E-2</v>
      </c>
      <c r="O34" s="361">
        <f t="shared" ref="O34:O39" si="30">H65</f>
        <v>222644.05142857143</v>
      </c>
      <c r="P34" s="362">
        <f t="shared" si="8"/>
        <v>215689.86370664145</v>
      </c>
      <c r="Q34" s="363">
        <f t="shared" si="11"/>
        <v>6954.1877219299786</v>
      </c>
      <c r="R34" s="364">
        <f t="shared" si="1"/>
        <v>2352192460.1342006</v>
      </c>
      <c r="S34" s="364">
        <f t="shared" si="9"/>
        <v>48360726.871841662</v>
      </c>
      <c r="T34" s="364">
        <f t="shared" si="28"/>
        <v>31203753.590426307</v>
      </c>
      <c r="U34" s="364">
        <f t="shared" si="29"/>
        <v>1871850.0585326289</v>
      </c>
      <c r="V34" s="365">
        <f t="shared" si="10"/>
        <v>3075101145.6110783</v>
      </c>
      <c r="W34" s="364">
        <f t="shared" si="4"/>
        <v>7177.3831366884051</v>
      </c>
      <c r="X34" s="364">
        <f t="shared" si="5"/>
        <v>-7177.3831366882141</v>
      </c>
      <c r="Y34" s="364">
        <f t="shared" si="6"/>
        <v>9.528039732859248E-11</v>
      </c>
      <c r="Z34" s="371">
        <f t="shared" si="18"/>
        <v>3571.8299999999872</v>
      </c>
      <c r="AA34" s="365">
        <f t="shared" si="13"/>
        <v>3382.3577219299914</v>
      </c>
    </row>
    <row r="35" spans="2:27" ht="18.75" customHeight="1" x14ac:dyDescent="0.2">
      <c r="B35" s="505" t="s">
        <v>278</v>
      </c>
      <c r="C35" s="508">
        <f>'Massas Corrigidas'!B62</f>
        <v>14.56750086502</v>
      </c>
      <c r="D35" s="506"/>
      <c r="E35" s="507"/>
      <c r="M35" s="399"/>
      <c r="N35" s="360">
        <f t="shared" si="27"/>
        <v>1.4498360072169121E-2</v>
      </c>
      <c r="O35" s="361">
        <f t="shared" si="30"/>
        <v>222438.49142857143</v>
      </c>
      <c r="P35" s="362">
        <f t="shared" si="8"/>
        <v>215689.86370664145</v>
      </c>
      <c r="Q35" s="363">
        <f t="shared" si="11"/>
        <v>6748.6277219299809</v>
      </c>
      <c r="R35" s="364">
        <f t="shared" si="1"/>
        <v>2352192460.1342006</v>
      </c>
      <c r="S35" s="364">
        <f t="shared" si="9"/>
        <v>45543976.129201844</v>
      </c>
      <c r="T35" s="364">
        <f t="shared" si="28"/>
        <v>31203753.590426307</v>
      </c>
      <c r="U35" s="364">
        <f t="shared" si="29"/>
        <v>1351628.7948754951</v>
      </c>
      <c r="V35" s="365">
        <f t="shared" si="10"/>
        <v>3052345318.74405</v>
      </c>
      <c r="W35" s="364">
        <f t="shared" si="4"/>
        <v>7177.3831366884051</v>
      </c>
      <c r="X35" s="364">
        <f t="shared" si="5"/>
        <v>-7177.3831366882141</v>
      </c>
      <c r="Y35" s="364">
        <f t="shared" si="6"/>
        <v>9.528039732859248E-11</v>
      </c>
      <c r="Z35" s="371">
        <f t="shared" si="18"/>
        <v>-205.55999999999767</v>
      </c>
      <c r="AA35" s="365">
        <f t="shared" si="13"/>
        <v>6954.1877219299786</v>
      </c>
    </row>
    <row r="36" spans="2:27" ht="18.75" customHeight="1" x14ac:dyDescent="0.2">
      <c r="B36" s="505" t="s">
        <v>280</v>
      </c>
      <c r="C36" s="508">
        <f>'Massas Corrigidas'!B63</f>
        <v>15.973378053259999</v>
      </c>
      <c r="D36" s="506" t="s">
        <v>281</v>
      </c>
      <c r="E36" s="509">
        <f>C36-C35</f>
        <v>1.4058771882399999</v>
      </c>
      <c r="M36" s="399"/>
      <c r="N36" s="360">
        <f t="shared" si="27"/>
        <v>1.4498360072169121E-2</v>
      </c>
      <c r="O36" s="361">
        <f t="shared" si="30"/>
        <v>223538.30142857143</v>
      </c>
      <c r="P36" s="362">
        <f t="shared" si="8"/>
        <v>215689.86370664145</v>
      </c>
      <c r="Q36" s="363">
        <f t="shared" si="11"/>
        <v>7848.4377219299786</v>
      </c>
      <c r="R36" s="364">
        <f t="shared" si="1"/>
        <v>2352192460.1342006</v>
      </c>
      <c r="S36" s="364">
        <f t="shared" si="9"/>
        <v>61597974.67501343</v>
      </c>
      <c r="T36" s="364">
        <f t="shared" si="28"/>
        <v>31203753.590426307</v>
      </c>
      <c r="U36" s="364">
        <f t="shared" si="29"/>
        <v>5118479.6160326134</v>
      </c>
      <c r="V36" s="365">
        <f t="shared" si="10"/>
        <v>3175079582.4794116</v>
      </c>
      <c r="W36" s="364">
        <f t="shared" si="4"/>
        <v>7177.3831366884051</v>
      </c>
      <c r="X36" s="364">
        <f t="shared" si="5"/>
        <v>-7177.3831366882141</v>
      </c>
      <c r="Y36" s="364">
        <f t="shared" si="6"/>
        <v>9.528039732859248E-11</v>
      </c>
      <c r="Z36" s="371">
        <f t="shared" si="18"/>
        <v>1099.8099999999977</v>
      </c>
      <c r="AA36" s="365">
        <f t="shared" si="13"/>
        <v>6748.6277219299809</v>
      </c>
    </row>
    <row r="37" spans="2:27" ht="18.75" customHeight="1" x14ac:dyDescent="0.2">
      <c r="B37" s="510" t="s">
        <v>283</v>
      </c>
      <c r="C37" s="508">
        <f>'Massas Corrigidas'!B64</f>
        <v>65.12335512332001</v>
      </c>
      <c r="D37" s="506" t="s">
        <v>284</v>
      </c>
      <c r="E37" s="509">
        <f>C37-C35</f>
        <v>50.555854258300009</v>
      </c>
      <c r="J37" s="389"/>
      <c r="K37" s="389"/>
      <c r="M37" s="399"/>
      <c r="N37" s="360">
        <f t="shared" si="27"/>
        <v>1.4498360072169121E-2</v>
      </c>
      <c r="O37" s="361">
        <f t="shared" si="30"/>
        <v>220192.94142857144</v>
      </c>
      <c r="P37" s="362">
        <f t="shared" si="8"/>
        <v>215689.86370664145</v>
      </c>
      <c r="Q37" s="363">
        <f t="shared" si="11"/>
        <v>4503.0777219299925</v>
      </c>
      <c r="R37" s="364">
        <f t="shared" si="1"/>
        <v>2352192460.1342006</v>
      </c>
      <c r="S37" s="364">
        <f t="shared" si="9"/>
        <v>20277708.969742212</v>
      </c>
      <c r="T37" s="364">
        <f t="shared" si="28"/>
        <v>31203753.590426307</v>
      </c>
      <c r="U37" s="364">
        <f t="shared" si="29"/>
        <v>1172789.9849469275</v>
      </c>
      <c r="V37" s="365">
        <f t="shared" si="10"/>
        <v>2809263365.6966701</v>
      </c>
      <c r="W37" s="364">
        <f t="shared" si="4"/>
        <v>7177.3831366884051</v>
      </c>
      <c r="X37" s="364">
        <f t="shared" si="5"/>
        <v>-7177.3831366882141</v>
      </c>
      <c r="Y37" s="364">
        <f t="shared" si="6"/>
        <v>9.528039732859248E-11</v>
      </c>
      <c r="Z37" s="371">
        <f t="shared" si="18"/>
        <v>-3345.359999999986</v>
      </c>
      <c r="AA37" s="365">
        <f t="shared" si="13"/>
        <v>7848.4377219299786</v>
      </c>
    </row>
    <row r="38" spans="2:27" ht="18.75" customHeight="1" x14ac:dyDescent="0.2">
      <c r="B38" s="379"/>
      <c r="C38" s="379"/>
      <c r="D38" s="379"/>
      <c r="E38" s="379"/>
      <c r="J38" s="389"/>
      <c r="K38" s="389"/>
      <c r="M38" s="399"/>
      <c r="N38" s="360">
        <f t="shared" si="27"/>
        <v>1.4498360072169121E-2</v>
      </c>
      <c r="O38" s="361">
        <f t="shared" si="30"/>
        <v>220294.16142857145</v>
      </c>
      <c r="P38" s="362">
        <f t="shared" si="8"/>
        <v>215689.86370664145</v>
      </c>
      <c r="Q38" s="363">
        <f t="shared" si="11"/>
        <v>4604.2977219299937</v>
      </c>
      <c r="R38" s="364">
        <f t="shared" si="1"/>
        <v>2352192460.1342006</v>
      </c>
      <c r="S38" s="364">
        <f t="shared" si="9"/>
        <v>21199557.51216973</v>
      </c>
      <c r="T38" s="364">
        <f t="shared" si="28"/>
        <v>31203753.590426307</v>
      </c>
      <c r="U38" s="364">
        <f t="shared" si="29"/>
        <v>963802.20774692635</v>
      </c>
      <c r="V38" s="365">
        <f t="shared" si="10"/>
        <v>2820003434.1520705</v>
      </c>
      <c r="W38" s="364">
        <f t="shared" si="4"/>
        <v>7177.3831366884051</v>
      </c>
      <c r="X38" s="364">
        <f t="shared" si="5"/>
        <v>-7177.3831366882141</v>
      </c>
      <c r="Y38" s="364">
        <f t="shared" si="6"/>
        <v>9.528039732859248E-11</v>
      </c>
      <c r="Z38" s="371">
        <f t="shared" si="18"/>
        <v>101.22000000000116</v>
      </c>
      <c r="AA38" s="365">
        <f t="shared" si="13"/>
        <v>4503.0777219299925</v>
      </c>
    </row>
    <row r="39" spans="2:27" ht="18.75" customHeight="1" x14ac:dyDescent="0.2">
      <c r="B39" s="602" t="s">
        <v>37</v>
      </c>
      <c r="C39" s="602"/>
      <c r="D39" s="602"/>
      <c r="E39" s="602"/>
      <c r="J39" s="389"/>
      <c r="K39" s="389"/>
      <c r="M39" s="399"/>
      <c r="N39" s="360">
        <f t="shared" si="27"/>
        <v>1.4498360072169121E-2</v>
      </c>
      <c r="O39" s="361">
        <f t="shared" si="30"/>
        <v>220751.10142857142</v>
      </c>
      <c r="P39" s="362">
        <f t="shared" si="8"/>
        <v>215689.86370664145</v>
      </c>
      <c r="Q39" s="363">
        <f t="shared" si="11"/>
        <v>5061.2377219299669</v>
      </c>
      <c r="R39" s="364">
        <f t="shared" si="1"/>
        <v>2352192460.1342006</v>
      </c>
      <c r="S39" s="364">
        <f t="shared" si="9"/>
        <v>25616127.277886841</v>
      </c>
      <c r="T39" s="364">
        <f t="shared" si="28"/>
        <v>31203753.590426307</v>
      </c>
      <c r="U39" s="364">
        <f t="shared" si="29"/>
        <v>275409.04231838882</v>
      </c>
      <c r="V39" s="365">
        <f t="shared" si="10"/>
        <v>2868742641.8058867</v>
      </c>
      <c r="W39" s="364">
        <f t="shared" si="4"/>
        <v>7177.3831366884051</v>
      </c>
      <c r="X39" s="364">
        <f t="shared" si="5"/>
        <v>-7177.3831366882141</v>
      </c>
      <c r="Y39" s="364">
        <f t="shared" si="6"/>
        <v>9.528039732859248E-11</v>
      </c>
      <c r="Z39" s="371">
        <f t="shared" si="18"/>
        <v>456.93999999997322</v>
      </c>
      <c r="AA39" s="365">
        <f t="shared" si="13"/>
        <v>4604.2977219299937</v>
      </c>
    </row>
    <row r="40" spans="2:27" ht="18.75" customHeight="1" x14ac:dyDescent="0.2">
      <c r="B40" s="505" t="s">
        <v>278</v>
      </c>
      <c r="C40" s="508">
        <f>'Massas Corrigidas'!B67</f>
        <v>14.6298607403</v>
      </c>
      <c r="D40" s="506"/>
      <c r="E40" s="507"/>
      <c r="J40" s="389"/>
      <c r="K40" s="389"/>
      <c r="M40" s="399"/>
      <c r="N40" s="376">
        <f>$H$12</f>
        <v>1.8994881689350367E-2</v>
      </c>
      <c r="O40" s="504">
        <f>I64</f>
        <v>281650.94142857142</v>
      </c>
      <c r="P40" s="401">
        <f t="shared" si="8"/>
        <v>282339.8610540824</v>
      </c>
      <c r="Q40" s="390">
        <f t="shared" si="11"/>
        <v>-688.9196255109855</v>
      </c>
      <c r="R40" s="402">
        <f t="shared" si="1"/>
        <v>13259385275.94355</v>
      </c>
      <c r="S40" s="402">
        <f t="shared" si="9"/>
        <v>474610.25041419652</v>
      </c>
      <c r="T40" s="402">
        <f t="shared" ref="T40:T46" si="31">(P40-(AVERAGE($O$40:$O$46)))^2</f>
        <v>7744641.6420542039</v>
      </c>
      <c r="U40" s="402">
        <f t="shared" ref="U40:U46" si="32">(O40-(AVERAGE($O$40:$O$46)))^2</f>
        <v>4384836</v>
      </c>
      <c r="V40" s="392">
        <f t="shared" si="10"/>
        <v>13101202517.425238</v>
      </c>
      <c r="W40" s="402">
        <f t="shared" si="4"/>
        <v>7177.3831366884051</v>
      </c>
      <c r="X40" s="402">
        <f t="shared" si="5"/>
        <v>-7177.3831366882141</v>
      </c>
      <c r="Y40" s="402">
        <f t="shared" si="6"/>
        <v>9.528039732859248E-11</v>
      </c>
      <c r="Z40" s="394">
        <f t="shared" si="18"/>
        <v>-5750.1573474409524</v>
      </c>
      <c r="AA40" s="392">
        <f t="shared" si="13"/>
        <v>5061.2377219299669</v>
      </c>
    </row>
    <row r="41" spans="2:27" ht="18.75" customHeight="1" x14ac:dyDescent="0.2">
      <c r="B41" s="505" t="s">
        <v>300</v>
      </c>
      <c r="C41" s="508">
        <f>'Massas Corrigidas'!B68</f>
        <v>16.4503570993</v>
      </c>
      <c r="D41" s="506" t="s">
        <v>281</v>
      </c>
      <c r="E41" s="509">
        <f>C41-C40</f>
        <v>1.8204963589999998</v>
      </c>
      <c r="J41" s="389"/>
      <c r="K41" s="389"/>
      <c r="M41" s="399"/>
      <c r="N41" s="376">
        <f t="shared" ref="N41:N46" si="33">$H$12</f>
        <v>1.8994881689350367E-2</v>
      </c>
      <c r="O41" s="504">
        <f t="shared" ref="O41:O46" si="34">I65</f>
        <v>276065.01142857142</v>
      </c>
      <c r="P41" s="401">
        <f>($H$14*N41)+$H$15</f>
        <v>282339.8610540824</v>
      </c>
      <c r="Q41" s="390">
        <f t="shared" si="11"/>
        <v>-6274.8496255109785</v>
      </c>
      <c r="R41" s="402">
        <f t="shared" si="1"/>
        <v>13259385275.94355</v>
      </c>
      <c r="S41" s="402">
        <f t="shared" si="9"/>
        <v>39373737.822775267</v>
      </c>
      <c r="T41" s="402">
        <f t="shared" si="31"/>
        <v>7744641.6420542039</v>
      </c>
      <c r="U41" s="402">
        <f t="shared" si="32"/>
        <v>12193575.124899952</v>
      </c>
      <c r="V41" s="392">
        <f t="shared" si="10"/>
        <v>11853668622.757973</v>
      </c>
      <c r="W41" s="402">
        <f t="shared" si="4"/>
        <v>7177.3831366884051</v>
      </c>
      <c r="X41" s="402">
        <f t="shared" si="5"/>
        <v>-7177.3831366882141</v>
      </c>
      <c r="Y41" s="402">
        <f t="shared" si="6"/>
        <v>9.528039732859248E-11</v>
      </c>
      <c r="Z41" s="394">
        <f t="shared" si="18"/>
        <v>-5585.929999999993</v>
      </c>
      <c r="AA41" s="392">
        <f t="shared" si="13"/>
        <v>-688.9196255109855</v>
      </c>
    </row>
    <row r="42" spans="2:27" ht="18.75" customHeight="1" x14ac:dyDescent="0.2">
      <c r="B42" s="510" t="s">
        <v>283</v>
      </c>
      <c r="C42" s="508">
        <f>'Massas Corrigidas'!B69</f>
        <v>64.598344598309993</v>
      </c>
      <c r="D42" s="506" t="s">
        <v>284</v>
      </c>
      <c r="E42" s="509">
        <f>C42-C40</f>
        <v>49.968483858009989</v>
      </c>
      <c r="J42" s="389"/>
      <c r="K42" s="389"/>
      <c r="M42" s="399"/>
      <c r="N42" s="376">
        <f t="shared" si="33"/>
        <v>1.8994881689350367E-2</v>
      </c>
      <c r="O42" s="504">
        <f t="shared" si="34"/>
        <v>277585.04142857145</v>
      </c>
      <c r="P42" s="401">
        <f t="shared" si="8"/>
        <v>282339.8610540824</v>
      </c>
      <c r="Q42" s="390">
        <f t="shared" si="11"/>
        <v>-4754.8196255109506</v>
      </c>
      <c r="R42" s="402">
        <f t="shared" si="1"/>
        <v>13259385275.94355</v>
      </c>
      <c r="S42" s="402">
        <f t="shared" si="9"/>
        <v>22608309.671144098</v>
      </c>
      <c r="T42" s="402">
        <f t="shared" si="31"/>
        <v>7744641.6420542039</v>
      </c>
      <c r="U42" s="402">
        <f t="shared" si="32"/>
        <v>3888389.609999862</v>
      </c>
      <c r="V42" s="392">
        <f t="shared" si="10"/>
        <v>12186964292.18453</v>
      </c>
      <c r="W42" s="402">
        <f t="shared" si="4"/>
        <v>7177.3831366884051</v>
      </c>
      <c r="X42" s="402">
        <f t="shared" si="5"/>
        <v>-7177.3831366882141</v>
      </c>
      <c r="Y42" s="402">
        <f t="shared" si="6"/>
        <v>9.528039732859248E-11</v>
      </c>
      <c r="Z42" s="394">
        <f t="shared" si="18"/>
        <v>1520.0300000000279</v>
      </c>
      <c r="AA42" s="392">
        <f t="shared" si="13"/>
        <v>-6274.8496255109785</v>
      </c>
    </row>
    <row r="43" spans="2:27" ht="18.75" customHeight="1" x14ac:dyDescent="0.2">
      <c r="B43" s="403"/>
      <c r="C43" s="403"/>
      <c r="D43" s="403"/>
      <c r="E43" s="403"/>
      <c r="J43" s="389"/>
      <c r="K43" s="389"/>
      <c r="M43" s="399"/>
      <c r="N43" s="376">
        <f t="shared" si="33"/>
        <v>1.8994881689350367E-2</v>
      </c>
      <c r="O43" s="504">
        <f t="shared" si="34"/>
        <v>278630.83142857143</v>
      </c>
      <c r="P43" s="401">
        <f t="shared" si="8"/>
        <v>282339.8610540824</v>
      </c>
      <c r="Q43" s="390">
        <f t="shared" si="11"/>
        <v>-3709.0296255109715</v>
      </c>
      <c r="R43" s="402">
        <f t="shared" si="1"/>
        <v>13259385275.94355</v>
      </c>
      <c r="S43" s="402">
        <f t="shared" si="9"/>
        <v>13756900.762918057</v>
      </c>
      <c r="T43" s="402">
        <f t="shared" si="31"/>
        <v>7744641.6420542039</v>
      </c>
      <c r="U43" s="402">
        <f t="shared" si="32"/>
        <v>857679.73209997418</v>
      </c>
      <c r="V43" s="392">
        <f t="shared" si="10"/>
        <v>12418957074.006935</v>
      </c>
      <c r="W43" s="402">
        <f t="shared" si="4"/>
        <v>7177.3831366884051</v>
      </c>
      <c r="X43" s="402">
        <f t="shared" si="5"/>
        <v>-7177.3831366882141</v>
      </c>
      <c r="Y43" s="402">
        <f t="shared" si="6"/>
        <v>9.528039732859248E-11</v>
      </c>
      <c r="Z43" s="394">
        <f t="shared" si="18"/>
        <v>1045.789999999979</v>
      </c>
      <c r="AA43" s="392">
        <f t="shared" si="13"/>
        <v>-4754.8196255109506</v>
      </c>
    </row>
    <row r="44" spans="2:27" ht="18.75" customHeight="1" x14ac:dyDescent="0.2">
      <c r="B44" s="611" t="s">
        <v>275</v>
      </c>
      <c r="C44" s="611"/>
      <c r="D44" s="611"/>
      <c r="E44" s="611"/>
      <c r="G44" s="404" t="s">
        <v>301</v>
      </c>
      <c r="H44" s="404"/>
      <c r="L44" s="389"/>
      <c r="M44" s="399"/>
      <c r="N44" s="376">
        <f t="shared" si="33"/>
        <v>1.8994881689350367E-2</v>
      </c>
      <c r="O44" s="504">
        <f t="shared" si="34"/>
        <v>281322.57142857142</v>
      </c>
      <c r="P44" s="401">
        <f t="shared" si="8"/>
        <v>282339.8610540824</v>
      </c>
      <c r="Q44" s="390">
        <f t="shared" si="11"/>
        <v>-1017.2896255109808</v>
      </c>
      <c r="R44" s="402">
        <f t="shared" si="1"/>
        <v>13259385275.94355</v>
      </c>
      <c r="S44" s="402">
        <f t="shared" si="9"/>
        <v>1034878.1821722717</v>
      </c>
      <c r="T44" s="402">
        <f t="shared" si="31"/>
        <v>7744641.6420542039</v>
      </c>
      <c r="U44" s="402">
        <f t="shared" si="32"/>
        <v>3117449.2969000163</v>
      </c>
      <c r="V44" s="392">
        <f t="shared" si="10"/>
        <v>13026139565.675972</v>
      </c>
      <c r="W44" s="402">
        <f t="shared" si="4"/>
        <v>7177.3831366884051</v>
      </c>
      <c r="X44" s="402">
        <f t="shared" si="5"/>
        <v>-7177.3831366882141</v>
      </c>
      <c r="Y44" s="402">
        <f t="shared" si="6"/>
        <v>9.528039732859248E-11</v>
      </c>
      <c r="Z44" s="394">
        <f t="shared" si="18"/>
        <v>2691.7399999999907</v>
      </c>
      <c r="AA44" s="392">
        <f t="shared" si="13"/>
        <v>-3709.0296255109715</v>
      </c>
    </row>
    <row r="45" spans="2:27" ht="18.75" customHeight="1" x14ac:dyDescent="0.2">
      <c r="B45" s="511" t="s">
        <v>278</v>
      </c>
      <c r="C45" s="512"/>
      <c r="D45" s="513"/>
      <c r="E45" s="507"/>
      <c r="G45" s="405" t="s">
        <v>302</v>
      </c>
      <c r="H45" s="406">
        <f>Q50</f>
        <v>12611514.168638065</v>
      </c>
      <c r="L45" s="389"/>
      <c r="M45" s="399"/>
      <c r="N45" s="376">
        <f t="shared" si="33"/>
        <v>1.8994881689350367E-2</v>
      </c>
      <c r="O45" s="504">
        <f t="shared" si="34"/>
        <v>280352.98142857145</v>
      </c>
      <c r="P45" s="401">
        <f t="shared" si="8"/>
        <v>282339.8610540824</v>
      </c>
      <c r="Q45" s="390">
        <f t="shared" si="11"/>
        <v>-1986.8796255109482</v>
      </c>
      <c r="R45" s="402">
        <f t="shared" si="1"/>
        <v>13259385275.94355</v>
      </c>
      <c r="S45" s="402">
        <f t="shared" si="9"/>
        <v>3947690.6462705261</v>
      </c>
      <c r="T45" s="402">
        <f t="shared" si="31"/>
        <v>7744641.6420542039</v>
      </c>
      <c r="U45" s="402">
        <f t="shared" si="32"/>
        <v>633679.68160005927</v>
      </c>
      <c r="V45" s="392">
        <f t="shared" si="10"/>
        <v>12805756956.601799</v>
      </c>
      <c r="W45" s="402">
        <f t="shared" si="4"/>
        <v>7177.3831366884051</v>
      </c>
      <c r="X45" s="402">
        <f t="shared" si="5"/>
        <v>-7177.3831366882141</v>
      </c>
      <c r="Y45" s="402">
        <f t="shared" si="6"/>
        <v>9.528039732859248E-11</v>
      </c>
      <c r="Z45" s="394">
        <f t="shared" si="18"/>
        <v>-969.5899999999674</v>
      </c>
      <c r="AA45" s="392">
        <f t="shared" si="13"/>
        <v>-1017.2896255109808</v>
      </c>
    </row>
    <row r="46" spans="2:27" ht="18.75" customHeight="1" x14ac:dyDescent="0.2">
      <c r="B46" s="511" t="s">
        <v>300</v>
      </c>
      <c r="C46" s="512"/>
      <c r="D46" s="513" t="s">
        <v>281</v>
      </c>
      <c r="E46" s="509">
        <f>C46-C45</f>
        <v>0</v>
      </c>
      <c r="G46" s="375" t="s">
        <v>303</v>
      </c>
      <c r="H46" s="378">
        <f>SQRT(H45)</f>
        <v>3551.2693742714118</v>
      </c>
      <c r="L46" s="389"/>
      <c r="M46" s="399"/>
      <c r="N46" s="376">
        <f t="shared" si="33"/>
        <v>1.8994881689350367E-2</v>
      </c>
      <c r="O46" s="504">
        <f t="shared" si="34"/>
        <v>281291.21142857143</v>
      </c>
      <c r="P46" s="407">
        <f t="shared" si="8"/>
        <v>282339.8610540824</v>
      </c>
      <c r="Q46" s="408">
        <f t="shared" si="11"/>
        <v>-1048.6496255109669</v>
      </c>
      <c r="R46" s="409">
        <f t="shared" si="1"/>
        <v>13259385275.94355</v>
      </c>
      <c r="S46" s="410">
        <f t="shared" si="9"/>
        <v>1099666.037084291</v>
      </c>
      <c r="T46" s="410">
        <f t="shared" si="31"/>
        <v>7744641.6420542039</v>
      </c>
      <c r="U46" s="410">
        <f t="shared" si="32"/>
        <v>3007692.4329000646</v>
      </c>
      <c r="V46" s="411">
        <f t="shared" si="10"/>
        <v>13018982182.902641</v>
      </c>
      <c r="W46" s="410">
        <f t="shared" si="4"/>
        <v>7177.3831366884051</v>
      </c>
      <c r="X46" s="410">
        <f t="shared" si="5"/>
        <v>-7177.3831366882141</v>
      </c>
      <c r="Y46" s="410">
        <f t="shared" si="6"/>
        <v>9.528039732859248E-11</v>
      </c>
      <c r="Z46" s="394">
        <f t="shared" si="18"/>
        <v>938.22999999998137</v>
      </c>
      <c r="AA46" s="411">
        <f t="shared" si="13"/>
        <v>-1986.8796255109482</v>
      </c>
    </row>
    <row r="47" spans="2:27" ht="18.75" customHeight="1" x14ac:dyDescent="0.2">
      <c r="B47" s="514" t="s">
        <v>283</v>
      </c>
      <c r="C47" s="512"/>
      <c r="D47" s="513" t="s">
        <v>284</v>
      </c>
      <c r="E47" s="509">
        <f>C47-C45</f>
        <v>0</v>
      </c>
      <c r="G47" s="372" t="s">
        <v>304</v>
      </c>
      <c r="H47" s="373">
        <f>Q52</f>
        <v>2.0210753903062737</v>
      </c>
      <c r="L47" s="389"/>
      <c r="M47" s="412" t="s">
        <v>38</v>
      </c>
      <c r="N47" s="404">
        <f t="shared" ref="N47:Y47" si="35">AVERAGE(N5:N46)</f>
        <v>1.1226362476005799E-2</v>
      </c>
      <c r="O47" s="404">
        <f t="shared" si="35"/>
        <v>167190.4569047619</v>
      </c>
      <c r="P47" s="404">
        <f t="shared" si="35"/>
        <v>167190.45690476181</v>
      </c>
      <c r="Q47" s="404">
        <f t="shared" si="35"/>
        <v>9.528039732859248E-11</v>
      </c>
      <c r="R47" s="404">
        <f>AVERAGE(R5:R46)</f>
        <v>4569653176.0560284</v>
      </c>
      <c r="S47" s="404">
        <f t="shared" si="35"/>
        <v>12010965.874893395</v>
      </c>
      <c r="T47" s="404">
        <f>AVERAGE(T5:T46)</f>
        <v>9505383.2660131548</v>
      </c>
      <c r="U47" s="413">
        <f t="shared" si="35"/>
        <v>2505582.6088802721</v>
      </c>
      <c r="V47" s="404">
        <f t="shared" si="35"/>
        <v>4581664141.9309196</v>
      </c>
      <c r="W47" s="404">
        <f t="shared" si="35"/>
        <v>7177.383136688406</v>
      </c>
      <c r="X47" s="404">
        <f t="shared" si="35"/>
        <v>-7177.3831366882096</v>
      </c>
      <c r="Y47" s="404">
        <f t="shared" si="35"/>
        <v>9.5280397328592428E-11</v>
      </c>
      <c r="Z47" s="414">
        <f>AVERAGE(Z5:Z46)</f>
        <v>31.995584179363327</v>
      </c>
      <c r="AA47" s="404">
        <f>AVERAGE(AA5:AA46)</f>
        <v>25.576820134511429</v>
      </c>
    </row>
    <row r="48" spans="2:27" ht="18.75" customHeight="1" x14ac:dyDescent="0.2">
      <c r="B48" s="403"/>
      <c r="C48" s="403"/>
      <c r="D48" s="403"/>
      <c r="E48" s="403"/>
      <c r="G48" s="396" t="s">
        <v>305</v>
      </c>
      <c r="H48" s="397">
        <f>H47*H46</f>
        <v>7177.3831366883096</v>
      </c>
      <c r="L48" s="389"/>
      <c r="N48" s="389"/>
      <c r="P48" s="389"/>
      <c r="R48" s="389"/>
      <c r="T48" s="389"/>
      <c r="V48" s="389"/>
      <c r="X48" s="389"/>
      <c r="Z48" s="415"/>
    </row>
    <row r="49" spans="2:26" ht="18.75" customHeight="1" x14ac:dyDescent="0.2">
      <c r="B49" s="611" t="s">
        <v>276</v>
      </c>
      <c r="C49" s="611"/>
      <c r="D49" s="611"/>
      <c r="E49" s="611"/>
      <c r="L49" s="389"/>
      <c r="P49" s="404" t="s">
        <v>301</v>
      </c>
      <c r="Q49" s="404"/>
      <c r="R49" s="389"/>
      <c r="T49" s="389"/>
      <c r="V49" s="389"/>
      <c r="X49" s="389"/>
      <c r="Z49" s="415"/>
    </row>
    <row r="50" spans="2:26" ht="18.75" customHeight="1" x14ac:dyDescent="0.2">
      <c r="B50" s="511" t="s">
        <v>278</v>
      </c>
      <c r="C50" s="512"/>
      <c r="D50" s="513"/>
      <c r="E50" s="507"/>
      <c r="G50" s="340" t="s">
        <v>306</v>
      </c>
      <c r="L50" s="389"/>
      <c r="P50" s="405" t="s">
        <v>302</v>
      </c>
      <c r="Q50" s="406">
        <f>SUMSQ(Q5:Q46)/(COUNT(Q5:Q46)-2)</f>
        <v>12611514.168638065</v>
      </c>
      <c r="R50" s="389"/>
      <c r="T50" s="389"/>
      <c r="V50" s="389"/>
      <c r="X50" s="389"/>
      <c r="Z50" s="415"/>
    </row>
    <row r="51" spans="2:26" ht="18.75" customHeight="1" x14ac:dyDescent="0.2">
      <c r="B51" s="511" t="s">
        <v>300</v>
      </c>
      <c r="C51" s="512"/>
      <c r="D51" s="513" t="s">
        <v>281</v>
      </c>
      <c r="E51" s="509">
        <f>C51-C50</f>
        <v>0</v>
      </c>
      <c r="G51" s="340" t="s">
        <v>307</v>
      </c>
      <c r="N51" s="389"/>
      <c r="P51" s="375" t="s">
        <v>303</v>
      </c>
      <c r="Q51" s="378">
        <f>SQRT(Q50)</f>
        <v>3551.2693742714118</v>
      </c>
      <c r="R51" s="389"/>
      <c r="T51" s="389"/>
      <c r="V51" s="389"/>
      <c r="X51" s="389"/>
      <c r="Z51" s="415"/>
    </row>
    <row r="52" spans="2:26" ht="18.75" customHeight="1" x14ac:dyDescent="0.2">
      <c r="B52" s="514" t="s">
        <v>283</v>
      </c>
      <c r="C52" s="512"/>
      <c r="D52" s="513" t="s">
        <v>284</v>
      </c>
      <c r="E52" s="509">
        <f>C52-C50</f>
        <v>0</v>
      </c>
      <c r="N52" s="389"/>
      <c r="P52" s="372" t="s">
        <v>304</v>
      </c>
      <c r="Q52" s="373">
        <f>TINV(0.05,(COUNT(Q5:Q46)-2))</f>
        <v>2.0210753903062737</v>
      </c>
      <c r="R52" s="389"/>
      <c r="T52" s="389"/>
      <c r="V52" s="389"/>
      <c r="X52" s="389"/>
      <c r="Z52" s="415"/>
    </row>
    <row r="53" spans="2:26" ht="18.75" customHeight="1" x14ac:dyDescent="0.2">
      <c r="B53" s="403"/>
      <c r="C53" s="403"/>
      <c r="D53" s="403"/>
      <c r="E53" s="403"/>
      <c r="N53" s="389"/>
      <c r="P53" s="396" t="s">
        <v>305</v>
      </c>
      <c r="Q53" s="397">
        <f>Q52*Q51</f>
        <v>7177.3831366883096</v>
      </c>
      <c r="R53" s="389"/>
      <c r="T53" s="389"/>
      <c r="V53" s="389"/>
      <c r="X53" s="389"/>
      <c r="Z53" s="415"/>
    </row>
    <row r="54" spans="2:26" ht="18.75" customHeight="1" x14ac:dyDescent="0.2">
      <c r="B54" s="611" t="s">
        <v>277</v>
      </c>
      <c r="C54" s="611"/>
      <c r="D54" s="611"/>
      <c r="E54" s="611"/>
    </row>
    <row r="55" spans="2:26" ht="18.75" customHeight="1" x14ac:dyDescent="0.2">
      <c r="B55" s="511" t="s">
        <v>278</v>
      </c>
      <c r="C55" s="512"/>
      <c r="D55" s="513"/>
      <c r="E55" s="507"/>
    </row>
    <row r="56" spans="2:26" ht="18.75" customHeight="1" x14ac:dyDescent="0.2">
      <c r="B56" s="511" t="s">
        <v>300</v>
      </c>
      <c r="C56" s="512"/>
      <c r="D56" s="513" t="s">
        <v>281</v>
      </c>
      <c r="E56" s="509">
        <f>C56-C55</f>
        <v>0</v>
      </c>
    </row>
    <row r="57" spans="2:26" ht="18.75" customHeight="1" x14ac:dyDescent="0.2">
      <c r="B57" s="514" t="s">
        <v>283</v>
      </c>
      <c r="C57" s="512"/>
      <c r="D57" s="513" t="s">
        <v>284</v>
      </c>
      <c r="E57" s="509">
        <f>C57-C55</f>
        <v>0</v>
      </c>
    </row>
    <row r="60" spans="2:26" ht="18.75" customHeight="1" thickBot="1" x14ac:dyDescent="0.25"/>
    <row r="61" spans="2:26" ht="18.75" customHeight="1" thickBot="1" x14ac:dyDescent="0.25">
      <c r="B61" s="612" t="s">
        <v>308</v>
      </c>
      <c r="C61" s="612"/>
      <c r="D61" s="612"/>
      <c r="E61" s="612"/>
      <c r="F61" s="612"/>
      <c r="G61" s="612"/>
      <c r="H61" s="612"/>
      <c r="I61" s="612"/>
    </row>
    <row r="62" spans="2:26" ht="18.75" customHeight="1" x14ac:dyDescent="0.2">
      <c r="B62" s="379"/>
      <c r="C62" s="379"/>
      <c r="D62" s="379"/>
      <c r="E62" s="379"/>
      <c r="F62" s="379"/>
      <c r="G62" s="379"/>
      <c r="H62" s="379"/>
      <c r="I62" s="416"/>
    </row>
    <row r="63" spans="2:26" ht="18.75" customHeight="1" x14ac:dyDescent="0.25">
      <c r="B63" s="417" t="s">
        <v>26</v>
      </c>
      <c r="C63" s="418" t="s">
        <v>23</v>
      </c>
      <c r="D63" s="418" t="s">
        <v>32</v>
      </c>
      <c r="E63" s="418" t="s">
        <v>33</v>
      </c>
      <c r="F63" s="418" t="s">
        <v>34</v>
      </c>
      <c r="G63" s="418" t="s">
        <v>35</v>
      </c>
      <c r="H63" s="418" t="s">
        <v>36</v>
      </c>
      <c r="I63" s="418" t="s">
        <v>37</v>
      </c>
    </row>
    <row r="64" spans="2:26" ht="18.75" customHeight="1" x14ac:dyDescent="0.25">
      <c r="B64" s="419">
        <v>1</v>
      </c>
      <c r="C64" s="420">
        <f>'Entrada das intensidades'!B15</f>
        <v>50.891428571428605</v>
      </c>
      <c r="D64" s="420">
        <v>73439.33142857143</v>
      </c>
      <c r="E64" s="420">
        <v>114422.95142857142</v>
      </c>
      <c r="F64" s="420">
        <v>137847.37142857144</v>
      </c>
      <c r="G64" s="420">
        <v>168777.89142857143</v>
      </c>
      <c r="H64" s="420">
        <v>219072.22142857144</v>
      </c>
      <c r="I64" s="420">
        <v>281650.94142857142</v>
      </c>
    </row>
    <row r="65" spans="2:9" ht="18.75" customHeight="1" x14ac:dyDescent="0.25">
      <c r="B65" s="421">
        <v>2</v>
      </c>
      <c r="C65" s="420">
        <f>'Entrada das intensidades'!B16</f>
        <v>-11.91857142857134</v>
      </c>
      <c r="D65" s="420">
        <v>74709.571428571435</v>
      </c>
      <c r="E65" s="420">
        <v>114855.20142857142</v>
      </c>
      <c r="F65" s="420">
        <v>136493.41142857145</v>
      </c>
      <c r="G65" s="420">
        <v>172028.96142857143</v>
      </c>
      <c r="H65" s="420">
        <v>222644.05142857143</v>
      </c>
      <c r="I65" s="420">
        <v>276065.01142857142</v>
      </c>
    </row>
    <row r="66" spans="2:9" ht="18.75" customHeight="1" x14ac:dyDescent="0.25">
      <c r="B66" s="421">
        <v>3</v>
      </c>
      <c r="C66" s="420">
        <f>'Entrada das intensidades'!B17</f>
        <v>-12.118571428571386</v>
      </c>
      <c r="D66" s="420">
        <v>75383.991428571433</v>
      </c>
      <c r="E66" s="420">
        <v>116134.25142857143</v>
      </c>
      <c r="F66" s="420">
        <v>135820.57142857142</v>
      </c>
      <c r="G66" s="420">
        <v>172089.50142857144</v>
      </c>
      <c r="H66" s="420">
        <v>222438.49142857143</v>
      </c>
      <c r="I66" s="420">
        <v>277585.04142857145</v>
      </c>
    </row>
    <row r="67" spans="2:9" ht="18.75" customHeight="1" x14ac:dyDescent="0.25">
      <c r="B67" s="421">
        <v>4</v>
      </c>
      <c r="C67" s="420">
        <f>'Entrada das intensidades'!B18</f>
        <v>3.6914285714287871</v>
      </c>
      <c r="D67" s="420">
        <v>76085.281428571427</v>
      </c>
      <c r="E67" s="420">
        <v>117401.73142857144</v>
      </c>
      <c r="F67" s="420">
        <v>136135.26142857142</v>
      </c>
      <c r="G67" s="420">
        <v>173948.81142857144</v>
      </c>
      <c r="H67" s="420">
        <v>223538.30142857143</v>
      </c>
      <c r="I67" s="420">
        <v>278630.83142857143</v>
      </c>
    </row>
    <row r="68" spans="2:9" ht="18.75" customHeight="1" x14ac:dyDescent="0.25">
      <c r="B68" s="421">
        <v>5</v>
      </c>
      <c r="C68" s="420">
        <f>'Entrada das intensidades'!B19</f>
        <v>9.2914285714286962</v>
      </c>
      <c r="D68" s="420">
        <v>76761.001428571428</v>
      </c>
      <c r="E68" s="420">
        <v>117268.61142857143</v>
      </c>
      <c r="F68" s="420">
        <v>137848.39142857143</v>
      </c>
      <c r="G68" s="420">
        <v>175236.13142857142</v>
      </c>
      <c r="H68" s="420">
        <v>220192.94142857144</v>
      </c>
      <c r="I68" s="420">
        <v>281322.57142857142</v>
      </c>
    </row>
    <row r="69" spans="2:9" ht="18.75" customHeight="1" x14ac:dyDescent="0.25">
      <c r="B69" s="421">
        <v>6</v>
      </c>
      <c r="C69" s="420">
        <f>'Entrada das intensidades'!B20</f>
        <v>-21.318571428571204</v>
      </c>
      <c r="D69" s="420">
        <v>76516.321428571435</v>
      </c>
      <c r="E69" s="420">
        <v>117733.62142857144</v>
      </c>
      <c r="F69" s="420">
        <v>138811.59142857144</v>
      </c>
      <c r="G69" s="420">
        <v>175135.40142857144</v>
      </c>
      <c r="H69" s="420">
        <v>220294.16142857145</v>
      </c>
      <c r="I69" s="420">
        <v>280352.98142857145</v>
      </c>
    </row>
    <row r="70" spans="2:9" ht="18.75" customHeight="1" x14ac:dyDescent="0.25">
      <c r="B70" s="422">
        <v>7</v>
      </c>
      <c r="C70" s="420">
        <f>'Entrada das intensidades'!B21</f>
        <v>-18.518571428571249</v>
      </c>
      <c r="D70" s="420">
        <v>76067.531428571427</v>
      </c>
      <c r="E70" s="420">
        <v>115657.58142857143</v>
      </c>
      <c r="F70" s="420">
        <v>138185.08142857143</v>
      </c>
      <c r="G70" s="420">
        <v>175373.97142857144</v>
      </c>
      <c r="H70" s="420">
        <v>220751.10142857142</v>
      </c>
      <c r="I70" s="420">
        <v>281291.21142857143</v>
      </c>
    </row>
  </sheetData>
  <mergeCells count="18">
    <mergeCell ref="B24:E24"/>
    <mergeCell ref="B54:E54"/>
    <mergeCell ref="B61:I61"/>
    <mergeCell ref="B29:E29"/>
    <mergeCell ref="B34:E34"/>
    <mergeCell ref="B39:E39"/>
    <mergeCell ref="B44:E44"/>
    <mergeCell ref="B49:E49"/>
    <mergeCell ref="N2:Q2"/>
    <mergeCell ref="R2:V2"/>
    <mergeCell ref="B4:E4"/>
    <mergeCell ref="B9:E9"/>
    <mergeCell ref="W2:AA2"/>
    <mergeCell ref="B14:E14"/>
    <mergeCell ref="B19:E19"/>
    <mergeCell ref="G13:H13"/>
    <mergeCell ref="B2:E2"/>
    <mergeCell ref="G2:I2"/>
  </mergeCells>
  <conditionalFormatting sqref="C64:I70">
    <cfRule type="notContainsBlanks" dxfId="41" priority="5" stopIfTrue="1">
      <formula>LEN(TRIM(C64))&gt;0</formula>
    </cfRule>
  </conditionalFormatting>
  <conditionalFormatting sqref="C64:I70">
    <cfRule type="notContainsBlanks" dxfId="40" priority="4" stopIfTrue="1">
      <formula>LEN(TRIM(C64))&gt;0</formula>
    </cfRule>
  </conditionalFormatting>
  <conditionalFormatting sqref="C64:I70">
    <cfRule type="notContainsBlanks" dxfId="39" priority="3" stopIfTrue="1">
      <formula>LEN(TRIM(C64))&gt;0</formula>
    </cfRule>
  </conditionalFormatting>
  <conditionalFormatting sqref="C64:I70">
    <cfRule type="notContainsBlanks" dxfId="38" priority="2" stopIfTrue="1">
      <formula>LEN(TRIM(C64))&gt;0</formula>
    </cfRule>
  </conditionalFormatting>
  <conditionalFormatting sqref="C64:I70">
    <cfRule type="notContainsBlanks" dxfId="37" priority="1" stopIfTrue="1">
      <formula>LEN(TRIM(C64))&gt;0</formula>
    </cfRule>
  </conditionalFormatting>
  <pageMargins left="0.511811024" right="0.511811024" top="0.78740157499999996" bottom="0.78740157499999996" header="0.31496062000000002" footer="0.31496062000000002"/>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BB73"/>
  <sheetViews>
    <sheetView tabSelected="1" topLeftCell="G1" zoomScaleNormal="100" workbookViewId="0">
      <selection activeCell="S11" sqref="S11"/>
    </sheetView>
  </sheetViews>
  <sheetFormatPr defaultRowHeight="15" x14ac:dyDescent="0.2"/>
  <cols>
    <col min="1" max="12" width="9.140625" style="423"/>
    <col min="13" max="13" width="19.7109375" style="423" bestFit="1" customWidth="1"/>
    <col min="14" max="20" width="14.28515625" style="423" customWidth="1"/>
    <col min="21" max="21" width="17.140625" style="423" bestFit="1" customWidth="1"/>
    <col min="22" max="23" width="11.140625" style="423" bestFit="1" customWidth="1"/>
    <col min="24" max="24" width="12.7109375" style="423" customWidth="1"/>
    <col min="25" max="25" width="16.28515625" style="423" customWidth="1"/>
    <col min="26" max="26" width="9.140625" style="423"/>
    <col min="27" max="27" width="16" style="423" bestFit="1" customWidth="1"/>
    <col min="28" max="28" width="18.42578125" style="423" customWidth="1"/>
    <col min="29" max="29" width="23.140625" style="423" bestFit="1" customWidth="1"/>
    <col min="30" max="30" width="20.42578125" style="423" bestFit="1" customWidth="1"/>
    <col min="31" max="31" width="9.140625" style="423"/>
    <col min="32" max="32" width="18.28515625" style="423" bestFit="1" customWidth="1"/>
    <col min="33" max="33" width="40.42578125" style="423" bestFit="1" customWidth="1"/>
    <col min="34" max="34" width="9.140625" style="423"/>
    <col min="35" max="35" width="17" style="423" bestFit="1" customWidth="1"/>
    <col min="36" max="36" width="31" style="423" bestFit="1" customWidth="1"/>
    <col min="37" max="37" width="9.140625" style="423"/>
    <col min="38" max="38" width="32.7109375" style="423" bestFit="1" customWidth="1"/>
    <col min="39" max="40" width="9.140625" style="423"/>
    <col min="41" max="41" width="18.85546875" style="423" bestFit="1" customWidth="1"/>
    <col min="42" max="42" width="20.85546875" style="423" bestFit="1" customWidth="1"/>
    <col min="43" max="45" width="9.140625" style="423"/>
    <col min="46" max="46" width="15.7109375" style="423" customWidth="1"/>
    <col min="47" max="47" width="9.140625" style="423"/>
    <col min="48" max="48" width="19.28515625" style="423" customWidth="1"/>
    <col min="49" max="49" width="10.7109375" style="423" customWidth="1"/>
    <col min="50" max="50" width="14.42578125" style="423" customWidth="1"/>
    <col min="51" max="51" width="9.140625" style="423"/>
    <col min="52" max="52" width="12.140625" style="423" customWidth="1"/>
    <col min="53" max="53" width="9.140625" style="423"/>
    <col min="54" max="54" width="35.42578125" style="423" customWidth="1"/>
    <col min="55" max="16384" width="9.140625" style="423"/>
  </cols>
  <sheetData>
    <row r="1" spans="2:54" ht="16.5" thickBot="1" x14ac:dyDescent="0.25">
      <c r="AR1" s="613" t="s">
        <v>405</v>
      </c>
      <c r="AS1" s="613"/>
      <c r="AT1" s="613"/>
      <c r="AU1" s="613"/>
      <c r="AV1" s="613"/>
      <c r="AW1" s="613"/>
      <c r="AX1" s="613"/>
      <c r="AY1" s="613"/>
      <c r="AZ1" s="613"/>
      <c r="BA1" s="613"/>
      <c r="BB1" s="613"/>
    </row>
    <row r="2" spans="2:54" ht="16.5" thickBot="1" x14ac:dyDescent="0.25">
      <c r="B2" s="623" t="s">
        <v>309</v>
      </c>
      <c r="C2" s="624"/>
      <c r="D2" s="624"/>
      <c r="E2" s="624"/>
      <c r="F2" s="624"/>
      <c r="G2" s="624"/>
      <c r="H2" s="624"/>
      <c r="I2" s="625"/>
      <c r="M2" s="620" t="s">
        <v>310</v>
      </c>
      <c r="N2" s="621"/>
      <c r="O2" s="621"/>
      <c r="P2" s="621"/>
      <c r="Q2" s="621"/>
      <c r="R2" s="621"/>
      <c r="S2" s="622"/>
      <c r="U2" s="620" t="s">
        <v>311</v>
      </c>
      <c r="V2" s="621"/>
      <c r="W2" s="621"/>
      <c r="X2" s="621"/>
      <c r="Y2" s="622"/>
      <c r="AA2" s="620" t="s">
        <v>312</v>
      </c>
      <c r="AB2" s="621"/>
      <c r="AC2" s="621"/>
      <c r="AD2" s="622"/>
      <c r="AF2" s="620" t="s">
        <v>402</v>
      </c>
      <c r="AG2" s="621"/>
      <c r="AH2" s="621"/>
      <c r="AI2" s="621"/>
      <c r="AJ2" s="622"/>
      <c r="AL2" s="620" t="s">
        <v>404</v>
      </c>
      <c r="AM2" s="621"/>
      <c r="AN2" s="621"/>
      <c r="AO2" s="621"/>
      <c r="AP2" s="622"/>
      <c r="AR2" s="616" t="s">
        <v>315</v>
      </c>
      <c r="AS2" s="616"/>
      <c r="AT2" s="616"/>
      <c r="AU2" s="616" t="s">
        <v>316</v>
      </c>
      <c r="AV2" s="616"/>
      <c r="AW2" s="616" t="s">
        <v>317</v>
      </c>
      <c r="AX2" s="616"/>
      <c r="AY2" s="616" t="s">
        <v>318</v>
      </c>
      <c r="AZ2" s="616"/>
      <c r="BA2" s="616" t="s">
        <v>319</v>
      </c>
      <c r="BB2" s="616"/>
    </row>
    <row r="3" spans="2:54" ht="15.75" thickBot="1" x14ac:dyDescent="0.25">
      <c r="M3" s="426"/>
      <c r="N3" s="426"/>
      <c r="O3" s="426"/>
      <c r="P3" s="426"/>
      <c r="Q3" s="426"/>
      <c r="R3" s="426"/>
      <c r="S3" s="426"/>
      <c r="AA3" s="425"/>
      <c r="AB3" s="425"/>
      <c r="AC3" s="425"/>
      <c r="AD3" s="425"/>
      <c r="AF3" s="425"/>
      <c r="AG3" s="425"/>
      <c r="AR3" s="617" t="s">
        <v>321</v>
      </c>
      <c r="AS3" s="617"/>
      <c r="AT3" s="617"/>
      <c r="AU3" s="617" t="s">
        <v>322</v>
      </c>
      <c r="AV3" s="617"/>
      <c r="AW3" s="626"/>
      <c r="AX3" s="626"/>
      <c r="AY3" s="617"/>
      <c r="AZ3" s="617"/>
      <c r="BA3" s="617" t="s">
        <v>323</v>
      </c>
      <c r="BB3" s="617"/>
    </row>
    <row r="4" spans="2:54" ht="21" thickBot="1" x14ac:dyDescent="0.4">
      <c r="M4" s="417" t="s">
        <v>26</v>
      </c>
      <c r="N4" s="417" t="s">
        <v>32</v>
      </c>
      <c r="O4" s="417" t="s">
        <v>33</v>
      </c>
      <c r="P4" s="417" t="s">
        <v>34</v>
      </c>
      <c r="Q4" s="417" t="s">
        <v>35</v>
      </c>
      <c r="R4" s="417" t="s">
        <v>36</v>
      </c>
      <c r="S4" s="417" t="s">
        <v>37</v>
      </c>
      <c r="U4" s="627" t="s">
        <v>292</v>
      </c>
      <c r="V4" s="627"/>
      <c r="X4" s="431" t="s">
        <v>293</v>
      </c>
      <c r="Y4" s="432" t="s">
        <v>294</v>
      </c>
      <c r="AA4" s="628" t="s">
        <v>401</v>
      </c>
      <c r="AB4" s="628"/>
      <c r="AC4" s="628"/>
      <c r="AD4" s="628"/>
      <c r="AF4" s="629" t="s">
        <v>313</v>
      </c>
      <c r="AG4" s="629"/>
      <c r="AL4" s="433" t="s">
        <v>324</v>
      </c>
      <c r="AO4" s="629" t="s">
        <v>325</v>
      </c>
      <c r="AP4" s="629"/>
      <c r="AR4" s="618" t="s">
        <v>327</v>
      </c>
      <c r="AS4" s="618"/>
      <c r="AT4" s="618"/>
      <c r="AU4" s="618" t="s">
        <v>328</v>
      </c>
      <c r="AV4" s="618"/>
      <c r="AW4" s="618"/>
      <c r="AX4" s="618"/>
      <c r="AY4" s="618"/>
      <c r="AZ4" s="618"/>
      <c r="BA4" s="618" t="s">
        <v>323</v>
      </c>
      <c r="BB4" s="618"/>
    </row>
    <row r="5" spans="2:54" ht="19.5" customHeight="1" thickBot="1" x14ac:dyDescent="0.25">
      <c r="M5" s="436">
        <v>1</v>
      </c>
      <c r="N5" s="437">
        <f>'Entrada das intensidades'!C15</f>
        <v>73439.33142857143</v>
      </c>
      <c r="O5" s="437">
        <f>'Entrada das intensidades'!D15</f>
        <v>114422.95142857142</v>
      </c>
      <c r="P5" s="437">
        <f>'Entrada das intensidades'!E15</f>
        <v>137847.37142857144</v>
      </c>
      <c r="Q5" s="437">
        <f>'Entrada das intensidades'!F5</f>
        <v>169874.87</v>
      </c>
      <c r="R5" s="437">
        <f>'Entrada das intensidades'!G15</f>
        <v>219072.22142857144</v>
      </c>
      <c r="S5" s="437">
        <f>'Entrada das intensidades'!H15</f>
        <v>281650.94142857142</v>
      </c>
      <c r="U5" s="438" t="s">
        <v>295</v>
      </c>
      <c r="V5" s="398">
        <f>MAX(N16:S16)</f>
        <v>5888811.5439904826</v>
      </c>
      <c r="X5" s="425"/>
      <c r="Y5" s="425"/>
      <c r="AA5" s="425"/>
      <c r="AB5" s="425"/>
      <c r="AC5" s="425"/>
      <c r="AD5" s="425"/>
      <c r="AF5" s="439" t="s">
        <v>320</v>
      </c>
      <c r="AG5" s="440"/>
      <c r="AH5" s="425"/>
      <c r="AI5" s="425"/>
      <c r="AJ5" s="425"/>
      <c r="AO5" s="439" t="s">
        <v>329</v>
      </c>
      <c r="AP5" s="439" t="s">
        <v>330</v>
      </c>
      <c r="AR5" s="619" t="s">
        <v>332</v>
      </c>
      <c r="AS5" s="619"/>
      <c r="AT5" s="619"/>
      <c r="AU5" s="619" t="s">
        <v>333</v>
      </c>
      <c r="AV5" s="619"/>
      <c r="AW5" s="619"/>
      <c r="AX5" s="619"/>
      <c r="AY5" s="630"/>
      <c r="AZ5" s="630"/>
      <c r="BA5" s="619" t="s">
        <v>334</v>
      </c>
      <c r="BB5" s="619"/>
    </row>
    <row r="6" spans="2:54" ht="16.5" thickBot="1" x14ac:dyDescent="0.3">
      <c r="M6" s="441">
        <v>2</v>
      </c>
      <c r="N6" s="437">
        <f>'Entrada das intensidades'!C16</f>
        <v>74709.571428571435</v>
      </c>
      <c r="O6" s="437">
        <f>'Entrada das intensidades'!D16</f>
        <v>114855.20142857142</v>
      </c>
      <c r="P6" s="437">
        <f>'Entrada das intensidades'!E16</f>
        <v>136493.41142857145</v>
      </c>
      <c r="Q6" s="437">
        <f>'Entrada das intensidades'!F6</f>
        <v>173125.94</v>
      </c>
      <c r="R6" s="437">
        <f>'Entrada das intensidades'!G16</f>
        <v>222644.05142857143</v>
      </c>
      <c r="S6" s="437">
        <f>'Entrada das intensidades'!H16</f>
        <v>276065.01142857142</v>
      </c>
      <c r="U6" s="438" t="s">
        <v>296</v>
      </c>
      <c r="V6" s="398">
        <f>SUM(N16:S16)</f>
        <v>17539078.262161903</v>
      </c>
      <c r="X6" s="631" t="str">
        <f>IF(V7&lt;V9,"HOMOCEDÁSTICO","HETEROCEDÁSTICO")</f>
        <v>HOMOCEDÁSTICO</v>
      </c>
      <c r="Y6" s="631"/>
      <c r="AA6" s="443" t="s">
        <v>314</v>
      </c>
      <c r="AB6" s="443" t="s">
        <v>335</v>
      </c>
      <c r="AC6" s="443" t="s">
        <v>336</v>
      </c>
      <c r="AD6" s="443" t="s">
        <v>337</v>
      </c>
      <c r="AF6" s="435" t="s">
        <v>326</v>
      </c>
      <c r="AG6" s="444"/>
      <c r="AH6" s="425"/>
      <c r="AI6" s="425"/>
      <c r="AJ6" s="425"/>
      <c r="AL6" s="445" t="s">
        <v>338</v>
      </c>
      <c r="AO6" s="435" t="s">
        <v>339</v>
      </c>
      <c r="AP6" s="435" t="s">
        <v>330</v>
      </c>
      <c r="AR6" s="618" t="s">
        <v>340</v>
      </c>
      <c r="AS6" s="618"/>
      <c r="AT6" s="618"/>
      <c r="AU6" s="618" t="s">
        <v>341</v>
      </c>
      <c r="AV6" s="618"/>
      <c r="AW6" s="632"/>
      <c r="AX6" s="632"/>
      <c r="AY6" s="618"/>
      <c r="AZ6" s="618"/>
      <c r="BA6" s="618" t="s">
        <v>342</v>
      </c>
      <c r="BB6" s="618"/>
    </row>
    <row r="7" spans="2:54" ht="20.25" thickBot="1" x14ac:dyDescent="0.4">
      <c r="M7" s="441">
        <v>3</v>
      </c>
      <c r="N7" s="437">
        <f>'Entrada das intensidades'!C17</f>
        <v>75383.991428571433</v>
      </c>
      <c r="O7" s="437">
        <f>'Entrada das intensidades'!D17</f>
        <v>116134.25142857143</v>
      </c>
      <c r="P7" s="437">
        <f>'Entrada das intensidades'!E17</f>
        <v>135820.57142857142</v>
      </c>
      <c r="Q7" s="437">
        <f>'Entrada das intensidades'!F7</f>
        <v>173186.48</v>
      </c>
      <c r="R7" s="437">
        <f>'Entrada das intensidades'!G17</f>
        <v>222438.49142857143</v>
      </c>
      <c r="S7" s="437">
        <f>'Entrada das intensidades'!H17</f>
        <v>277585.04142857145</v>
      </c>
      <c r="U7" s="446" t="s">
        <v>297</v>
      </c>
      <c r="V7" s="400">
        <f>V5/V6</f>
        <v>0.33575376402161144</v>
      </c>
      <c r="X7" s="447" t="s">
        <v>298</v>
      </c>
      <c r="Y7" s="425"/>
      <c r="AA7" s="427" t="s">
        <v>343</v>
      </c>
      <c r="AB7" s="428">
        <f>'Dados e cálculos'!R5:R46</f>
        <v>8352252168.4902515</v>
      </c>
      <c r="AC7" s="429">
        <f>AB14-1</f>
        <v>1</v>
      </c>
      <c r="AD7" s="428">
        <f>AB7/AC7</f>
        <v>8352252168.4902515</v>
      </c>
      <c r="AF7" s="448" t="s">
        <v>331</v>
      </c>
      <c r="AG7" s="449"/>
      <c r="AH7" s="425"/>
      <c r="AI7" s="425"/>
      <c r="AJ7" s="425"/>
      <c r="AO7" s="448" t="s">
        <v>344</v>
      </c>
      <c r="AP7" s="450">
        <v>0.94199999999999995</v>
      </c>
      <c r="AR7" s="619" t="s">
        <v>347</v>
      </c>
      <c r="AS7" s="619"/>
      <c r="AT7" s="619"/>
      <c r="AU7" s="619" t="s">
        <v>348</v>
      </c>
      <c r="AV7" s="619"/>
      <c r="AW7" s="633"/>
      <c r="AX7" s="633"/>
      <c r="AY7" s="619"/>
      <c r="AZ7" s="619"/>
      <c r="BA7" s="619" t="s">
        <v>349</v>
      </c>
      <c r="BB7" s="619"/>
    </row>
    <row r="8" spans="2:54" ht="20.25" thickBot="1" x14ac:dyDescent="0.4">
      <c r="M8" s="441">
        <v>4</v>
      </c>
      <c r="N8" s="437">
        <f>'Entrada das intensidades'!C18</f>
        <v>76085.281428571427</v>
      </c>
      <c r="O8" s="437">
        <f>'Entrada das intensidades'!D18</f>
        <v>117401.73142857144</v>
      </c>
      <c r="P8" s="437">
        <f>'Entrada das intensidades'!E18</f>
        <v>136135.26142857142</v>
      </c>
      <c r="Q8" s="437">
        <f>'Entrada das intensidades'!F8</f>
        <v>175045.79</v>
      </c>
      <c r="R8" s="437">
        <f>'Entrada das intensidades'!G18</f>
        <v>223538.30142857143</v>
      </c>
      <c r="S8" s="437">
        <f>'Entrada das intensidades'!H18</f>
        <v>278630.83142857143</v>
      </c>
      <c r="U8" s="453"/>
      <c r="V8" s="453"/>
      <c r="X8" s="641" t="s">
        <v>299</v>
      </c>
      <c r="Y8" s="641"/>
      <c r="AA8" s="434" t="s">
        <v>350</v>
      </c>
      <c r="AB8" s="435">
        <f>'Dados e cálculos'!S5:S46</f>
        <v>81499.642955261312</v>
      </c>
      <c r="AC8" s="454">
        <f>AB15-AB14</f>
        <v>40</v>
      </c>
      <c r="AD8" s="435">
        <f>AB8/AC8</f>
        <v>2037.4910738815329</v>
      </c>
      <c r="AF8" s="425"/>
      <c r="AG8" s="425"/>
      <c r="AH8" s="425"/>
      <c r="AI8" s="425"/>
      <c r="AJ8" s="425"/>
      <c r="AL8" s="455" t="s">
        <v>403</v>
      </c>
      <c r="AO8" s="435"/>
      <c r="AP8" s="435"/>
      <c r="AR8" s="618" t="s">
        <v>354</v>
      </c>
      <c r="AS8" s="618"/>
      <c r="AT8" s="618"/>
      <c r="AU8" s="618" t="s">
        <v>355</v>
      </c>
      <c r="AV8" s="618"/>
      <c r="AW8" s="635"/>
      <c r="AX8" s="635"/>
      <c r="AY8" s="636"/>
      <c r="AZ8" s="636"/>
      <c r="BA8" s="618" t="s">
        <v>356</v>
      </c>
      <c r="BB8" s="618"/>
    </row>
    <row r="9" spans="2:54" ht="20.25" thickBot="1" x14ac:dyDescent="0.4">
      <c r="M9" s="441">
        <v>5</v>
      </c>
      <c r="N9" s="437">
        <f>'Entrada das intensidades'!C19</f>
        <v>76761.001428571428</v>
      </c>
      <c r="O9" s="437">
        <f>'Entrada das intensidades'!D19</f>
        <v>117268.61142857143</v>
      </c>
      <c r="P9" s="437">
        <f>'Entrada das intensidades'!E19</f>
        <v>137848.39142857143</v>
      </c>
      <c r="Q9" s="437">
        <f>'Entrada das intensidades'!F9</f>
        <v>176333.11</v>
      </c>
      <c r="R9" s="437">
        <f>'Entrada das intensidades'!G19</f>
        <v>220192.94142857144</v>
      </c>
      <c r="S9" s="437">
        <f>'Entrada das intensidades'!H19</f>
        <v>281322.57142857142</v>
      </c>
      <c r="U9" s="457" t="s">
        <v>357</v>
      </c>
      <c r="V9" s="457">
        <v>0.4194</v>
      </c>
      <c r="X9" s="641"/>
      <c r="Y9" s="641"/>
      <c r="AA9" s="427" t="s">
        <v>358</v>
      </c>
      <c r="AB9" s="428">
        <f>'Dados e cálculos'!T5:T46</f>
        <v>54593.660191439973</v>
      </c>
      <c r="AC9" s="429">
        <f>AB16-AB14</f>
        <v>4</v>
      </c>
      <c r="AD9" s="428">
        <f>AB9/AC9</f>
        <v>13648.415047859993</v>
      </c>
      <c r="AF9" s="629" t="s">
        <v>345</v>
      </c>
      <c r="AG9" s="629"/>
      <c r="AH9" s="425"/>
      <c r="AI9" s="629" t="s">
        <v>346</v>
      </c>
      <c r="AJ9" s="629"/>
      <c r="AL9" s="455" t="s">
        <v>359</v>
      </c>
      <c r="AO9" s="638" t="str">
        <f>IF(AM8&gt;AP7,"DISTRIBUIÇÃO NORMAL","DISTRIBUIÇÃO NÃO NORMAL")</f>
        <v>DISTRIBUIÇÃO NÃO NORMAL</v>
      </c>
      <c r="AP9" s="639"/>
      <c r="AR9" s="614" t="s">
        <v>363</v>
      </c>
      <c r="AS9" s="614"/>
      <c r="AT9" s="614"/>
      <c r="AU9" s="614" t="s">
        <v>362</v>
      </c>
      <c r="AV9" s="614"/>
      <c r="AW9" s="637"/>
      <c r="AX9" s="637"/>
      <c r="AY9" s="615"/>
      <c r="AZ9" s="615"/>
      <c r="BA9" s="614" t="s">
        <v>364</v>
      </c>
      <c r="BB9" s="614"/>
    </row>
    <row r="10" spans="2:54" ht="20.25" thickBot="1" x14ac:dyDescent="0.4">
      <c r="M10" s="441">
        <v>6</v>
      </c>
      <c r="N10" s="437">
        <f>'Entrada das intensidades'!C20</f>
        <v>76516.321428571435</v>
      </c>
      <c r="O10" s="437">
        <f>'Entrada das intensidades'!D20</f>
        <v>117733.62142857144</v>
      </c>
      <c r="P10" s="437">
        <f>'Entrada das intensidades'!E20</f>
        <v>138811.59142857144</v>
      </c>
      <c r="Q10" s="437">
        <f>'Entrada das intensidades'!F10</f>
        <v>176232.38</v>
      </c>
      <c r="R10" s="437">
        <f>'Entrada das intensidades'!G20</f>
        <v>220294.16142857145</v>
      </c>
      <c r="S10" s="437">
        <f>'Entrada das intensidades'!H20</f>
        <v>280352.98142857145</v>
      </c>
      <c r="AA10" s="434" t="s">
        <v>365</v>
      </c>
      <c r="AB10" s="435">
        <f>'Dados e cálculos'!U5:U46</f>
        <v>902831.17323270079</v>
      </c>
      <c r="AC10" s="454">
        <f>AB15-AB16</f>
        <v>36</v>
      </c>
      <c r="AD10" s="435">
        <f>AB10/AC10</f>
        <v>25078.643700908357</v>
      </c>
      <c r="AF10" s="439" t="s">
        <v>352</v>
      </c>
      <c r="AG10" s="456" t="str">
        <f>IF(AG5&lt;AG6,"HÁ CORRELAÇÃO POSITIVA","---")</f>
        <v>---</v>
      </c>
      <c r="AH10" s="425"/>
      <c r="AI10" s="439" t="s">
        <v>352</v>
      </c>
      <c r="AJ10" s="456" t="s">
        <v>353</v>
      </c>
    </row>
    <row r="11" spans="2:54" ht="20.25" thickBot="1" x14ac:dyDescent="0.4">
      <c r="M11" s="462">
        <v>7</v>
      </c>
      <c r="N11" s="437">
        <f>'Entrada das intensidades'!C21</f>
        <v>76067.531428571427</v>
      </c>
      <c r="O11" s="437">
        <f>'Entrada das intensidades'!D21</f>
        <v>115657.58142857143</v>
      </c>
      <c r="P11" s="437">
        <f>'Entrada das intensidades'!E21</f>
        <v>138185.08142857143</v>
      </c>
      <c r="Q11" s="437">
        <f>'Entrada das intensidades'!F11</f>
        <v>176470.95</v>
      </c>
      <c r="R11" s="437">
        <f>'Entrada das intensidades'!G21</f>
        <v>220751.10142857142</v>
      </c>
      <c r="S11" s="437">
        <f>'Entrada das intensidades'!H21</f>
        <v>281291.21142857143</v>
      </c>
      <c r="U11" s="459"/>
      <c r="V11" s="459"/>
      <c r="W11" s="459"/>
      <c r="AA11" s="451" t="s">
        <v>368</v>
      </c>
      <c r="AB11" s="448">
        <f>SUM('Dados e cálculos'!V5:V46)</f>
        <v>192429893961.09863</v>
      </c>
      <c r="AC11" s="452">
        <f>AB15-1</f>
        <v>41</v>
      </c>
      <c r="AD11" s="448">
        <f>AB11/AC11</f>
        <v>4693412047.8316736</v>
      </c>
      <c r="AF11" s="435" t="s">
        <v>360</v>
      </c>
      <c r="AG11" s="458" t="str">
        <f>IF(AG5&gt;AG7,"NÃO HÁ CORRELAÇÃO POSITIVA","---")</f>
        <v>---</v>
      </c>
      <c r="AH11" s="425"/>
      <c r="AI11" s="435" t="s">
        <v>360</v>
      </c>
      <c r="AJ11" s="458" t="s">
        <v>361</v>
      </c>
      <c r="AL11" s="634" t="s">
        <v>369</v>
      </c>
      <c r="AM11" s="634"/>
      <c r="AO11" s="608" t="s">
        <v>379</v>
      </c>
      <c r="AP11" s="608"/>
    </row>
    <row r="12" spans="2:54" ht="16.5" thickBot="1" x14ac:dyDescent="0.3">
      <c r="J12" s="515"/>
      <c r="M12" s="464" t="s">
        <v>38</v>
      </c>
      <c r="N12" s="383">
        <f t="shared" ref="N12:S12" si="0">AVERAGE(N5:N11)</f>
        <v>75566.147142857124</v>
      </c>
      <c r="O12" s="383">
        <f t="shared" si="0"/>
        <v>116210.56428571428</v>
      </c>
      <c r="P12" s="383">
        <f t="shared" si="0"/>
        <v>137305.95428571428</v>
      </c>
      <c r="Q12" s="383">
        <f t="shared" si="0"/>
        <v>174324.21714285715</v>
      </c>
      <c r="R12" s="383">
        <f t="shared" si="0"/>
        <v>221275.89571428573</v>
      </c>
      <c r="S12" s="383">
        <f t="shared" si="0"/>
        <v>279556.94142857142</v>
      </c>
      <c r="U12" s="608" t="s">
        <v>370</v>
      </c>
      <c r="V12" s="608"/>
      <c r="W12" s="608"/>
      <c r="AA12" s="425"/>
      <c r="AB12" s="425"/>
      <c r="AC12" s="425"/>
      <c r="AD12" s="425"/>
      <c r="AF12" s="448" t="s">
        <v>366</v>
      </c>
      <c r="AG12" s="460" t="str">
        <f>IF(AG6&lt;AG5&lt;AG7,"INCONCLUSIVO","---")</f>
        <v>---</v>
      </c>
      <c r="AH12" s="425"/>
      <c r="AI12" s="448" t="s">
        <v>366</v>
      </c>
      <c r="AJ12" s="460" t="s">
        <v>367</v>
      </c>
      <c r="AL12" s="465" t="s">
        <v>333</v>
      </c>
      <c r="AM12" s="501"/>
      <c r="AO12" s="474" t="s">
        <v>351</v>
      </c>
      <c r="AP12" s="475"/>
    </row>
    <row r="13" spans="2:54" ht="16.5" thickBot="1" x14ac:dyDescent="0.3">
      <c r="J13" s="515"/>
      <c r="M13" s="466" t="s">
        <v>285</v>
      </c>
      <c r="N13" s="384">
        <f t="shared" ref="N13:S13" si="1">_xlfn.STDEV.S(N5:N11)</f>
        <v>1164.8778395874406</v>
      </c>
      <c r="O13" s="384">
        <f t="shared" si="1"/>
        <v>1303.9828649911349</v>
      </c>
      <c r="P13" s="384">
        <f t="shared" si="1"/>
        <v>1144.8644904196383</v>
      </c>
      <c r="Q13" s="384">
        <f t="shared" si="1"/>
        <v>2426.6873601662169</v>
      </c>
      <c r="R13" s="384">
        <f t="shared" si="1"/>
        <v>1612.9755144851254</v>
      </c>
      <c r="S13" s="384">
        <f t="shared" si="1"/>
        <v>2163.4579526920911</v>
      </c>
      <c r="U13" s="640" t="s">
        <v>373</v>
      </c>
      <c r="V13" s="640"/>
      <c r="W13" s="467">
        <f>V5</f>
        <v>5888811.5439904826</v>
      </c>
      <c r="AA13" s="430" t="s">
        <v>374</v>
      </c>
      <c r="AB13" s="430"/>
      <c r="AC13" s="425"/>
      <c r="AD13" s="425"/>
      <c r="AF13" s="425"/>
      <c r="AG13" s="425"/>
      <c r="AH13" s="425"/>
      <c r="AI13" s="425"/>
      <c r="AJ13" s="425"/>
      <c r="AL13" s="468" t="s">
        <v>375</v>
      </c>
      <c r="AM13" s="468"/>
      <c r="AO13" s="477" t="s">
        <v>359</v>
      </c>
      <c r="AP13" s="461"/>
    </row>
    <row r="14" spans="2:54" ht="16.5" thickBot="1" x14ac:dyDescent="0.3">
      <c r="J14" s="515"/>
      <c r="M14" s="470" t="s">
        <v>286</v>
      </c>
      <c r="N14" s="471">
        <f t="shared" ref="N14:S14" si="2">(N12-N5)/N13</f>
        <v>1.8257843372133673</v>
      </c>
      <c r="O14" s="471">
        <f t="shared" si="2"/>
        <v>1.3708867694016895</v>
      </c>
      <c r="P14" s="471">
        <f t="shared" si="2"/>
        <v>-0.47290936821588925</v>
      </c>
      <c r="Q14" s="471">
        <f>(Q12-Q5)/Q13</f>
        <v>1.8335065389520924</v>
      </c>
      <c r="R14" s="471">
        <f t="shared" si="2"/>
        <v>1.3662168246972504</v>
      </c>
      <c r="S14" s="471">
        <f t="shared" si="2"/>
        <v>-0.96789493754400846</v>
      </c>
      <c r="U14" s="642" t="s">
        <v>377</v>
      </c>
      <c r="V14" s="642"/>
      <c r="W14" s="472">
        <f>V6</f>
        <v>17539078.262161903</v>
      </c>
      <c r="AA14" s="427" t="s">
        <v>378</v>
      </c>
      <c r="AB14" s="429">
        <v>2</v>
      </c>
      <c r="AC14" s="425"/>
      <c r="AD14" s="425"/>
      <c r="AF14" s="629" t="s">
        <v>371</v>
      </c>
      <c r="AG14" s="629"/>
      <c r="AH14" s="425"/>
      <c r="AI14" s="629" t="s">
        <v>372</v>
      </c>
      <c r="AJ14" s="629"/>
    </row>
    <row r="15" spans="2:54" ht="15.75" x14ac:dyDescent="0.25">
      <c r="J15" s="515"/>
      <c r="M15" s="470" t="s">
        <v>288</v>
      </c>
      <c r="N15" s="471">
        <f t="shared" ref="N15:S15" si="3">(N11-N12)/N13</f>
        <v>0.43041791050971973</v>
      </c>
      <c r="O15" s="471">
        <f t="shared" si="3"/>
        <v>-0.42407218069281227</v>
      </c>
      <c r="P15" s="471">
        <f t="shared" si="3"/>
        <v>0.76788751001868705</v>
      </c>
      <c r="Q15" s="471">
        <f t="shared" si="3"/>
        <v>0.88463511714826948</v>
      </c>
      <c r="R15" s="471">
        <f t="shared" si="3"/>
        <v>-0.32535787493452728</v>
      </c>
      <c r="S15" s="471">
        <f t="shared" si="3"/>
        <v>0.80161946195533218</v>
      </c>
      <c r="U15" s="647" t="s">
        <v>341</v>
      </c>
      <c r="V15" s="647"/>
      <c r="W15" s="473">
        <f>V7</f>
        <v>0.33575376402161144</v>
      </c>
      <c r="AA15" s="434" t="s">
        <v>102</v>
      </c>
      <c r="AB15" s="454">
        <f>COUNT('[2]Dados e cálculos'!Q5:Q46)</f>
        <v>42</v>
      </c>
      <c r="AC15" s="425"/>
      <c r="AD15" s="425"/>
      <c r="AF15" s="428" t="s">
        <v>376</v>
      </c>
      <c r="AG15" s="469" t="str">
        <f>IF((4-AG5)&lt;AG6,"HÁ CORRELAÇÃO NEGATIVA","---")</f>
        <v>---</v>
      </c>
      <c r="AH15" s="425"/>
      <c r="AI15" s="439" t="s">
        <v>376</v>
      </c>
      <c r="AJ15" s="456" t="s">
        <v>353</v>
      </c>
    </row>
    <row r="16" spans="2:54" ht="16.5" thickBot="1" x14ac:dyDescent="0.3">
      <c r="J16" s="515"/>
      <c r="M16" s="476" t="s">
        <v>290</v>
      </c>
      <c r="N16" s="395">
        <f t="shared" ref="N16:S16" si="4">N13^2</f>
        <v>1356940.381161903</v>
      </c>
      <c r="O16" s="395">
        <f t="shared" si="4"/>
        <v>1700371.3121904882</v>
      </c>
      <c r="P16" s="395">
        <f t="shared" si="4"/>
        <v>1310714.701423818</v>
      </c>
      <c r="Q16" s="395">
        <f t="shared" si="4"/>
        <v>5888811.5439904826</v>
      </c>
      <c r="R16" s="395">
        <f t="shared" si="4"/>
        <v>2601690.010328555</v>
      </c>
      <c r="S16" s="395">
        <f t="shared" si="4"/>
        <v>4680550.3130666539</v>
      </c>
      <c r="U16" s="648" t="s">
        <v>382</v>
      </c>
      <c r="V16" s="648"/>
      <c r="W16" s="461">
        <f>V9</f>
        <v>0.4194</v>
      </c>
      <c r="AA16" s="451" t="s">
        <v>383</v>
      </c>
      <c r="AB16" s="452">
        <f>COUNT('[2]Dados e cálculos'!H7:H12)</f>
        <v>6</v>
      </c>
      <c r="AC16" s="425"/>
      <c r="AD16" s="425"/>
      <c r="AF16" s="435" t="s">
        <v>380</v>
      </c>
      <c r="AG16" s="458" t="str">
        <f>IF((4-AG5)&gt;AG7,"NÃO HÁ CORRELAÇÃO NEGATIVA","---")</f>
        <v>NÃO HÁ CORRELAÇÃO NEGATIVA</v>
      </c>
      <c r="AH16" s="425"/>
      <c r="AI16" s="435" t="s">
        <v>380</v>
      </c>
      <c r="AJ16" s="458" t="s">
        <v>361</v>
      </c>
    </row>
    <row r="17" spans="10:53" ht="16.5" thickBot="1" x14ac:dyDescent="0.3">
      <c r="J17" s="515"/>
      <c r="S17" s="426"/>
      <c r="AA17" s="425"/>
      <c r="AB17" s="425"/>
      <c r="AC17" s="425"/>
      <c r="AD17" s="425"/>
      <c r="AF17" s="448" t="s">
        <v>381</v>
      </c>
      <c r="AG17" s="460" t="str">
        <f>IF(AG6&lt;(4-AG5)&lt;AG7,"INCONCLUSIVO","---")</f>
        <v>---</v>
      </c>
      <c r="AH17" s="425"/>
      <c r="AI17" s="448" t="s">
        <v>381</v>
      </c>
      <c r="AJ17" s="460" t="s">
        <v>367</v>
      </c>
    </row>
    <row r="18" spans="10:53" ht="16.5" thickBot="1" x14ac:dyDescent="0.3">
      <c r="J18" s="515"/>
      <c r="M18" s="478" t="s">
        <v>384</v>
      </c>
      <c r="N18" s="479">
        <v>2.02</v>
      </c>
      <c r="S18" s="426"/>
      <c r="AA18" s="443"/>
      <c r="AB18" s="443" t="s">
        <v>385</v>
      </c>
      <c r="AC18" s="443" t="s">
        <v>386</v>
      </c>
      <c r="AD18" s="425"/>
      <c r="AF18" s="425"/>
      <c r="AG18" s="425"/>
      <c r="AH18" s="425"/>
    </row>
    <row r="19" spans="10:53" x14ac:dyDescent="0.2">
      <c r="J19" s="515"/>
      <c r="AA19" s="427" t="s">
        <v>354</v>
      </c>
      <c r="AB19" s="480">
        <f>AD9/AD10</f>
        <v>0.54422460842113418</v>
      </c>
      <c r="AC19" s="480">
        <f>FINV(0.05,AC9,AC10)</f>
        <v>2.6335320942137543</v>
      </c>
      <c r="AD19" s="425"/>
    </row>
    <row r="20" spans="10:53" x14ac:dyDescent="0.2">
      <c r="J20" s="515"/>
      <c r="AA20" s="481" t="s">
        <v>387</v>
      </c>
      <c r="AB20" s="482">
        <f>AD7/AD8</f>
        <v>4099282.8265886586</v>
      </c>
      <c r="AC20" s="483">
        <f>FINV(0.05,AC7,AC8)</f>
        <v>4.0847457333016566</v>
      </c>
      <c r="AD20" s="425"/>
    </row>
    <row r="21" spans="10:53" ht="15.75" thickBot="1" x14ac:dyDescent="0.25">
      <c r="N21" s="463"/>
      <c r="AA21" s="425"/>
      <c r="AB21" s="425"/>
      <c r="AC21" s="425"/>
      <c r="AD21" s="425"/>
    </row>
    <row r="22" spans="10:53" ht="16.5" thickBot="1" x14ac:dyDescent="0.3">
      <c r="J22" s="425"/>
      <c r="AA22" s="430" t="s">
        <v>388</v>
      </c>
      <c r="AB22" s="430"/>
      <c r="AC22" s="430"/>
      <c r="AD22" s="425"/>
    </row>
    <row r="23" spans="10:53" ht="15.75" x14ac:dyDescent="0.25">
      <c r="J23" s="425"/>
      <c r="AA23" s="451" t="s">
        <v>354</v>
      </c>
      <c r="AB23" s="649" t="str">
        <f>IF(AB19&lt;AC19,"NÃO TEM FALTA DE AJUSTE","TEM FALTA DE AJUSTE")</f>
        <v>NÃO TEM FALTA DE AJUSTE</v>
      </c>
      <c r="AC23" s="649"/>
      <c r="AD23" s="425"/>
    </row>
    <row r="24" spans="10:53" ht="16.5" thickBot="1" x14ac:dyDescent="0.3">
      <c r="J24" s="424"/>
      <c r="AA24" s="481" t="s">
        <v>387</v>
      </c>
      <c r="AB24" s="650" t="str">
        <f>IF(AB20&gt;AC20,"REGRESSÃO SIGNIFICANTE","REGRESSÃO NÃO SIGNIFICANTE")</f>
        <v>REGRESSÃO SIGNIFICANTE</v>
      </c>
      <c r="AC24" s="650"/>
      <c r="AD24" s="425"/>
    </row>
    <row r="25" spans="10:53" ht="16.5" thickBot="1" x14ac:dyDescent="0.25">
      <c r="J25" s="425"/>
      <c r="M25" s="607" t="s">
        <v>389</v>
      </c>
      <c r="N25" s="608"/>
      <c r="O25" s="608"/>
      <c r="P25" s="608"/>
      <c r="Q25" s="608"/>
      <c r="R25" s="608"/>
      <c r="S25" s="609"/>
      <c r="T25" s="484"/>
      <c r="U25" s="484"/>
      <c r="V25" s="484"/>
      <c r="W25" s="484"/>
      <c r="X25" s="484"/>
      <c r="BA25" s="423" t="s">
        <v>298</v>
      </c>
    </row>
    <row r="27" spans="10:53" ht="15.75" x14ac:dyDescent="0.25">
      <c r="M27" s="417" t="s">
        <v>26</v>
      </c>
      <c r="N27" s="417" t="s">
        <v>32</v>
      </c>
      <c r="O27" s="417" t="s">
        <v>33</v>
      </c>
      <c r="P27" s="417" t="s">
        <v>34</v>
      </c>
      <c r="Q27" s="417" t="s">
        <v>35</v>
      </c>
      <c r="R27" s="417" t="s">
        <v>36</v>
      </c>
      <c r="S27" s="417" t="s">
        <v>37</v>
      </c>
      <c r="AA27" s="643"/>
      <c r="AB27" s="643"/>
      <c r="AC27" s="643"/>
      <c r="AD27" s="643"/>
      <c r="AE27" s="515"/>
    </row>
    <row r="28" spans="10:53" ht="15.75" x14ac:dyDescent="0.2">
      <c r="M28" s="436">
        <v>1</v>
      </c>
      <c r="N28" s="437">
        <f>N5</f>
        <v>73439.33142857143</v>
      </c>
      <c r="O28" s="437">
        <f t="shared" ref="O28:S28" si="5">O5</f>
        <v>114422.95142857142</v>
      </c>
      <c r="P28" s="437">
        <f t="shared" si="5"/>
        <v>137847.37142857144</v>
      </c>
      <c r="Q28" s="437">
        <f t="shared" si="5"/>
        <v>169874.87</v>
      </c>
      <c r="R28" s="437">
        <f t="shared" si="5"/>
        <v>219072.22142857144</v>
      </c>
      <c r="S28" s="437">
        <f t="shared" si="5"/>
        <v>281650.94142857142</v>
      </c>
      <c r="AA28" s="516"/>
      <c r="AB28" s="516"/>
      <c r="AC28" s="516"/>
      <c r="AD28" s="516"/>
      <c r="AE28" s="515"/>
    </row>
    <row r="29" spans="10:53" ht="15.75" x14ac:dyDescent="0.25">
      <c r="M29" s="441">
        <v>2</v>
      </c>
      <c r="N29" s="437">
        <f t="shared" ref="N29:S29" si="6">N6</f>
        <v>74709.571428571435</v>
      </c>
      <c r="O29" s="437">
        <f t="shared" si="6"/>
        <v>114855.20142857142</v>
      </c>
      <c r="P29" s="437">
        <f t="shared" si="6"/>
        <v>136493.41142857145</v>
      </c>
      <c r="Q29" s="437">
        <f t="shared" si="6"/>
        <v>173125.94</v>
      </c>
      <c r="R29" s="437">
        <f t="shared" si="6"/>
        <v>222644.05142857143</v>
      </c>
      <c r="S29" s="437">
        <f t="shared" si="6"/>
        <v>276065.01142857142</v>
      </c>
      <c r="AA29" s="520"/>
      <c r="AB29" s="520"/>
      <c r="AC29" s="520"/>
      <c r="AD29" s="520"/>
      <c r="AE29" s="515"/>
    </row>
    <row r="30" spans="10:53" ht="15.75" x14ac:dyDescent="0.2">
      <c r="M30" s="441">
        <v>3</v>
      </c>
      <c r="N30" s="437">
        <f t="shared" ref="N30:S30" si="7">N7</f>
        <v>75383.991428571433</v>
      </c>
      <c r="O30" s="437">
        <f t="shared" si="7"/>
        <v>116134.25142857143</v>
      </c>
      <c r="P30" s="437">
        <f t="shared" si="7"/>
        <v>135820.57142857142</v>
      </c>
      <c r="Q30" s="437">
        <f t="shared" si="7"/>
        <v>173186.48</v>
      </c>
      <c r="R30" s="437">
        <f t="shared" si="7"/>
        <v>222438.49142857143</v>
      </c>
      <c r="S30" s="437">
        <f t="shared" si="7"/>
        <v>277585.04142857145</v>
      </c>
      <c r="AA30" s="516"/>
      <c r="AB30" s="517"/>
      <c r="AC30" s="518"/>
      <c r="AD30" s="517"/>
      <c r="AE30" s="515"/>
    </row>
    <row r="31" spans="10:53" ht="15.75" x14ac:dyDescent="0.2">
      <c r="M31" s="441">
        <v>4</v>
      </c>
      <c r="N31" s="437">
        <f t="shared" ref="N31:S31" si="8">N8</f>
        <v>76085.281428571427</v>
      </c>
      <c r="O31" s="437">
        <f t="shared" si="8"/>
        <v>117401.73142857144</v>
      </c>
      <c r="P31" s="437">
        <f t="shared" si="8"/>
        <v>136135.26142857142</v>
      </c>
      <c r="Q31" s="437">
        <f t="shared" si="8"/>
        <v>175045.79</v>
      </c>
      <c r="R31" s="437">
        <f t="shared" si="8"/>
        <v>223538.30142857143</v>
      </c>
      <c r="S31" s="437">
        <f t="shared" si="8"/>
        <v>278630.83142857143</v>
      </c>
      <c r="AA31" s="516"/>
      <c r="AB31" s="517"/>
      <c r="AC31" s="518"/>
      <c r="AD31" s="517"/>
      <c r="AE31" s="515"/>
    </row>
    <row r="32" spans="10:53" ht="15.75" x14ac:dyDescent="0.2">
      <c r="M32" s="441">
        <v>5</v>
      </c>
      <c r="N32" s="437">
        <f t="shared" ref="N32:S32" si="9">N9</f>
        <v>76761.001428571428</v>
      </c>
      <c r="O32" s="437">
        <f t="shared" si="9"/>
        <v>117268.61142857143</v>
      </c>
      <c r="P32" s="437">
        <f t="shared" si="9"/>
        <v>137848.39142857143</v>
      </c>
      <c r="Q32" s="437">
        <f t="shared" si="9"/>
        <v>176333.11</v>
      </c>
      <c r="R32" s="437">
        <f t="shared" si="9"/>
        <v>220192.94142857144</v>
      </c>
      <c r="S32" s="437">
        <f t="shared" si="9"/>
        <v>281322.57142857142</v>
      </c>
      <c r="AA32" s="516"/>
      <c r="AB32" s="517"/>
      <c r="AC32" s="518"/>
      <c r="AD32" s="517"/>
      <c r="AE32" s="515"/>
    </row>
    <row r="33" spans="13:31" ht="15.75" x14ac:dyDescent="0.2">
      <c r="M33" s="441">
        <v>6</v>
      </c>
      <c r="N33" s="437">
        <f t="shared" ref="N33:S33" si="10">N10</f>
        <v>76516.321428571435</v>
      </c>
      <c r="O33" s="437">
        <f t="shared" si="10"/>
        <v>117733.62142857144</v>
      </c>
      <c r="P33" s="437">
        <f t="shared" si="10"/>
        <v>138811.59142857144</v>
      </c>
      <c r="Q33" s="437">
        <f t="shared" si="10"/>
        <v>176232.38</v>
      </c>
      <c r="R33" s="437">
        <f t="shared" si="10"/>
        <v>220294.16142857145</v>
      </c>
      <c r="S33" s="437">
        <f t="shared" si="10"/>
        <v>280352.98142857145</v>
      </c>
      <c r="AA33" s="516"/>
      <c r="AB33" s="517"/>
      <c r="AC33" s="518"/>
      <c r="AD33" s="517"/>
      <c r="AE33" s="515"/>
    </row>
    <row r="34" spans="13:31" ht="15.75" x14ac:dyDescent="0.2">
      <c r="M34" s="441">
        <v>7</v>
      </c>
      <c r="N34" s="437">
        <f t="shared" ref="N34:S34" si="11">N11</f>
        <v>76067.531428571427</v>
      </c>
      <c r="O34" s="437">
        <f t="shared" si="11"/>
        <v>115657.58142857143</v>
      </c>
      <c r="P34" s="437">
        <f t="shared" si="11"/>
        <v>138185.08142857143</v>
      </c>
      <c r="Q34" s="437">
        <f t="shared" si="11"/>
        <v>176470.95</v>
      </c>
      <c r="R34" s="437">
        <f t="shared" si="11"/>
        <v>220751.10142857142</v>
      </c>
      <c r="S34" s="437">
        <f t="shared" si="11"/>
        <v>281291.21142857143</v>
      </c>
      <c r="AA34" s="516"/>
      <c r="AB34" s="517"/>
      <c r="AC34" s="518"/>
      <c r="AD34" s="517"/>
      <c r="AE34" s="515"/>
    </row>
    <row r="35" spans="13:31" ht="15.75" x14ac:dyDescent="0.25">
      <c r="M35" s="486" t="s">
        <v>390</v>
      </c>
      <c r="N35" s="487">
        <f>AVERAGE(N28:N34)</f>
        <v>75566.147142857124</v>
      </c>
      <c r="O35" s="487">
        <f t="shared" ref="O35:R35" si="12">AVERAGE(O28:O34)</f>
        <v>116210.56428571428</v>
      </c>
      <c r="P35" s="487">
        <f t="shared" si="12"/>
        <v>137305.95428571428</v>
      </c>
      <c r="Q35" s="487">
        <f t="shared" si="12"/>
        <v>174324.21714285715</v>
      </c>
      <c r="R35" s="487">
        <f t="shared" si="12"/>
        <v>221275.89571428573</v>
      </c>
      <c r="S35" s="487">
        <f>AVERAGE(S28:S34)</f>
        <v>279556.94142857142</v>
      </c>
      <c r="AA35" s="516"/>
      <c r="AB35" s="516"/>
      <c r="AC35" s="516"/>
      <c r="AD35" s="516"/>
      <c r="AE35" s="515"/>
    </row>
    <row r="36" spans="13:31" ht="15.75" x14ac:dyDescent="0.25">
      <c r="M36" s="466" t="s">
        <v>391</v>
      </c>
      <c r="N36" s="384">
        <f>AVERAGE(N30:N34)</f>
        <v>76162.825428571421</v>
      </c>
      <c r="O36" s="384">
        <f t="shared" ref="O36:R36" si="13">AVERAGE(O30:O34)</f>
        <v>116839.15942857144</v>
      </c>
      <c r="P36" s="384">
        <f t="shared" si="13"/>
        <v>137360.17942857143</v>
      </c>
      <c r="Q36" s="384">
        <f t="shared" si="13"/>
        <v>175453.742</v>
      </c>
      <c r="R36" s="384">
        <f t="shared" si="13"/>
        <v>221442.99942857143</v>
      </c>
      <c r="S36" s="384">
        <f>AVERAGE(S30:S34)</f>
        <v>279836.52742857148</v>
      </c>
      <c r="AA36" s="521"/>
      <c r="AB36" s="521"/>
      <c r="AC36" s="516"/>
      <c r="AD36" s="516"/>
      <c r="AE36" s="515"/>
    </row>
    <row r="37" spans="13:31" ht="15.75" x14ac:dyDescent="0.25">
      <c r="M37" s="488" t="s">
        <v>392</v>
      </c>
      <c r="N37" s="482">
        <f>AVERAGE(N28:N32)</f>
        <v>75275.835428571416</v>
      </c>
      <c r="O37" s="482">
        <f t="shared" ref="O37:R37" si="14">AVERAGE(O28:O32)</f>
        <v>116016.54942857144</v>
      </c>
      <c r="P37" s="482">
        <f t="shared" si="14"/>
        <v>136829.00142857144</v>
      </c>
      <c r="Q37" s="482">
        <f t="shared" si="14"/>
        <v>173513.23800000001</v>
      </c>
      <c r="R37" s="482">
        <f t="shared" si="14"/>
        <v>221577.20142857142</v>
      </c>
      <c r="S37" s="482">
        <f>AVERAGE(S28:S32)</f>
        <v>279050.87942857144</v>
      </c>
      <c r="AA37" s="516"/>
      <c r="AB37" s="518"/>
      <c r="AC37" s="516"/>
      <c r="AD37" s="516"/>
      <c r="AE37" s="515"/>
    </row>
    <row r="38" spans="13:31" ht="19.5" x14ac:dyDescent="0.2">
      <c r="M38" s="489" t="s">
        <v>393</v>
      </c>
      <c r="N38" s="437">
        <f t="shared" ref="N38:N44" si="15">N28-$N$35</f>
        <v>-2126.8157142856944</v>
      </c>
      <c r="O38" s="442">
        <f>O28-$O$35</f>
        <v>-1787.6128571428562</v>
      </c>
      <c r="P38" s="437">
        <f t="shared" ref="P38:P44" si="16">P28-$P$35</f>
        <v>541.41714285715716</v>
      </c>
      <c r="Q38" s="437">
        <f t="shared" ref="Q38:Q44" si="17">Q28-$Q$35</f>
        <v>-4449.3471428571502</v>
      </c>
      <c r="R38" s="437">
        <f t="shared" ref="R38:R44" si="18">R28-$R$35</f>
        <v>-2203.6742857142817</v>
      </c>
      <c r="S38" s="437">
        <f>S28-$S$35</f>
        <v>2094</v>
      </c>
      <c r="AA38" s="516"/>
      <c r="AB38" s="518"/>
      <c r="AC38" s="516"/>
      <c r="AD38" s="516"/>
      <c r="AE38" s="515"/>
    </row>
    <row r="39" spans="13:31" ht="19.5" x14ac:dyDescent="0.2">
      <c r="M39" s="416" t="s">
        <v>393</v>
      </c>
      <c r="N39" s="442">
        <f t="shared" si="15"/>
        <v>-856.57571428568917</v>
      </c>
      <c r="O39" s="442">
        <f>O29-$O$35</f>
        <v>-1355.3628571428562</v>
      </c>
      <c r="P39" s="442">
        <f t="shared" si="16"/>
        <v>-812.54285714283469</v>
      </c>
      <c r="Q39" s="442">
        <f t="shared" si="17"/>
        <v>-1198.2771428571432</v>
      </c>
      <c r="R39" s="442">
        <f t="shared" si="18"/>
        <v>1368.1557142857055</v>
      </c>
      <c r="S39" s="442">
        <f>S29-$S$35</f>
        <v>-3491.929999999993</v>
      </c>
      <c r="AA39" s="516"/>
      <c r="AB39" s="518"/>
      <c r="AC39" s="516"/>
      <c r="AD39" s="516"/>
      <c r="AE39" s="515"/>
    </row>
    <row r="40" spans="13:31" ht="19.5" x14ac:dyDescent="0.2">
      <c r="M40" s="416" t="s">
        <v>393</v>
      </c>
      <c r="N40" s="442">
        <f t="shared" si="15"/>
        <v>-182.15571428569092</v>
      </c>
      <c r="O40" s="442">
        <f t="shared" ref="O40:O44" si="19">O30-$O$35</f>
        <v>-76.312857142853318</v>
      </c>
      <c r="P40" s="442">
        <f t="shared" si="16"/>
        <v>-1485.3828571428603</v>
      </c>
      <c r="Q40" s="442">
        <f t="shared" si="17"/>
        <v>-1137.737142857135</v>
      </c>
      <c r="R40" s="442">
        <f t="shared" si="18"/>
        <v>1162.5957142857078</v>
      </c>
      <c r="S40" s="442">
        <f>S30-$S$35</f>
        <v>-1971.8999999999651</v>
      </c>
      <c r="AA40" s="516"/>
      <c r="AB40" s="516"/>
      <c r="AC40" s="516"/>
      <c r="AD40" s="516"/>
      <c r="AE40" s="515"/>
    </row>
    <row r="41" spans="13:31" ht="19.5" x14ac:dyDescent="0.25">
      <c r="M41" s="416" t="s">
        <v>393</v>
      </c>
      <c r="N41" s="442">
        <f t="shared" si="15"/>
        <v>519.13428571430268</v>
      </c>
      <c r="O41" s="442">
        <f t="shared" si="19"/>
        <v>1191.1671428571572</v>
      </c>
      <c r="P41" s="442">
        <f t="shared" si="16"/>
        <v>-1170.692857142858</v>
      </c>
      <c r="Q41" s="442">
        <f t="shared" si="17"/>
        <v>721.57285714286263</v>
      </c>
      <c r="R41" s="442">
        <f t="shared" si="18"/>
        <v>2262.4057142857055</v>
      </c>
      <c r="S41" s="442">
        <f>S31-$S$35</f>
        <v>-926.10999999998603</v>
      </c>
      <c r="AA41" s="520"/>
      <c r="AB41" s="520"/>
      <c r="AC41" s="520"/>
      <c r="AD41" s="516"/>
      <c r="AE41" s="515"/>
    </row>
    <row r="42" spans="13:31" ht="19.5" x14ac:dyDescent="0.2">
      <c r="M42" s="416" t="s">
        <v>393</v>
      </c>
      <c r="N42" s="442">
        <f t="shared" si="15"/>
        <v>1194.8542857143038</v>
      </c>
      <c r="O42" s="442">
        <f t="shared" si="19"/>
        <v>1058.0471428571473</v>
      </c>
      <c r="P42" s="442">
        <f t="shared" si="16"/>
        <v>542.43714285714668</v>
      </c>
      <c r="Q42" s="442">
        <f t="shared" si="17"/>
        <v>2008.8928571428405</v>
      </c>
      <c r="R42" s="442">
        <f t="shared" si="18"/>
        <v>-1082.9542857142806</v>
      </c>
      <c r="S42" s="442">
        <f>S32-$S$35</f>
        <v>1765.6300000000047</v>
      </c>
      <c r="AA42" s="516"/>
      <c r="AB42" s="519"/>
      <c r="AC42" s="519"/>
      <c r="AD42" s="516"/>
      <c r="AE42" s="515"/>
    </row>
    <row r="43" spans="13:31" ht="19.5" x14ac:dyDescent="0.2">
      <c r="M43" s="416" t="s">
        <v>393</v>
      </c>
      <c r="N43" s="485">
        <f t="shared" si="15"/>
        <v>950.17428571431083</v>
      </c>
      <c r="O43" s="442">
        <f t="shared" si="19"/>
        <v>1523.0571428571566</v>
      </c>
      <c r="P43" s="485">
        <f t="shared" si="16"/>
        <v>1505.6371428571583</v>
      </c>
      <c r="Q43" s="485">
        <f t="shared" si="17"/>
        <v>1908.1628571428591</v>
      </c>
      <c r="R43" s="485">
        <f t="shared" si="18"/>
        <v>-981.73428571427939</v>
      </c>
      <c r="S43" s="442">
        <f t="shared" ref="S43" si="20">S33-$S$35</f>
        <v>796.04000000003725</v>
      </c>
      <c r="AA43" s="516"/>
      <c r="AB43" s="522"/>
      <c r="AC43" s="519"/>
      <c r="AD43" s="516"/>
      <c r="AE43" s="515"/>
    </row>
    <row r="44" spans="13:31" ht="19.5" x14ac:dyDescent="0.2">
      <c r="M44" s="416" t="s">
        <v>393</v>
      </c>
      <c r="N44" s="485">
        <f t="shared" si="15"/>
        <v>501.38428571430268</v>
      </c>
      <c r="O44" s="463">
        <f t="shared" si="19"/>
        <v>-552.98285714285157</v>
      </c>
      <c r="P44" s="485">
        <f t="shared" si="16"/>
        <v>879.12714285714901</v>
      </c>
      <c r="Q44" s="485">
        <f t="shared" si="17"/>
        <v>2146.7328571428661</v>
      </c>
      <c r="R44" s="485">
        <f t="shared" si="18"/>
        <v>-524.79428571430617</v>
      </c>
      <c r="S44" s="442">
        <f>S34-$S$35</f>
        <v>1734.2700000000186</v>
      </c>
      <c r="AA44" s="516"/>
      <c r="AB44" s="516"/>
      <c r="AC44" s="516"/>
      <c r="AD44" s="516"/>
      <c r="AE44" s="515"/>
    </row>
    <row r="45" spans="13:31" ht="20.25" x14ac:dyDescent="0.35">
      <c r="M45" s="490" t="s">
        <v>394</v>
      </c>
      <c r="N45" s="491">
        <f>SUMSQ(N38:N44)</f>
        <v>8141642.2869714182</v>
      </c>
      <c r="O45" s="492">
        <f t="shared" ref="O45:R45" si="21">SUMSQ(O38:O44)</f>
        <v>10202227.87314293</v>
      </c>
      <c r="P45" s="491">
        <f t="shared" si="21"/>
        <v>7864288.2085429095</v>
      </c>
      <c r="Q45" s="491">
        <f t="shared" si="21"/>
        <v>35332869.263942897</v>
      </c>
      <c r="R45" s="491">
        <f t="shared" si="21"/>
        <v>15610140.061971331</v>
      </c>
      <c r="S45" s="491">
        <f>SUMSQ(S38:S44)</f>
        <v>28083301.878399927</v>
      </c>
      <c r="AA45" s="521"/>
      <c r="AB45" s="521"/>
      <c r="AC45" s="521"/>
      <c r="AD45" s="516"/>
      <c r="AE45" s="515"/>
    </row>
    <row r="46" spans="13:31" ht="15.75" x14ac:dyDescent="0.25">
      <c r="AA46" s="516"/>
      <c r="AB46" s="643"/>
      <c r="AC46" s="643"/>
      <c r="AD46" s="516"/>
      <c r="AE46" s="515"/>
    </row>
    <row r="47" spans="13:31" ht="15.75" x14ac:dyDescent="0.25">
      <c r="AA47" s="516"/>
      <c r="AB47" s="643"/>
      <c r="AC47" s="643"/>
      <c r="AD47" s="516"/>
      <c r="AE47" s="515"/>
    </row>
    <row r="48" spans="13:31" x14ac:dyDescent="0.2">
      <c r="AA48" s="515"/>
      <c r="AB48" s="515"/>
      <c r="AC48" s="515"/>
      <c r="AD48" s="515"/>
      <c r="AE48" s="515"/>
    </row>
    <row r="49" spans="13:31" ht="15.75" thickBot="1" x14ac:dyDescent="0.25">
      <c r="AA49" s="515"/>
      <c r="AB49" s="515"/>
      <c r="AC49" s="515"/>
      <c r="AD49" s="515"/>
      <c r="AE49" s="515"/>
    </row>
    <row r="50" spans="13:31" ht="16.5" thickBot="1" x14ac:dyDescent="0.25">
      <c r="M50" s="644" t="s">
        <v>395</v>
      </c>
      <c r="N50" s="645"/>
      <c r="O50" s="645"/>
      <c r="P50" s="645"/>
      <c r="Q50" s="645"/>
      <c r="R50" s="645"/>
      <c r="S50" s="646"/>
    </row>
    <row r="51" spans="13:31" ht="15.75" x14ac:dyDescent="0.2">
      <c r="M51" s="493" t="s">
        <v>26</v>
      </c>
      <c r="N51" s="493" t="s">
        <v>32</v>
      </c>
      <c r="O51" s="493" t="s">
        <v>33</v>
      </c>
      <c r="P51" s="493" t="s">
        <v>34</v>
      </c>
      <c r="Q51" s="493" t="s">
        <v>35</v>
      </c>
      <c r="R51" s="493" t="s">
        <v>36</v>
      </c>
      <c r="S51" s="493" t="s">
        <v>37</v>
      </c>
    </row>
    <row r="52" spans="13:31" ht="19.5" x14ac:dyDescent="0.2">
      <c r="M52" s="489" t="s">
        <v>396</v>
      </c>
      <c r="N52" s="437">
        <f>N30-$N$36</f>
        <v>-778.83399999998801</v>
      </c>
      <c r="O52" s="437">
        <f>O30-$O$36</f>
        <v>-704.90800000001036</v>
      </c>
      <c r="P52" s="437">
        <f>P30-$P$36</f>
        <v>-1539.6080000000075</v>
      </c>
      <c r="Q52" s="437">
        <f>Q30-$Q$36</f>
        <v>-2267.2619999999879</v>
      </c>
      <c r="R52" s="437">
        <f>R30-$R$36</f>
        <v>995.49199999999837</v>
      </c>
      <c r="S52" s="437">
        <f>S30-$S$36</f>
        <v>-2251.4860000000335</v>
      </c>
    </row>
    <row r="53" spans="13:31" ht="19.5" x14ac:dyDescent="0.2">
      <c r="M53" s="416" t="s">
        <v>396</v>
      </c>
      <c r="N53" s="442">
        <f>N31-$N$36</f>
        <v>-77.543999999994412</v>
      </c>
      <c r="O53" s="442">
        <f>O31-$O$36</f>
        <v>562.57200000000012</v>
      </c>
      <c r="P53" s="442">
        <f>P31-$P$36</f>
        <v>-1224.9180000000051</v>
      </c>
      <c r="Q53" s="442">
        <f>Q31-$Q$36</f>
        <v>-407.95199999999022</v>
      </c>
      <c r="R53" s="442">
        <f>R31-$R$36</f>
        <v>2095.301999999996</v>
      </c>
      <c r="S53" s="442">
        <f>S31-$S$36</f>
        <v>-1205.6960000000545</v>
      </c>
    </row>
    <row r="54" spans="13:31" ht="19.5" x14ac:dyDescent="0.2">
      <c r="M54" s="416" t="s">
        <v>396</v>
      </c>
      <c r="N54" s="442">
        <f t="shared" ref="N54:N56" si="22">N32-$N$36</f>
        <v>598.17600000000675</v>
      </c>
      <c r="O54" s="442">
        <f>O32-$O$36</f>
        <v>429.45199999999022</v>
      </c>
      <c r="P54" s="442">
        <f t="shared" ref="P54:P56" si="23">P32-$P$36</f>
        <v>488.21199999999953</v>
      </c>
      <c r="Q54" s="442">
        <f>Q32-$Q$36</f>
        <v>879.36799999998766</v>
      </c>
      <c r="R54" s="442">
        <f t="shared" ref="R54:R55" si="24">R32-$R$36</f>
        <v>-1250.05799999999</v>
      </c>
      <c r="S54" s="442">
        <f t="shared" ref="S54:S56" si="25">S32-$S$36</f>
        <v>1486.0439999999362</v>
      </c>
    </row>
    <row r="55" spans="13:31" ht="19.5" x14ac:dyDescent="0.2">
      <c r="M55" s="416" t="s">
        <v>396</v>
      </c>
      <c r="N55" s="442">
        <f t="shared" si="22"/>
        <v>353.49600000001374</v>
      </c>
      <c r="O55" s="442">
        <f>O33-$O$36</f>
        <v>894.46199999999953</v>
      </c>
      <c r="P55" s="442">
        <f t="shared" si="23"/>
        <v>1451.4120000000112</v>
      </c>
      <c r="Q55" s="442">
        <f>Q33-$Q$36</f>
        <v>778.63800000000629</v>
      </c>
      <c r="R55" s="442">
        <f t="shared" si="24"/>
        <v>-1148.8379999999888</v>
      </c>
      <c r="S55" s="442">
        <f t="shared" si="25"/>
        <v>516.4539999999688</v>
      </c>
    </row>
    <row r="56" spans="13:31" ht="19.5" x14ac:dyDescent="0.2">
      <c r="M56" s="416" t="s">
        <v>396</v>
      </c>
      <c r="N56" s="442">
        <f t="shared" si="22"/>
        <v>-95.293999999994412</v>
      </c>
      <c r="O56" s="442">
        <f>O34-$O$36</f>
        <v>-1181.5780000000086</v>
      </c>
      <c r="P56" s="442">
        <f t="shared" si="23"/>
        <v>824.90200000000186</v>
      </c>
      <c r="Q56" s="442">
        <f>Q34-$Q$36</f>
        <v>1017.2080000000133</v>
      </c>
      <c r="R56" s="442">
        <f>R34-$R$36</f>
        <v>-691.8980000000156</v>
      </c>
      <c r="S56" s="442">
        <f t="shared" si="25"/>
        <v>1454.6839999999502</v>
      </c>
    </row>
    <row r="57" spans="13:31" ht="20.25" x14ac:dyDescent="0.35">
      <c r="M57" s="490" t="s">
        <v>397</v>
      </c>
      <c r="N57" s="491">
        <f>SUMSQ(N52:N56)</f>
        <v>1104450.3669199971</v>
      </c>
      <c r="O57" s="491">
        <f t="shared" ref="O57:R57" si="26">SUMSQ(O52:O56)</f>
        <v>3194000.4034800259</v>
      </c>
      <c r="P57" s="491">
        <f t="shared" si="26"/>
        <v>6896227.9606800703</v>
      </c>
      <c r="Q57" s="491">
        <f t="shared" si="26"/>
        <v>7721179.1406799518</v>
      </c>
      <c r="R57" s="491">
        <f t="shared" si="26"/>
        <v>8742491.3892799504</v>
      </c>
      <c r="S57" s="491">
        <f>SUMSQ(S52:S56)</f>
        <v>11114049.096519915</v>
      </c>
    </row>
    <row r="58" spans="13:31" ht="15.75" x14ac:dyDescent="0.25">
      <c r="M58" s="494" t="s">
        <v>398</v>
      </c>
      <c r="N58" s="495">
        <f>N57/N45</f>
        <v>0.1356544942643062</v>
      </c>
      <c r="O58" s="495">
        <f t="shared" ref="O58:S58" si="27">O57/O45</f>
        <v>0.31306891427980549</v>
      </c>
      <c r="P58" s="495">
        <f t="shared" si="27"/>
        <v>0.87690427637033397</v>
      </c>
      <c r="Q58" s="495">
        <f t="shared" si="27"/>
        <v>0.21852680808346905</v>
      </c>
      <c r="R58" s="495">
        <f t="shared" si="27"/>
        <v>0.56005207862150996</v>
      </c>
      <c r="S58" s="495">
        <f t="shared" si="27"/>
        <v>0.39575293334962891</v>
      </c>
    </row>
    <row r="60" spans="13:31" ht="15.75" thickBot="1" x14ac:dyDescent="0.25"/>
    <row r="61" spans="13:31" ht="16.5" thickBot="1" x14ac:dyDescent="0.25">
      <c r="M61" s="644" t="s">
        <v>399</v>
      </c>
      <c r="N61" s="645"/>
      <c r="O61" s="645"/>
      <c r="P61" s="645"/>
      <c r="Q61" s="645"/>
      <c r="R61" s="645"/>
      <c r="S61" s="646"/>
    </row>
    <row r="63" spans="13:31" ht="15.75" x14ac:dyDescent="0.2">
      <c r="M63" s="496" t="s">
        <v>26</v>
      </c>
      <c r="N63" s="496" t="s">
        <v>32</v>
      </c>
      <c r="O63" s="496" t="s">
        <v>33</v>
      </c>
      <c r="P63" s="496" t="s">
        <v>34</v>
      </c>
      <c r="Q63" s="496" t="s">
        <v>35</v>
      </c>
      <c r="R63" s="496" t="s">
        <v>36</v>
      </c>
      <c r="S63" s="496" t="s">
        <v>37</v>
      </c>
    </row>
    <row r="64" spans="13:31" ht="19.5" x14ac:dyDescent="0.2">
      <c r="M64" s="489" t="s">
        <v>396</v>
      </c>
      <c r="N64" s="497">
        <f>N28-$N$37</f>
        <v>-1836.5039999999863</v>
      </c>
      <c r="O64" s="497">
        <f>O28-$O$37</f>
        <v>-1593.5980000000127</v>
      </c>
      <c r="P64" s="497">
        <f>P28-$P$37</f>
        <v>1018.3699999999953</v>
      </c>
      <c r="Q64" s="497">
        <f>Q28-$Q$37</f>
        <v>-3638.3680000000168</v>
      </c>
      <c r="R64" s="497">
        <f>R28-$R$37</f>
        <v>-2504.9799999999814</v>
      </c>
      <c r="S64" s="497">
        <f>S28-$S$37</f>
        <v>2600.0619999999763</v>
      </c>
    </row>
    <row r="65" spans="13:19" ht="19.5" x14ac:dyDescent="0.2">
      <c r="M65" s="416" t="s">
        <v>396</v>
      </c>
      <c r="N65" s="498">
        <f t="shared" ref="N65:N68" si="28">N29-$N$37</f>
        <v>-566.26399999998102</v>
      </c>
      <c r="O65" s="498">
        <f t="shared" ref="O65:O68" si="29">O29-$O$37</f>
        <v>-1161.3480000000127</v>
      </c>
      <c r="P65" s="498">
        <f>P29-$P$37</f>
        <v>-335.58999999999651</v>
      </c>
      <c r="Q65" s="498">
        <f t="shared" ref="Q65:Q68" si="30">Q29-$Q$37</f>
        <v>-387.29800000000978</v>
      </c>
      <c r="R65" s="498">
        <f t="shared" ref="R65:R68" si="31">R29-$R$37</f>
        <v>1066.8500000000058</v>
      </c>
      <c r="S65" s="498">
        <f t="shared" ref="S65:S68" si="32">S29-$S$37</f>
        <v>-2985.8680000000168</v>
      </c>
    </row>
    <row r="66" spans="13:19" ht="19.5" x14ac:dyDescent="0.2">
      <c r="M66" s="416" t="s">
        <v>396</v>
      </c>
      <c r="N66" s="498">
        <f t="shared" si="28"/>
        <v>108.15600000001723</v>
      </c>
      <c r="O66" s="498">
        <f t="shared" si="29"/>
        <v>117.70199999999022</v>
      </c>
      <c r="P66" s="498">
        <f t="shared" ref="P66:P68" si="33">P30-$P$37</f>
        <v>-1008.4300000000221</v>
      </c>
      <c r="Q66" s="498">
        <f t="shared" si="30"/>
        <v>-326.75800000000163</v>
      </c>
      <c r="R66" s="498">
        <f t="shared" si="31"/>
        <v>861.29000000000815</v>
      </c>
      <c r="S66" s="498">
        <f t="shared" si="32"/>
        <v>-1465.8379999999888</v>
      </c>
    </row>
    <row r="67" spans="13:19" ht="19.5" x14ac:dyDescent="0.2">
      <c r="M67" s="416" t="s">
        <v>396</v>
      </c>
      <c r="N67" s="498">
        <f t="shared" si="28"/>
        <v>809.44600000001083</v>
      </c>
      <c r="O67" s="498">
        <f t="shared" si="29"/>
        <v>1385.1820000000007</v>
      </c>
      <c r="P67" s="498">
        <f t="shared" si="33"/>
        <v>-693.74000000001979</v>
      </c>
      <c r="Q67" s="498">
        <f t="shared" si="30"/>
        <v>1532.551999999996</v>
      </c>
      <c r="R67" s="498">
        <f t="shared" si="31"/>
        <v>1961.1000000000058</v>
      </c>
      <c r="S67" s="498">
        <f t="shared" si="32"/>
        <v>-420.04800000000978</v>
      </c>
    </row>
    <row r="68" spans="13:19" ht="19.5" x14ac:dyDescent="0.2">
      <c r="M68" s="416" t="s">
        <v>396</v>
      </c>
      <c r="N68" s="498">
        <f t="shared" si="28"/>
        <v>1485.166000000012</v>
      </c>
      <c r="O68" s="498">
        <f t="shared" si="29"/>
        <v>1252.0619999999908</v>
      </c>
      <c r="P68" s="498">
        <f t="shared" si="33"/>
        <v>1019.3899999999849</v>
      </c>
      <c r="Q68" s="498">
        <f t="shared" si="30"/>
        <v>2819.8719999999739</v>
      </c>
      <c r="R68" s="498">
        <f t="shared" si="31"/>
        <v>-1384.2599999999802</v>
      </c>
      <c r="S68" s="498">
        <f t="shared" si="32"/>
        <v>2271.6919999999809</v>
      </c>
    </row>
    <row r="69" spans="13:19" ht="20.25" x14ac:dyDescent="0.35">
      <c r="M69" s="490" t="s">
        <v>400</v>
      </c>
      <c r="N69" s="491">
        <f>SUMSQ(N64:N68)</f>
        <v>6566020.4545199852</v>
      </c>
      <c r="O69" s="491">
        <f t="shared" ref="O69:R69" si="34">SUMSQ(O64:O68)</f>
        <v>7388525.9484800464</v>
      </c>
      <c r="P69" s="491">
        <f t="shared" si="34"/>
        <v>3687060.3296000292</v>
      </c>
      <c r="Q69" s="491">
        <f t="shared" si="34"/>
        <v>23794885.963879973</v>
      </c>
      <c r="R69" s="491">
        <f t="shared" si="34"/>
        <v>13917003.144599902</v>
      </c>
      <c r="S69" s="491">
        <f>SUMSQ(S64:S68)</f>
        <v>23161436.024679866</v>
      </c>
    </row>
    <row r="70" spans="13:19" ht="15.75" x14ac:dyDescent="0.25">
      <c r="M70" s="490" t="s">
        <v>398</v>
      </c>
      <c r="N70" s="499">
        <f t="shared" ref="N70:S70" si="35">N69/N45</f>
        <v>0.80647370924502471</v>
      </c>
      <c r="O70" s="499">
        <f t="shared" si="35"/>
        <v>0.72420710852088765</v>
      </c>
      <c r="P70" s="499">
        <f t="shared" si="35"/>
        <v>0.46883586051625203</v>
      </c>
      <c r="Q70" s="499">
        <f t="shared" si="35"/>
        <v>0.67344901389490586</v>
      </c>
      <c r="R70" s="499">
        <f t="shared" si="35"/>
        <v>0.891536084195928</v>
      </c>
      <c r="S70" s="499">
        <f t="shared" si="35"/>
        <v>0.82474048546600287</v>
      </c>
    </row>
    <row r="72" spans="13:19" ht="15.75" thickBot="1" x14ac:dyDescent="0.25"/>
    <row r="73" spans="13:19" ht="16.5" thickBot="1" x14ac:dyDescent="0.3">
      <c r="M73" s="478" t="s">
        <v>384</v>
      </c>
      <c r="N73" s="500">
        <v>7.0800000000000002E-2</v>
      </c>
    </row>
  </sheetData>
  <sortState ref="S5:S11">
    <sortCondition ref="S5"/>
  </sortState>
  <mergeCells count="73">
    <mergeCell ref="M50:S50"/>
    <mergeCell ref="M61:S61"/>
    <mergeCell ref="U15:V15"/>
    <mergeCell ref="U16:V16"/>
    <mergeCell ref="AB23:AC23"/>
    <mergeCell ref="AB24:AC24"/>
    <mergeCell ref="M25:S25"/>
    <mergeCell ref="AA27:AD27"/>
    <mergeCell ref="U14:V14"/>
    <mergeCell ref="AF14:AG14"/>
    <mergeCell ref="AI14:AJ14"/>
    <mergeCell ref="AB46:AC46"/>
    <mergeCell ref="AB47:AC47"/>
    <mergeCell ref="U12:W12"/>
    <mergeCell ref="AF9:AG9"/>
    <mergeCell ref="AI9:AJ9"/>
    <mergeCell ref="AO9:AP9"/>
    <mergeCell ref="U13:V13"/>
    <mergeCell ref="X8:Y9"/>
    <mergeCell ref="AW7:AX7"/>
    <mergeCell ref="AR7:AT7"/>
    <mergeCell ref="AY7:AZ7"/>
    <mergeCell ref="AO11:AP11"/>
    <mergeCell ref="AL11:AM11"/>
    <mergeCell ref="AR8:AT8"/>
    <mergeCell ref="AU8:AV8"/>
    <mergeCell ref="AW8:AX8"/>
    <mergeCell ref="AY8:AZ8"/>
    <mergeCell ref="AW9:AX9"/>
    <mergeCell ref="X6:Y6"/>
    <mergeCell ref="AR6:AT6"/>
    <mergeCell ref="AU6:AV6"/>
    <mergeCell ref="AW6:AX6"/>
    <mergeCell ref="AY6:AZ6"/>
    <mergeCell ref="U4:V4"/>
    <mergeCell ref="AA4:AD4"/>
    <mergeCell ref="AF4:AG4"/>
    <mergeCell ref="AO4:AP4"/>
    <mergeCell ref="AY5:AZ5"/>
    <mergeCell ref="AU5:AV5"/>
    <mergeCell ref="AW5:AX5"/>
    <mergeCell ref="AR5:AT5"/>
    <mergeCell ref="AL2:AP2"/>
    <mergeCell ref="AR2:AT2"/>
    <mergeCell ref="AU2:AV2"/>
    <mergeCell ref="AW2:AX2"/>
    <mergeCell ref="AW4:AX4"/>
    <mergeCell ref="AU3:AV3"/>
    <mergeCell ref="AW3:AX3"/>
    <mergeCell ref="AR3:AT3"/>
    <mergeCell ref="AR4:AT4"/>
    <mergeCell ref="AU4:AV4"/>
    <mergeCell ref="AF2:AJ2"/>
    <mergeCell ref="B2:I2"/>
    <mergeCell ref="M2:S2"/>
    <mergeCell ref="U2:Y2"/>
    <mergeCell ref="AA2:AD2"/>
    <mergeCell ref="AR1:BB1"/>
    <mergeCell ref="AU9:AV9"/>
    <mergeCell ref="AR9:AT9"/>
    <mergeCell ref="BA9:BB9"/>
    <mergeCell ref="AY9:AZ9"/>
    <mergeCell ref="BA2:BB2"/>
    <mergeCell ref="AY3:AZ3"/>
    <mergeCell ref="BA3:BB3"/>
    <mergeCell ref="AY2:AZ2"/>
    <mergeCell ref="AY4:AZ4"/>
    <mergeCell ref="BA4:BB4"/>
    <mergeCell ref="BA5:BB5"/>
    <mergeCell ref="BA6:BB6"/>
    <mergeCell ref="BA7:BB7"/>
    <mergeCell ref="BA8:BB8"/>
    <mergeCell ref="AU7:AV7"/>
  </mergeCells>
  <conditionalFormatting sqref="X6">
    <cfRule type="cellIs" dxfId="36" priority="8" stopIfTrue="1" operator="equal">
      <formula>"Heterocedástico"</formula>
    </cfRule>
    <cfRule type="cellIs" dxfId="35" priority="9" stopIfTrue="1" operator="equal">
      <formula>"Homocedástico"</formula>
    </cfRule>
    <cfRule type="cellIs" dxfId="34" priority="10" stopIfTrue="1" operator="equal">
      <formula>"Homocedástico"</formula>
    </cfRule>
  </conditionalFormatting>
  <conditionalFormatting sqref="AB19">
    <cfRule type="iconSet" priority="7">
      <iconSet iconSet="3Symbols2" reverse="1">
        <cfvo type="percent" val="0"/>
        <cfvo type="num" val="#REF!"/>
        <cfvo type="num" val="#REF!" gte="0"/>
      </iconSet>
    </cfRule>
  </conditionalFormatting>
  <conditionalFormatting sqref="AB20">
    <cfRule type="iconSet" priority="5">
      <iconSet iconSet="3Symbols2">
        <cfvo type="percent" val="0"/>
        <cfvo type="num" val="#REF!"/>
        <cfvo type="num" val="#REF!" gte="0"/>
      </iconSet>
    </cfRule>
    <cfRule type="iconSet" priority="6">
      <iconSet>
        <cfvo type="percent" val="0"/>
        <cfvo type="num" val="#REF!"/>
        <cfvo type="num" val="#REF!" gte="0"/>
      </iconSet>
    </cfRule>
  </conditionalFormatting>
  <conditionalFormatting sqref="AB43">
    <cfRule type="iconSet" priority="3">
      <iconSet iconSet="3Symbols2">
        <cfvo type="percent" val="0"/>
        <cfvo type="num" val="#REF!"/>
        <cfvo type="num" val="#REF!" gte="0"/>
      </iconSet>
    </cfRule>
    <cfRule type="iconSet" priority="4">
      <iconSet>
        <cfvo type="percent" val="0"/>
        <cfvo type="num" val="#REF!"/>
        <cfvo type="num" val="#REF!" gte="0"/>
      </iconSet>
    </cfRule>
  </conditionalFormatting>
  <conditionalFormatting sqref="N14:S15">
    <cfRule type="cellIs" dxfId="33" priority="1" operator="greaterThan">
      <formula>#REF!</formula>
    </cfRule>
  </conditionalFormatting>
  <pageMargins left="0.511811024" right="0.511811024" top="0.78740157499999996" bottom="0.78740157499999996" header="0.31496062000000002" footer="0.31496062000000002"/>
  <pageSetup paperSize="9" orientation="portrait" r:id="rId1"/>
  <drawing r:id="rId2"/>
  <legacyDrawing r:id="rId3"/>
  <oleObjects>
    <mc:AlternateContent xmlns:mc="http://schemas.openxmlformats.org/markup-compatibility/2006">
      <mc:Choice Requires="x14">
        <oleObject progId="Equation.3" shapeId="729113" r:id="rId4">
          <objectPr defaultSize="0" autoPict="0" r:id="rId5">
            <anchor moveWithCells="1" sizeWithCells="1">
              <from>
                <xdr:col>10</xdr:col>
                <xdr:colOff>0</xdr:colOff>
                <xdr:row>20</xdr:row>
                <xdr:rowOff>161925</xdr:rowOff>
              </from>
              <to>
                <xdr:col>10</xdr:col>
                <xdr:colOff>0</xdr:colOff>
                <xdr:row>25</xdr:row>
                <xdr:rowOff>19050</xdr:rowOff>
              </to>
            </anchor>
          </objectPr>
        </oleObject>
      </mc:Choice>
      <mc:Fallback>
        <oleObject progId="Equation.3" shapeId="729113" r:id="rId4"/>
      </mc:Fallback>
    </mc:AlternateContent>
    <mc:AlternateContent xmlns:mc="http://schemas.openxmlformats.org/markup-compatibility/2006">
      <mc:Choice Requires="x14">
        <oleObject progId="Equation.3" shapeId="729115" r:id="rId6">
          <objectPr defaultSize="0" autoPict="0" r:id="rId7">
            <anchor moveWithCells="1">
              <from>
                <xdr:col>29</xdr:col>
                <xdr:colOff>247650</xdr:colOff>
                <xdr:row>20</xdr:row>
                <xdr:rowOff>142875</xdr:rowOff>
              </from>
              <to>
                <xdr:col>29</xdr:col>
                <xdr:colOff>1123950</xdr:colOff>
                <xdr:row>23</xdr:row>
                <xdr:rowOff>152400</xdr:rowOff>
              </to>
            </anchor>
          </objectPr>
        </oleObject>
      </mc:Choice>
      <mc:Fallback>
        <oleObject progId="Equation.3" shapeId="729115" r:id="rId6"/>
      </mc:Fallback>
    </mc:AlternateContent>
    <mc:AlternateContent xmlns:mc="http://schemas.openxmlformats.org/markup-compatibility/2006">
      <mc:Choice Requires="x14">
        <oleObject progId="Equation.3" shapeId="729117" r:id="rId8">
          <objectPr defaultSize="0" autoPict="0" r:id="rId9">
            <anchor moveWithCells="1" sizeWithCells="1">
              <from>
                <xdr:col>14</xdr:col>
                <xdr:colOff>723900</xdr:colOff>
                <xdr:row>17</xdr:row>
                <xdr:rowOff>171450</xdr:rowOff>
              </from>
              <to>
                <xdr:col>17</xdr:col>
                <xdr:colOff>485775</xdr:colOff>
                <xdr:row>23</xdr:row>
                <xdr:rowOff>38100</xdr:rowOff>
              </to>
            </anchor>
          </objectPr>
        </oleObject>
      </mc:Choice>
      <mc:Fallback>
        <oleObject progId="Equation.3" shapeId="729117" r:id="rId8"/>
      </mc:Fallback>
    </mc:AlternateContent>
    <mc:AlternateContent xmlns:mc="http://schemas.openxmlformats.org/markup-compatibility/2006">
      <mc:Choice Requires="x14">
        <oleObject progId="Equation.3" shapeId="729118" r:id="rId10">
          <objectPr defaultSize="0" autoPict="0" r:id="rId11">
            <anchor moveWithCells="1" sizeWithCells="1">
              <from>
                <xdr:col>34</xdr:col>
                <xdr:colOff>504825</xdr:colOff>
                <xdr:row>2</xdr:row>
                <xdr:rowOff>133350</xdr:rowOff>
              </from>
              <to>
                <xdr:col>35</xdr:col>
                <xdr:colOff>952500</xdr:colOff>
                <xdr:row>7</xdr:row>
                <xdr:rowOff>133350</xdr:rowOff>
              </to>
            </anchor>
          </objectPr>
        </oleObject>
      </mc:Choice>
      <mc:Fallback>
        <oleObject progId="Equation.3" shapeId="729118" r:id="rId10"/>
      </mc:Fallback>
    </mc:AlternateContent>
  </oleObjects>
  <extLst>
    <ext xmlns:x14="http://schemas.microsoft.com/office/spreadsheetml/2009/9/main" uri="{78C0D931-6437-407d-A8EE-F0AAD7539E65}">
      <x14:conditionalFormattings>
        <x14:conditionalFormatting xmlns:xm="http://schemas.microsoft.com/office/excel/2006/main">
          <x14:cfRule type="iconSet" priority="2" id="{9F54E803-90A4-4E9E-A0F5-764FBF1F6736}">
            <x14:iconSet iconSet="3Symbols2" custom="1">
              <x14:cfvo type="percent">
                <xm:f>0</xm:f>
              </x14:cfvo>
              <x14:cfvo type="num">
                <xm:f>$AC$42</xm:f>
              </x14:cfvo>
              <x14:cfvo type="num">
                <xm:f>$AC$42</xm:f>
              </x14:cfvo>
              <x14:cfIcon iconSet="3Symbols2" iconId="2"/>
              <x14:cfIcon iconSet="3Symbols2" iconId="0"/>
              <x14:cfIcon iconSet="3Symbols2" iconId="0"/>
            </x14:iconSet>
          </x14:cfRule>
          <xm:sqref>AB42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dimension ref="A1:M296"/>
  <sheetViews>
    <sheetView workbookViewId="0">
      <selection activeCell="H78" sqref="H78"/>
    </sheetView>
  </sheetViews>
  <sheetFormatPr defaultRowHeight="12.75" x14ac:dyDescent="0.2"/>
  <cols>
    <col min="1" max="1" width="28.42578125" style="87" customWidth="1"/>
    <col min="2" max="2" width="35.5703125" style="87" bestFit="1" customWidth="1"/>
    <col min="3" max="3" width="9.140625" style="87"/>
    <col min="4" max="4" width="19" style="87" bestFit="1" customWidth="1"/>
    <col min="5" max="5" width="23.140625" style="87" bestFit="1" customWidth="1"/>
    <col min="6" max="6" width="12" style="87" bestFit="1" customWidth="1"/>
    <col min="7" max="7" width="21.28515625" style="87" customWidth="1"/>
    <col min="8" max="8" width="35.5703125" style="87" bestFit="1" customWidth="1"/>
    <col min="9" max="10" width="9.140625" style="87"/>
    <col min="11" max="11" width="10.7109375" style="87" bestFit="1" customWidth="1"/>
    <col min="12" max="12" width="11.5703125" style="87" bestFit="1" customWidth="1"/>
    <col min="13" max="13" width="10.42578125" style="87" bestFit="1" customWidth="1"/>
    <col min="14" max="16384" width="9.140625" style="87"/>
  </cols>
  <sheetData>
    <row r="1" spans="1:9" ht="35.25" thickBot="1" x14ac:dyDescent="0.5">
      <c r="A1" s="197" t="s">
        <v>29</v>
      </c>
      <c r="B1" s="587"/>
      <c r="C1" s="651"/>
    </row>
    <row r="2" spans="1:9" ht="35.25" thickBot="1" x14ac:dyDescent="0.25">
      <c r="A2" s="200" t="s">
        <v>109</v>
      </c>
      <c r="B2" s="589"/>
      <c r="C2" s="588"/>
    </row>
    <row r="3" spans="1:9" x14ac:dyDescent="0.2">
      <c r="A3" s="165" t="s">
        <v>92</v>
      </c>
    </row>
    <row r="4" spans="1:9" x14ac:dyDescent="0.2">
      <c r="A4" s="165" t="s">
        <v>95</v>
      </c>
    </row>
    <row r="5" spans="1:9" x14ac:dyDescent="0.2">
      <c r="A5" s="87" t="s">
        <v>93</v>
      </c>
    </row>
    <row r="6" spans="1:9" x14ac:dyDescent="0.2">
      <c r="A6" s="165" t="s">
        <v>94</v>
      </c>
    </row>
    <row r="11" spans="1:9" ht="13.5" thickBot="1" x14ac:dyDescent="0.25"/>
    <row r="12" spans="1:9" ht="13.5" thickBot="1" x14ac:dyDescent="0.25">
      <c r="B12" s="145" t="s">
        <v>100</v>
      </c>
      <c r="C12" s="145" t="s">
        <v>104</v>
      </c>
      <c r="D12" s="145" t="s">
        <v>110</v>
      </c>
      <c r="E12" s="145" t="s">
        <v>206</v>
      </c>
      <c r="G12" s="572" t="s">
        <v>207</v>
      </c>
      <c r="H12" s="573"/>
      <c r="I12" s="574"/>
    </row>
    <row r="13" spans="1:9" x14ac:dyDescent="0.2">
      <c r="B13" s="300" t="s">
        <v>96</v>
      </c>
      <c r="C13" s="262" t="str">
        <f>IFERROR(((SQRT(SUMSQ(K22, K31,K40,K49,K58,K67,K76,K85,K94,K103,K112,K121,K130,K139,K148,K157,K166,K175,K184,K193,K202,K211,K220,K229,K238,K247,K256,K265,K274,K283)))/SQRT(C18))^4/(((((SQRT(SUMSQ(L22, L31,L40,L49,L58,L67,L76,L85,L94,L103,L112,L121,L130,L139,L148,L157,L166,L175,L184,L193,L202,L211,L220,L229,L238,L247,L256,L265,L274,L283)))/SQRT(C18))^4)/(42-1))+((((SQRT(SUMSQ(M22, M31,M40,M49,M58,M67,M76,M85,M94,M103,M112,M121,M130,M139,M148,M157,M166,M175,M184,M193,M202,M211,M220,M229,M238,M247,M256,M265,M274,M283)))/SQRT(C18))^4)/(7-1))),"")</f>
        <v/>
      </c>
      <c r="D13" s="262" t="str">
        <f>C13</f>
        <v/>
      </c>
      <c r="G13" s="652"/>
      <c r="H13" s="652"/>
      <c r="I13" s="652"/>
    </row>
    <row r="14" spans="1:9" x14ac:dyDescent="0.2">
      <c r="B14" s="300" t="s">
        <v>97</v>
      </c>
      <c r="C14" s="135" t="str">
        <f>IF(C13="","",TINV(0.05,C13))</f>
        <v/>
      </c>
      <c r="D14" s="135" t="str">
        <f>C14</f>
        <v/>
      </c>
      <c r="E14" s="281">
        <v>2</v>
      </c>
      <c r="G14" s="653"/>
      <c r="H14" s="653"/>
      <c r="I14" s="653"/>
    </row>
    <row r="15" spans="1:9" x14ac:dyDescent="0.2">
      <c r="B15" s="300" t="s">
        <v>98</v>
      </c>
      <c r="C15" s="148" t="str">
        <f>IFERROR(AVERAGE(C25,C34,C43,C52,C61,C70,C79,C88,C97,C106,C115,C124,C133,C142,C151,C160,C169,C178,C187,C196,C205,C214,C223,C232,C241,C250,C259,C268,C277,C286),"")</f>
        <v/>
      </c>
      <c r="D15" s="148" t="str">
        <f>C15</f>
        <v/>
      </c>
      <c r="E15" s="280" t="str">
        <f>IFERROR(AVERAGE(I25,I34,I43,I52,I61,I70,I79,I88,I97,I106,I115,I124,I133,I142,I151,I160,I169,I178,I187,I196,I205,I214,I223,I232,I241,I250,I259,I268,I277,I286),"")</f>
        <v/>
      </c>
      <c r="G15" s="653"/>
      <c r="H15" s="653"/>
      <c r="I15" s="653"/>
    </row>
    <row r="16" spans="1:9" x14ac:dyDescent="0.2">
      <c r="B16" s="300" t="s">
        <v>101</v>
      </c>
      <c r="C16" s="148" t="str">
        <f>IFERROR(SQRT(SUMSQ(C26,C35,C44,C53,C62,C71,C80,C89,C98,C107,C116,C125,C134,C143,C152,C161,C170,C179,C188,C197,C206,C215,C224,C233,C242,C251,C260,C269,C278,C287))/SQRT(C18),"")</f>
        <v/>
      </c>
      <c r="D16" s="148" t="str">
        <f>IF(C16="","",SQRT(SUMSQ(C16,MAX(G25:G290))))</f>
        <v/>
      </c>
      <c r="E16" s="280" t="str">
        <f>IFERROR(SQRT(SUMSQ(I26,I35,I44,I53,I62,I71,I80,I89,I98,I107,I116,I125,I134,I143,I152,I161,I170,I179,I188,I197,I206,I215,I224,I233,I242,I251,I260,I269,I278,I287))/SQRT(COUNT(I26,I35,I44,I53,I62,I71,I80,I89,I98,I107,I116,I125,I134,I143,I152,I161,I170,I179,I188,I197,I206,I215,I224,I233,I242,I251,I260,I269,I278,I287)),"")</f>
        <v/>
      </c>
      <c r="G16" s="653"/>
      <c r="H16" s="653"/>
      <c r="I16" s="653"/>
    </row>
    <row r="17" spans="2:13" x14ac:dyDescent="0.2">
      <c r="B17" s="300" t="s">
        <v>99</v>
      </c>
      <c r="C17" s="148" t="str">
        <f>IFERROR(C16*C14,"")</f>
        <v/>
      </c>
      <c r="D17" s="148" t="str">
        <f>IFERROR(D16*D14,"")</f>
        <v/>
      </c>
      <c r="E17" s="148" t="str">
        <f>IFERROR(E16*E14,"")</f>
        <v/>
      </c>
    </row>
    <row r="18" spans="2:13" x14ac:dyDescent="0.2">
      <c r="B18" s="300" t="s">
        <v>102</v>
      </c>
      <c r="C18" s="262" t="str">
        <f>IF(C15="","",COUNT(C26,C35,C44,C53,C62,C71,C80,C89,C98,C107,C116,C125,C134,C143,C152,C161,C170,C179,C188,C197,C206,C215,C224,C233,C242,C251,C260,C269,C278,C287))</f>
        <v/>
      </c>
      <c r="D18" s="262" t="str">
        <f>C18</f>
        <v/>
      </c>
      <c r="E18" s="97" t="str">
        <f>IF(E15="","",COUNT(I26,I35,I44,I53,I62,I71,I80,I89,I98,I107,I116,I125,I134,I143,I152,I161,I170,I179,I188,I197,I206,I215,I224,I233,I242,I251,I260,I269,I278,I287))</f>
        <v/>
      </c>
    </row>
    <row r="21" spans="2:13" ht="14.25" x14ac:dyDescent="0.25">
      <c r="K21" s="261" t="s">
        <v>89</v>
      </c>
      <c r="L21" s="261" t="s">
        <v>88</v>
      </c>
      <c r="M21" s="261" t="s">
        <v>87</v>
      </c>
    </row>
    <row r="22" spans="2:13" x14ac:dyDescent="0.2">
      <c r="B22" s="145" t="str">
        <f>IF(' Principal'!T101="","",CONCATENATE("Resultado final amostra ",'Massas Corrigidas'!I26))</f>
        <v/>
      </c>
      <c r="C22" s="145"/>
      <c r="H22" s="87" t="str">
        <f>IF(E25="","",IF(D25&lt;=E25,B22,""))</f>
        <v/>
      </c>
      <c r="K22" s="87" t="str">
        <f>IF(' Principal'!T101="","",' Principal'!O98)</f>
        <v/>
      </c>
      <c r="L22" s="87" t="str">
        <f>IF(' Principal'!T101="","",' Principal'!N98)</f>
        <v/>
      </c>
      <c r="M22" s="87" t="str">
        <f>IF(' Principal'!T101="","",' Principal'!M98)</f>
        <v/>
      </c>
    </row>
    <row r="23" spans="2:13" x14ac:dyDescent="0.2">
      <c r="B23" s="300" t="str">
        <f>IF(B22="","","ueff")</f>
        <v/>
      </c>
      <c r="C23" s="262" t="str">
        <f>IF(B23="","",' Principal'!S99)</f>
        <v/>
      </c>
      <c r="H23" s="87" t="str">
        <f>IF(E25="","",IF(D25&lt;=E25,B23,""))</f>
        <v/>
      </c>
      <c r="I23" s="87" t="str">
        <f>IF(E25="","",IF(D25&lt;=E25,C23,""))</f>
        <v/>
      </c>
    </row>
    <row r="24" spans="2:13" x14ac:dyDescent="0.2">
      <c r="B24" s="300" t="str">
        <f>IF(B22="","","K 0,05")</f>
        <v/>
      </c>
      <c r="C24" s="262" t="str">
        <f>IF(B24="","",' Principal'!S100)</f>
        <v/>
      </c>
      <c r="G24" s="87" t="s">
        <v>103</v>
      </c>
      <c r="H24" s="87" t="str">
        <f>IF(E25="","",IF(D25&lt;=E25,B24,""))</f>
        <v/>
      </c>
      <c r="I24" s="87" t="str">
        <f>IF(E25="","",IF(D25&lt;=E25,C24,""))</f>
        <v/>
      </c>
    </row>
    <row r="25" spans="2:13" x14ac:dyDescent="0.2">
      <c r="B25" s="300" t="str">
        <f>IF(B22="","","Fração mássica da amostra (mg.kg-1)")</f>
        <v/>
      </c>
      <c r="C25" s="262" t="str">
        <f>IF(B25="","",' Principal'!S101)</f>
        <v/>
      </c>
      <c r="D25" s="87" t="str">
        <f>IFERROR(ABS(C25-$C$15),"")</f>
        <v/>
      </c>
      <c r="E25" s="277" t="str">
        <f>IF(C25="","",2*SQRT(SUMSQ($C$16,C26)))</f>
        <v/>
      </c>
      <c r="F25" s="87" t="str">
        <f>IF(E25="","",IF(D25&lt;=E25,"OK","Inconcistente"))</f>
        <v/>
      </c>
      <c r="G25" s="87" t="str">
        <f>IFERROR(SQRT((COUNT($D$25:$D$286)/(COUNT($D$25:$D$286)-1))*((((C25-$C$15)/2)^2)-(E25/2)^2)),"")</f>
        <v/>
      </c>
      <c r="H25" s="87" t="str">
        <f>IF(E25="","",IF(D25&lt;=E25,B25,""))</f>
        <v/>
      </c>
      <c r="I25" s="87" t="str">
        <f>IF(E25="","",IF(D25&lt;=E25,C25,""))</f>
        <v/>
      </c>
    </row>
    <row r="26" spans="2:13" x14ac:dyDescent="0.2">
      <c r="B26" s="300" t="str">
        <f>IF(B22="","","Incerteza combinada")</f>
        <v/>
      </c>
      <c r="C26" s="148" t="str">
        <f>IFERROR(IF(B22="","",C27/C24),"")</f>
        <v/>
      </c>
      <c r="H26" s="87" t="str">
        <f>IF(E25="","",IF(D25&lt;=E25,B26,""))</f>
        <v/>
      </c>
      <c r="I26" s="87" t="str">
        <f>IF(E25="","",IF(D25&lt;=E25,C26,""))</f>
        <v/>
      </c>
    </row>
    <row r="27" spans="2:13" x14ac:dyDescent="0.2">
      <c r="B27" s="300" t="str">
        <f>IF(B22="","","Incerteza expandida (mg.kg-1)")</f>
        <v/>
      </c>
      <c r="C27" s="148" t="str">
        <f>IF(B27="","",' Principal'!S102)</f>
        <v/>
      </c>
      <c r="H27" s="87" t="str">
        <f>IF(E25="","",IF(D25&lt;=E25,B27,""))</f>
        <v/>
      </c>
      <c r="I27" s="87" t="str">
        <f>IF(E25="","",IF(D25&lt;=E25,C27,""))</f>
        <v/>
      </c>
    </row>
    <row r="31" spans="2:13" x14ac:dyDescent="0.2">
      <c r="B31" s="145" t="str">
        <f>IF(' Principal'!T110="","",CONCATENATE("Resultado final amostra ",'Massas Corrigidas'!I31))</f>
        <v/>
      </c>
      <c r="C31" s="145"/>
      <c r="H31" s="232" t="str">
        <f>IF(E34="","",IF(D34&lt;=E34,B31,""))</f>
        <v/>
      </c>
      <c r="I31" s="232"/>
      <c r="K31" s="87" t="str">
        <f>IF(' Principal'!T110="","",' Principal'!O107)</f>
        <v/>
      </c>
      <c r="L31" s="87" t="str">
        <f>IF(' Principal'!T110="","",' Principal'!N107)</f>
        <v/>
      </c>
      <c r="M31" s="87" t="str">
        <f>IF(' Principal'!T110="","",' Principal'!M107)</f>
        <v/>
      </c>
    </row>
    <row r="32" spans="2:13" x14ac:dyDescent="0.2">
      <c r="B32" s="300" t="str">
        <f>IF(B31="","","ueff")</f>
        <v/>
      </c>
      <c r="C32" s="262" t="str">
        <f>IF(B32="","",' Principal'!S108)</f>
        <v/>
      </c>
      <c r="H32" s="232" t="str">
        <f>IF(E34="","",IF(D34&lt;=E34,B32,""))</f>
        <v/>
      </c>
      <c r="I32" s="279" t="str">
        <f>IF(E34="","",IF(D34&lt;=E34,C32,""))</f>
        <v/>
      </c>
    </row>
    <row r="33" spans="2:13" x14ac:dyDescent="0.2">
      <c r="B33" s="300" t="str">
        <f>IF(B31="","","K 0,05")</f>
        <v/>
      </c>
      <c r="C33" s="262" t="str">
        <f>IF(B33="","",' Principal'!S109)</f>
        <v/>
      </c>
      <c r="H33" s="232" t="str">
        <f>IF(E34="","",IF(D34&lt;=E34,B33,""))</f>
        <v/>
      </c>
      <c r="I33" s="146" t="str">
        <f>IF(E34="","",IF(D34&lt;=E34,C33,""))</f>
        <v/>
      </c>
    </row>
    <row r="34" spans="2:13" x14ac:dyDescent="0.2">
      <c r="B34" s="300" t="str">
        <f>IF(B31="","","Fração mássica da amostra (mg.kg-1)")</f>
        <v/>
      </c>
      <c r="C34" s="262" t="str">
        <f>IF(B34="","",' Principal'!S110)</f>
        <v/>
      </c>
      <c r="D34" s="87" t="str">
        <f>IFERROR(ABS(C34-$C$15),"")</f>
        <v/>
      </c>
      <c r="E34" s="277" t="str">
        <f>IF(C34="","",2*SQRT(SUMSQ($C$16,C35)))</f>
        <v/>
      </c>
      <c r="F34" s="87" t="str">
        <f>IF(E34="","",IF(D34&lt;=E34,"OK","Inconcistente"))</f>
        <v/>
      </c>
      <c r="G34" s="87" t="str">
        <f>IFERROR(SQRT((COUNT($D$25:$D$286)/(COUNT($D$25:$D$286)-1))*((((C34-$C$15)/2)^2)-(E34/2)^2)),"")</f>
        <v/>
      </c>
      <c r="H34" s="232" t="str">
        <f>IF(E34="","",IF(D34&lt;=E34,B34,""))</f>
        <v/>
      </c>
      <c r="I34" s="280" t="str">
        <f>IF(E34="","",IF(D34&lt;=E34,C34,""))</f>
        <v/>
      </c>
    </row>
    <row r="35" spans="2:13" x14ac:dyDescent="0.2">
      <c r="B35" s="300" t="str">
        <f>IF(B31="","","Incerteza combinada")</f>
        <v/>
      </c>
      <c r="C35" s="148" t="str">
        <f>IFERROR(IF(B31="","",C36/C33),"")</f>
        <v/>
      </c>
      <c r="H35" s="232" t="str">
        <f>IF(E34="","",IF(D34&lt;=E34,B35,""))</f>
        <v/>
      </c>
      <c r="I35" s="280" t="str">
        <f>IF(E34="","",IF(D34&lt;=E34,C35,""))</f>
        <v/>
      </c>
    </row>
    <row r="36" spans="2:13" x14ac:dyDescent="0.2">
      <c r="B36" s="300" t="str">
        <f>IF(B31="","","Incerteza expandida (mg.kg-1)")</f>
        <v/>
      </c>
      <c r="C36" s="148" t="str">
        <f>IF(B36="","",' Principal'!S111)</f>
        <v/>
      </c>
      <c r="H36" s="232" t="str">
        <f>IF(E34="","",IF(D34&lt;=E34,B36,""))</f>
        <v/>
      </c>
      <c r="I36" s="280" t="str">
        <f>IF(E34="","",IF(D34&lt;=E34,C36,""))</f>
        <v/>
      </c>
    </row>
    <row r="40" spans="2:13" x14ac:dyDescent="0.2">
      <c r="B40" s="145" t="str">
        <f>IF(' Principal'!T119="","",CONCATENATE("Resultado final amostra ",'Massas Corrigidas'!I36))</f>
        <v/>
      </c>
      <c r="C40" s="145"/>
      <c r="H40" s="87" t="str">
        <f>IF(E43="","",IF(D43&lt;=E43,B40,""))</f>
        <v/>
      </c>
      <c r="K40" s="87" t="str">
        <f>IF(' Principal'!T119="","",' Principal'!O116)</f>
        <v/>
      </c>
      <c r="L40" s="87" t="str">
        <f>IF(' Principal'!T119="","",' Principal'!N116)</f>
        <v/>
      </c>
      <c r="M40" s="87" t="str">
        <f>IF(' Principal'!T119="","",' Principal'!M116)</f>
        <v/>
      </c>
    </row>
    <row r="41" spans="2:13" x14ac:dyDescent="0.2">
      <c r="B41" s="300" t="str">
        <f>IF(B40="","","ueff")</f>
        <v/>
      </c>
      <c r="C41" s="262" t="str">
        <f>IF(B41="","",' Principal'!S117)</f>
        <v/>
      </c>
      <c r="H41" s="87" t="str">
        <f>IF(E43="","",IF(D43&lt;=E43,B41,""))</f>
        <v/>
      </c>
      <c r="I41" s="87" t="str">
        <f>IF(E43="","",IF(D43&lt;=E43,C41,""))</f>
        <v/>
      </c>
    </row>
    <row r="42" spans="2:13" x14ac:dyDescent="0.2">
      <c r="B42" s="300" t="str">
        <f>IF(B40="","","K 0,05")</f>
        <v/>
      </c>
      <c r="C42" s="262" t="str">
        <f>IF(B42="","",' Principal'!S118)</f>
        <v/>
      </c>
      <c r="H42" s="87" t="str">
        <f>IF(E43="","",IF(D43&lt;=E43,B42,""))</f>
        <v/>
      </c>
      <c r="I42" s="87" t="str">
        <f>IF(E43="","",IF(D43&lt;=E43,C42,""))</f>
        <v/>
      </c>
    </row>
    <row r="43" spans="2:13" x14ac:dyDescent="0.2">
      <c r="B43" s="300" t="str">
        <f>IF(B40="","","Fração mássica da amostra (mg.kg-1)")</f>
        <v/>
      </c>
      <c r="C43" s="262" t="str">
        <f>IF(B43="","",' Principal'!S119)</f>
        <v/>
      </c>
      <c r="D43" s="87" t="str">
        <f>IFERROR(ABS(C43-$C$15),"")</f>
        <v/>
      </c>
      <c r="E43" s="277" t="str">
        <f>IF(C43="","",2*SQRT(SUMSQ($C$16,C44)))</f>
        <v/>
      </c>
      <c r="F43" s="87" t="str">
        <f>IF(E43="","",IF(D43&lt;=E43,"OK","Inconcistente"))</f>
        <v/>
      </c>
      <c r="G43" s="87" t="str">
        <f>IFERROR(SQRT((COUNT($D$25:$D$286)/(COUNT($D$25:$D$286)-1))*((((C43-$C$15)/2)^2)-(E43/2)^2)),"")</f>
        <v/>
      </c>
      <c r="H43" s="87" t="str">
        <f>IF(E43="","",IF(D43&lt;=E43,B43,""))</f>
        <v/>
      </c>
      <c r="I43" s="87" t="str">
        <f>IF(E43="","",IF(D43&lt;=E43,C43,""))</f>
        <v/>
      </c>
    </row>
    <row r="44" spans="2:13" x14ac:dyDescent="0.2">
      <c r="B44" s="300" t="str">
        <f>IF(B40="","","Incerteza combinada")</f>
        <v/>
      </c>
      <c r="C44" s="148" t="str">
        <f>IFERROR(IF(B40="","",C45/C42),"")</f>
        <v/>
      </c>
      <c r="H44" s="87" t="str">
        <f>IF(E43="","",IF(D43&lt;=E43,B44,""))</f>
        <v/>
      </c>
      <c r="I44" s="87" t="str">
        <f>IF(E43="","",IF(D43&lt;=E43,C44,""))</f>
        <v/>
      </c>
    </row>
    <row r="45" spans="2:13" x14ac:dyDescent="0.2">
      <c r="B45" s="300" t="str">
        <f>IF(B40="","","Incerteza expandida (mg.kg-1)")</f>
        <v/>
      </c>
      <c r="C45" s="148" t="str">
        <f>IF(B45="","",' Principal'!S120)</f>
        <v/>
      </c>
      <c r="H45" s="87" t="str">
        <f>IF(E43="","",IF(D43&lt;=E43,B45,""))</f>
        <v/>
      </c>
      <c r="I45" s="87" t="str">
        <f>IF(E43="","",IF(D43&lt;=E43,C45,""))</f>
        <v/>
      </c>
    </row>
    <row r="49" spans="2:13" x14ac:dyDescent="0.2">
      <c r="B49" s="145" t="str">
        <f>IF(' Principal'!T128="","",CONCATENATE("Resultado final amostra ",'Massas Corrigidas'!I41))</f>
        <v/>
      </c>
      <c r="C49" s="145"/>
      <c r="H49" s="232" t="str">
        <f>IF(E52="","",IF(D52&lt;=E52,B49,""))</f>
        <v/>
      </c>
      <c r="I49" s="232"/>
      <c r="K49" s="87" t="str">
        <f>IF(' Principal'!T128="","",' Principal'!O125)</f>
        <v/>
      </c>
      <c r="L49" s="87" t="str">
        <f>IF(' Principal'!T128="","",' Principal'!N125)</f>
        <v/>
      </c>
      <c r="M49" s="87" t="str">
        <f>IF(' Principal'!T128="","",' Principal'!M125)</f>
        <v/>
      </c>
    </row>
    <row r="50" spans="2:13" x14ac:dyDescent="0.2">
      <c r="B50" s="300" t="str">
        <f>IF(B49="","","ueff")</f>
        <v/>
      </c>
      <c r="C50" s="262" t="str">
        <f>IF(B50="","",' Principal'!S126)</f>
        <v/>
      </c>
      <c r="H50" s="232" t="str">
        <f>IF(E52="","",IF(D52&lt;=E52,B50,""))</f>
        <v/>
      </c>
      <c r="I50" s="279" t="str">
        <f>IF(E52="","",IF(D52&lt;=E52,C50,""))</f>
        <v/>
      </c>
    </row>
    <row r="51" spans="2:13" x14ac:dyDescent="0.2">
      <c r="B51" s="300" t="str">
        <f>IF(B49="","","K 0,05")</f>
        <v/>
      </c>
      <c r="C51" s="262" t="str">
        <f>IF(B51="","",' Principal'!S127)</f>
        <v/>
      </c>
      <c r="H51" s="232" t="str">
        <f>IF(E52="","",IF(D52&lt;=E52,B51,""))</f>
        <v/>
      </c>
      <c r="I51" s="146" t="str">
        <f>IF(E52="","",IF(D52&lt;=E52,C51,""))</f>
        <v/>
      </c>
    </row>
    <row r="52" spans="2:13" x14ac:dyDescent="0.2">
      <c r="B52" s="300" t="str">
        <f>IF(B49="","","Fração mássica da amostra (mg.kg-1)")</f>
        <v/>
      </c>
      <c r="C52" s="262" t="str">
        <f>IF(B52="","",' Principal'!S128)</f>
        <v/>
      </c>
      <c r="D52" s="87" t="str">
        <f>IFERROR(ABS(C52-$C$15),"")</f>
        <v/>
      </c>
      <c r="E52" s="278" t="str">
        <f>IF(C52="","",2*SQRT(SUMSQ($C$16,C53)))</f>
        <v/>
      </c>
      <c r="F52" s="87" t="str">
        <f>IF(E52="","",IF(D52&lt;=E52,"OK","Inconcistente"))</f>
        <v/>
      </c>
      <c r="G52" s="87" t="str">
        <f>IFERROR(SQRT((COUNT($D$25:$D$286)/(COUNT($D$25:$D$286)-1))*((((C52-$C$15)/2)^2)-(E52/2)^2)),"")</f>
        <v/>
      </c>
      <c r="H52" s="232" t="str">
        <f>IF(E52="","",IF(D52&lt;=E52,B52,""))</f>
        <v/>
      </c>
      <c r="I52" s="280" t="str">
        <f>IF(E52="","",IF(D52&lt;=E52,C52,""))</f>
        <v/>
      </c>
    </row>
    <row r="53" spans="2:13" x14ac:dyDescent="0.2">
      <c r="B53" s="300" t="str">
        <f>IF(B49="","","Incerteza combinada")</f>
        <v/>
      </c>
      <c r="C53" s="148" t="str">
        <f>IFERROR(IF(B49="","",C54/C51),"")</f>
        <v/>
      </c>
      <c r="H53" s="232" t="str">
        <f>IF(E52="","",IF(D52&lt;=E52,B53,""))</f>
        <v/>
      </c>
      <c r="I53" s="280" t="str">
        <f>IF(E52="","",IF(D52&lt;=E52,C53,""))</f>
        <v/>
      </c>
    </row>
    <row r="54" spans="2:13" x14ac:dyDescent="0.2">
      <c r="B54" s="300" t="str">
        <f>IF(B49="","","Incerteza expandida (mg.kg-1)")</f>
        <v/>
      </c>
      <c r="C54" s="148" t="str">
        <f>IF(B54="","",' Principal'!S129)</f>
        <v/>
      </c>
      <c r="H54" s="232" t="str">
        <f>IF(E52="","",IF(D52&lt;=E52,B54,""))</f>
        <v/>
      </c>
      <c r="I54" s="280" t="str">
        <f>IF(E52="","",IF(D52&lt;=E52,C54,""))</f>
        <v/>
      </c>
    </row>
    <row r="58" spans="2:13" x14ac:dyDescent="0.2">
      <c r="B58" s="145" t="str">
        <f>IF(' Principal'!T137="","",CONCATENATE("Resultado final amostra ",'Massas Corrigidas'!I46))</f>
        <v/>
      </c>
      <c r="C58" s="145"/>
      <c r="H58" s="87" t="str">
        <f>IF(E61="","",IF(D61&lt;=E61,B58,""))</f>
        <v/>
      </c>
      <c r="K58" s="87" t="str">
        <f>IF(' Principal'!T137="","",' Principal'!O134)</f>
        <v/>
      </c>
      <c r="L58" s="87" t="str">
        <f>IF(' Principal'!T137="","",' Principal'!N134)</f>
        <v/>
      </c>
      <c r="M58" s="87" t="str">
        <f>IF(' Principal'!T137="","",' Principal'!M134)</f>
        <v/>
      </c>
    </row>
    <row r="59" spans="2:13" x14ac:dyDescent="0.2">
      <c r="B59" s="300" t="str">
        <f>IF(B58="","","ueff")</f>
        <v/>
      </c>
      <c r="C59" s="262" t="str">
        <f>IF(B59="","",' Principal'!S135)</f>
        <v/>
      </c>
      <c r="H59" s="87" t="str">
        <f>IF(E61="","",IF(D61&lt;=E61,B59,""))</f>
        <v/>
      </c>
      <c r="I59" s="87" t="str">
        <f>IF(E61="","",IF(D61&lt;=E61,C59,""))</f>
        <v/>
      </c>
    </row>
    <row r="60" spans="2:13" x14ac:dyDescent="0.2">
      <c r="B60" s="300" t="str">
        <f>IF(B58="","","K 0,05")</f>
        <v/>
      </c>
      <c r="C60" s="262" t="str">
        <f>IF(B60="","",' Principal'!S136)</f>
        <v/>
      </c>
      <c r="H60" s="87" t="str">
        <f>IF(E61="","",IF(D61&lt;=E61,B60,""))</f>
        <v/>
      </c>
      <c r="I60" s="87" t="str">
        <f>IF(E61="","",IF(D61&lt;=E61,C60,""))</f>
        <v/>
      </c>
    </row>
    <row r="61" spans="2:13" x14ac:dyDescent="0.2">
      <c r="B61" s="300" t="str">
        <f>IF(B58="","","Fração mássica da amostra (mg.kg-1)")</f>
        <v/>
      </c>
      <c r="C61" s="262" t="str">
        <f>IF(B61="","",' Principal'!S137)</f>
        <v/>
      </c>
      <c r="D61" s="87" t="str">
        <f>IFERROR(ABS(C61-$C$15),"")</f>
        <v/>
      </c>
      <c r="E61" s="278" t="str">
        <f>IF(C61="","",2*SQRT(SUMSQ($C$16,C62)))</f>
        <v/>
      </c>
      <c r="F61" s="87" t="str">
        <f>IF(E61="","",IF(D61&lt;=E61,"OK","Inconcistente"))</f>
        <v/>
      </c>
      <c r="G61" s="87" t="str">
        <f>IFERROR(SQRT((COUNT($D$25:$D$286)/(COUNT($D$25:$D$286)-1))*((((C61-$C$15)/2)^2)-(E61/2)^2)),"")</f>
        <v/>
      </c>
      <c r="H61" s="87" t="str">
        <f>IF(E61="","",IF(D61&lt;=E61,B61,""))</f>
        <v/>
      </c>
      <c r="I61" s="87" t="str">
        <f>IF(E61="","",IF(D61&lt;=E61,C61,""))</f>
        <v/>
      </c>
    </row>
    <row r="62" spans="2:13" x14ac:dyDescent="0.2">
      <c r="B62" s="300" t="str">
        <f>IF(B58="","","Incerteza combinada")</f>
        <v/>
      </c>
      <c r="C62" s="148" t="str">
        <f>IFERROR(IF(B58="","",C63/C60),"")</f>
        <v/>
      </c>
      <c r="H62" s="87" t="str">
        <f>IF(E61="","",IF(D61&lt;=E61,B62,""))</f>
        <v/>
      </c>
      <c r="I62" s="87" t="str">
        <f>IF(E61="","",IF(D61&lt;=E61,C62,""))</f>
        <v/>
      </c>
    </row>
    <row r="63" spans="2:13" x14ac:dyDescent="0.2">
      <c r="B63" s="300" t="str">
        <f>IF(B58="","","Incerteza expandida (mg.kg-1)")</f>
        <v/>
      </c>
      <c r="C63" s="148" t="str">
        <f>IF(B63="","",' Principal'!S138)</f>
        <v/>
      </c>
      <c r="H63" s="87" t="str">
        <f>IF(E61="","",IF(D61&lt;=E61,B63,""))</f>
        <v/>
      </c>
      <c r="I63" s="87" t="str">
        <f>IF(E61="","",IF(D61&lt;=E61,C63,""))</f>
        <v/>
      </c>
    </row>
    <row r="67" spans="2:13" x14ac:dyDescent="0.2">
      <c r="B67" s="145" t="str">
        <f>IF(' Principal'!T146="","",CONCATENATE("Resultado final amostra ",'Massas Corrigidas'!I51))</f>
        <v/>
      </c>
      <c r="C67" s="145"/>
      <c r="H67" s="232" t="str">
        <f>IF(E70="","",IF(D70&lt;=E70,B67,""))</f>
        <v/>
      </c>
      <c r="I67" s="232"/>
      <c r="K67" s="87" t="str">
        <f>IF(' Principal'!T146="","",' Principal'!O143)</f>
        <v/>
      </c>
      <c r="L67" s="87" t="str">
        <f>IF(' Principal'!T146="","",' Principal'!N143)</f>
        <v/>
      </c>
      <c r="M67" s="87" t="str">
        <f>IF(' Principal'!T146="","",' Principal'!M143)</f>
        <v/>
      </c>
    </row>
    <row r="68" spans="2:13" x14ac:dyDescent="0.2">
      <c r="B68" s="300" t="str">
        <f>IF(B67="","","ueff")</f>
        <v/>
      </c>
      <c r="C68" s="262" t="str">
        <f>IF(B68="","",' Principal'!S144)</f>
        <v/>
      </c>
      <c r="H68" s="232" t="str">
        <f>IF(E70="","",IF(D70&lt;=E70,B68,""))</f>
        <v/>
      </c>
      <c r="I68" s="279" t="str">
        <f>IF(E70="","",IF(D70&lt;=E70,C68,""))</f>
        <v/>
      </c>
    </row>
    <row r="69" spans="2:13" x14ac:dyDescent="0.2">
      <c r="B69" s="300" t="str">
        <f>IF(B67="","","K 0,05")</f>
        <v/>
      </c>
      <c r="C69" s="262" t="str">
        <f>IF(B69="","",' Principal'!S145)</f>
        <v/>
      </c>
      <c r="H69" s="232" t="str">
        <f>IF(E70="","",IF(D70&lt;=E70,B69,""))</f>
        <v/>
      </c>
      <c r="I69" s="146" t="str">
        <f>IF(E70="","",IF(D70&lt;=E70,C69,""))</f>
        <v/>
      </c>
    </row>
    <row r="70" spans="2:13" x14ac:dyDescent="0.2">
      <c r="B70" s="300" t="str">
        <f>IF(B67="","","Fração mássica da amostra (mg.kg-1)")</f>
        <v/>
      </c>
      <c r="C70" s="262" t="str">
        <f>IF(B70="","",' Principal'!S146)</f>
        <v/>
      </c>
      <c r="D70" s="87" t="str">
        <f>IFERROR(ABS(C70-$C$15),"")</f>
        <v/>
      </c>
      <c r="E70" s="278" t="str">
        <f>IF(C70="","",2*SQRT(SUMSQ($C$16,C71)))</f>
        <v/>
      </c>
      <c r="F70" s="87" t="str">
        <f>IF(E70="","",IF(D70&lt;=E70,"OK","Inconcistente"))</f>
        <v/>
      </c>
      <c r="G70" s="87" t="str">
        <f>IFERROR(SQRT((COUNT($D$25:$D$286)/(COUNT($D$25:$D$286)-1))*((((C70-$C$15)/2)^2)-(E70/2)^2)),"")</f>
        <v/>
      </c>
      <c r="H70" s="232" t="str">
        <f>IF(E70="","",IF(D70&lt;=E70,B70,""))</f>
        <v/>
      </c>
      <c r="I70" s="280" t="str">
        <f>IF(E70="","",IF(D70&lt;=E70,C70,""))</f>
        <v/>
      </c>
    </row>
    <row r="71" spans="2:13" x14ac:dyDescent="0.2">
      <c r="B71" s="300" t="str">
        <f>IF(B67="","","Incerteza combinada")</f>
        <v/>
      </c>
      <c r="C71" s="148" t="str">
        <f>IFERROR(IF(B67="","",C72/C69),"")</f>
        <v/>
      </c>
      <c r="H71" s="232" t="str">
        <f>IF(E70="","",IF(D70&lt;=E70,B71,""))</f>
        <v/>
      </c>
      <c r="I71" s="280" t="str">
        <f>IF(E70="","",IF(D70&lt;=E70,C71,""))</f>
        <v/>
      </c>
    </row>
    <row r="72" spans="2:13" x14ac:dyDescent="0.2">
      <c r="B72" s="300" t="str">
        <f>IF(B67="","","Incerteza expandida (mg.kg-1)")</f>
        <v/>
      </c>
      <c r="C72" s="148" t="str">
        <f>IF(B72="","",' Principal'!S147)</f>
        <v/>
      </c>
      <c r="H72" s="232" t="str">
        <f>IF(E70="","",IF(D70&lt;=E70,B72,""))</f>
        <v/>
      </c>
      <c r="I72" s="280" t="str">
        <f>IF(E70="","",IF(D70&lt;=E70,C72,""))</f>
        <v/>
      </c>
    </row>
    <row r="76" spans="2:13" x14ac:dyDescent="0.2">
      <c r="B76" s="145" t="str">
        <f>IF(' Principal'!T155="","",CONCATENATE("Resultado final amostra ",'Massas Corrigidas'!I56))</f>
        <v/>
      </c>
      <c r="C76" s="145"/>
      <c r="H76" s="87" t="str">
        <f>IF(E79="","",IF(D79&lt;=E79,B76,""))</f>
        <v/>
      </c>
      <c r="K76" s="87" t="str">
        <f>IF(' Principal'!T155="","",' Principal'!O152)</f>
        <v/>
      </c>
      <c r="L76" s="87" t="str">
        <f>IF(' Principal'!T155="","",' Principal'!N152)</f>
        <v/>
      </c>
      <c r="M76" s="87" t="str">
        <f>IF(' Principal'!T155="","",' Principal'!M152)</f>
        <v/>
      </c>
    </row>
    <row r="77" spans="2:13" x14ac:dyDescent="0.2">
      <c r="B77" s="300" t="str">
        <f>IF(B76="","","ueff")</f>
        <v/>
      </c>
      <c r="C77" s="262" t="str">
        <f>IF(B77="","",' Principal'!S153)</f>
        <v/>
      </c>
      <c r="H77" s="87" t="str">
        <f>IF(E79="","",IF(D79&lt;=E79,B77,""))</f>
        <v/>
      </c>
      <c r="I77" s="87" t="str">
        <f>IF(E79="","",IF(D79&lt;=E79,C77,""))</f>
        <v/>
      </c>
    </row>
    <row r="78" spans="2:13" x14ac:dyDescent="0.2">
      <c r="B78" s="300" t="str">
        <f>IF(B76="","","K 0,05")</f>
        <v/>
      </c>
      <c r="C78" s="262" t="str">
        <f>IF(B78="","",' Principal'!S154)</f>
        <v/>
      </c>
      <c r="H78" s="87" t="str">
        <f>IF(E79="","",IF(D79&lt;=E79,B78,""))</f>
        <v/>
      </c>
      <c r="I78" s="87" t="str">
        <f>IF(E79="","",IF(D79&lt;=E79,C78,""))</f>
        <v/>
      </c>
    </row>
    <row r="79" spans="2:13" x14ac:dyDescent="0.2">
      <c r="B79" s="300" t="str">
        <f>IF(B76="","","Fração mássica da amostra (mg.kg-1)")</f>
        <v/>
      </c>
      <c r="C79" s="262" t="str">
        <f>IF(B79="","",' Principal'!S155)</f>
        <v/>
      </c>
      <c r="D79" s="87" t="str">
        <f>IFERROR(ABS(C79-$C$15),"")</f>
        <v/>
      </c>
      <c r="E79" s="278" t="str">
        <f>IF(C79="","",2*SQRT(SUMSQ($C$16,C80)))</f>
        <v/>
      </c>
      <c r="F79" s="87" t="str">
        <f>IF(E79="","",IF(D79&lt;=E79,"OK","Inconcistente"))</f>
        <v/>
      </c>
      <c r="G79" s="87" t="str">
        <f>IFERROR(SQRT((COUNT($D$25:$D$286)/(COUNT($D$25:$D$286)-1))*((((C79-$C$15)/2)^2)-(E79/2)^2)),"")</f>
        <v/>
      </c>
      <c r="H79" s="87" t="str">
        <f>IF(E79="","",IF(D79&lt;=E79,B79,""))</f>
        <v/>
      </c>
      <c r="I79" s="87" t="str">
        <f>IF(E79="","",IF(D79&lt;=E79,C79,""))</f>
        <v/>
      </c>
    </row>
    <row r="80" spans="2:13" x14ac:dyDescent="0.2">
      <c r="B80" s="300" t="str">
        <f>IF(B76="","","Incerteza combinada")</f>
        <v/>
      </c>
      <c r="C80" s="148" t="str">
        <f>IFERROR(IF(B76="","",C81/C78),"")</f>
        <v/>
      </c>
      <c r="H80" s="87" t="str">
        <f>IF(E79="","",IF(D79&lt;=E79,B80,""))</f>
        <v/>
      </c>
      <c r="I80" s="87" t="str">
        <f>IF(E79="","",IF(D79&lt;=E79,C80,""))</f>
        <v/>
      </c>
    </row>
    <row r="81" spans="2:13" x14ac:dyDescent="0.2">
      <c r="B81" s="300" t="str">
        <f>IF(B76="","","Incerteza expandida (mg.kg-1)")</f>
        <v/>
      </c>
      <c r="C81" s="148" t="str">
        <f>IF(B81="","",' Principal'!S156)</f>
        <v/>
      </c>
      <c r="H81" s="87" t="str">
        <f>IF(E79="","",IF(D79&lt;=E79,B81,""))</f>
        <v/>
      </c>
      <c r="I81" s="87" t="str">
        <f>IF(E79="","",IF(D79&lt;=E79,C81,""))</f>
        <v/>
      </c>
    </row>
    <row r="85" spans="2:13" x14ac:dyDescent="0.2">
      <c r="B85" s="145" t="str">
        <f>IF(' Principal'!T164="","",CONCATENATE("Resultado final amostra ",'Massas Corrigidas'!I61))</f>
        <v/>
      </c>
      <c r="C85" s="145"/>
      <c r="H85" s="232" t="str">
        <f>IF(E88="","",IF(D88&lt;=E88,B85,""))</f>
        <v/>
      </c>
      <c r="I85" s="232"/>
      <c r="K85" s="87" t="str">
        <f>IF(' Principal'!T164="","",' Principal'!O161)</f>
        <v/>
      </c>
      <c r="L85" s="87" t="str">
        <f>IF(' Principal'!T164="","",' Principal'!N161)</f>
        <v/>
      </c>
      <c r="M85" s="87" t="str">
        <f>IF(' Principal'!T164="","",' Principal'!M161)</f>
        <v/>
      </c>
    </row>
    <row r="86" spans="2:13" x14ac:dyDescent="0.2">
      <c r="B86" s="300" t="str">
        <f>IF(B85="","","ueff")</f>
        <v/>
      </c>
      <c r="C86" s="262" t="str">
        <f>IF(B86="","",' Principal'!S162)</f>
        <v/>
      </c>
      <c r="H86" s="232" t="str">
        <f>IF(E88="","",IF(D88&lt;=E88,B86,""))</f>
        <v/>
      </c>
      <c r="I86" s="279" t="str">
        <f>IF(E88="","",IF(D88&lt;=E88,C86,""))</f>
        <v/>
      </c>
    </row>
    <row r="87" spans="2:13" x14ac:dyDescent="0.2">
      <c r="B87" s="300" t="str">
        <f>IF(B85="","","K 0,05")</f>
        <v/>
      </c>
      <c r="C87" s="262" t="str">
        <f>IF(B87="","",' Principal'!S163)</f>
        <v/>
      </c>
      <c r="H87" s="232" t="str">
        <f>IF(E88="","",IF(D88&lt;=E88,B87,""))</f>
        <v/>
      </c>
      <c r="I87" s="146" t="str">
        <f>IF(E88="","",IF(D88&lt;=E88,C87,""))</f>
        <v/>
      </c>
    </row>
    <row r="88" spans="2:13" x14ac:dyDescent="0.2">
      <c r="B88" s="300" t="str">
        <f>IF(B85="","","Fração mássica da amostra (mg.kg-1)")</f>
        <v/>
      </c>
      <c r="C88" s="262" t="str">
        <f>IF(B88="","",' Principal'!S164)</f>
        <v/>
      </c>
      <c r="D88" s="87" t="str">
        <f>IFERROR(ABS(C88-$C$15),"")</f>
        <v/>
      </c>
      <c r="E88" s="278" t="str">
        <f>IF(C88="","",2*SQRT(SUMSQ($C$16,C89)))</f>
        <v/>
      </c>
      <c r="F88" s="87" t="str">
        <f>IF(E88="","",IF(D88&lt;=E88,"OK","Inconcistente"))</f>
        <v/>
      </c>
      <c r="G88" s="87" t="str">
        <f>IFERROR(SQRT((COUNT($D$25:$D$286)/(COUNT($D$25:$D$286)-1))*((((C88-$C$15)/2)^2)-(E88/2)^2)),"")</f>
        <v/>
      </c>
      <c r="H88" s="232" t="str">
        <f>IF(E88="","",IF(D88&lt;=E88,B88,""))</f>
        <v/>
      </c>
      <c r="I88" s="280" t="str">
        <f>IF(E88="","",IF(D88&lt;=E88,C88,""))</f>
        <v/>
      </c>
    </row>
    <row r="89" spans="2:13" x14ac:dyDescent="0.2">
      <c r="B89" s="300" t="str">
        <f>IF(B85="","","Incerteza combinada")</f>
        <v/>
      </c>
      <c r="C89" s="148" t="str">
        <f>IFERROR(IF(B85="","",C90/C87),"")</f>
        <v/>
      </c>
      <c r="H89" s="232" t="str">
        <f>IF(E88="","",IF(D88&lt;=E88,B89,""))</f>
        <v/>
      </c>
      <c r="I89" s="280" t="str">
        <f>IF(E88="","",IF(D88&lt;=E88,C89,""))</f>
        <v/>
      </c>
    </row>
    <row r="90" spans="2:13" x14ac:dyDescent="0.2">
      <c r="B90" s="300" t="str">
        <f>IF(B85="","","Incerteza expandida (mg.kg-1)")</f>
        <v/>
      </c>
      <c r="C90" s="148" t="str">
        <f>IF(B90="","",' Principal'!S165)</f>
        <v/>
      </c>
      <c r="H90" s="232" t="str">
        <f>IF(E88="","",IF(D88&lt;=E88,B90,""))</f>
        <v/>
      </c>
      <c r="I90" s="280" t="str">
        <f>IF(E88="","",IF(D88&lt;=E88,C90,""))</f>
        <v/>
      </c>
    </row>
    <row r="94" spans="2:13" x14ac:dyDescent="0.2">
      <c r="B94" s="145" t="str">
        <f>IF(' Principal'!T173="","",CONCATENATE("Resultado final amostra ",'Massas Corrigidas'!I66))</f>
        <v/>
      </c>
      <c r="C94" s="145"/>
      <c r="H94" s="87" t="str">
        <f>IF(E97="","",IF(D97&lt;=E97,B94,""))</f>
        <v/>
      </c>
      <c r="K94" s="87" t="str">
        <f>IF(' Principal'!T173="","",' Principal'!O170)</f>
        <v/>
      </c>
      <c r="L94" s="87" t="str">
        <f>IF(' Principal'!T173="","",' Principal'!N170)</f>
        <v/>
      </c>
      <c r="M94" s="87" t="str">
        <f>IF(' Principal'!T173="","",' Principal'!M170)</f>
        <v/>
      </c>
    </row>
    <row r="95" spans="2:13" x14ac:dyDescent="0.2">
      <c r="B95" s="300" t="str">
        <f>IF(B94="","","ueff")</f>
        <v/>
      </c>
      <c r="C95" s="262" t="str">
        <f>IF(B95="","",' Principal'!S171)</f>
        <v/>
      </c>
      <c r="H95" s="87" t="str">
        <f>IF(E97="","",IF(D97&lt;=E97,B95,""))</f>
        <v/>
      </c>
      <c r="I95" s="87" t="str">
        <f>IF(E97="","",IF(D97&lt;=E97,C95,""))</f>
        <v/>
      </c>
    </row>
    <row r="96" spans="2:13" x14ac:dyDescent="0.2">
      <c r="B96" s="300" t="str">
        <f>IF(B94="","","K 0,05")</f>
        <v/>
      </c>
      <c r="C96" s="262" t="str">
        <f>IF(B96="","",' Principal'!S172)</f>
        <v/>
      </c>
      <c r="H96" s="87" t="str">
        <f>IF(E97="","",IF(D97&lt;=E97,B96,""))</f>
        <v/>
      </c>
      <c r="I96" s="87" t="str">
        <f>IF(E97="","",IF(D97&lt;=E97,C96,""))</f>
        <v/>
      </c>
    </row>
    <row r="97" spans="2:13" x14ac:dyDescent="0.2">
      <c r="B97" s="300" t="str">
        <f>IF(B94="","","Fração mássica da amostra (mg.kg-1)")</f>
        <v/>
      </c>
      <c r="C97" s="262" t="str">
        <f>IF(B97="","",' Principal'!S173)</f>
        <v/>
      </c>
      <c r="D97" s="87" t="str">
        <f>IFERROR(ABS(C97-$C$15),"")</f>
        <v/>
      </c>
      <c r="E97" s="278" t="str">
        <f>IF(C97="","",2*SQRT(SUMSQ($C$16,C98)))</f>
        <v/>
      </c>
      <c r="F97" s="87" t="str">
        <f>IF(E97="","",IF(D97&lt;=E97,"OK","Inconcistente"))</f>
        <v/>
      </c>
      <c r="G97" s="87" t="str">
        <f>IFERROR(SQRT((COUNT($D$25:$D$286)/(COUNT($D$25:$D$286)-1))*((((C97-$C$15)/2)^2)-(E97/2)^2)),"")</f>
        <v/>
      </c>
      <c r="H97" s="87" t="str">
        <f>IF(E97="","",IF(D97&lt;=E97,B97,""))</f>
        <v/>
      </c>
      <c r="I97" s="87" t="str">
        <f>IF(E97="","",IF(D97&lt;=E97,C97,""))</f>
        <v/>
      </c>
    </row>
    <row r="98" spans="2:13" x14ac:dyDescent="0.2">
      <c r="B98" s="300" t="str">
        <f>IF(B94="","","Incerteza combinada")</f>
        <v/>
      </c>
      <c r="C98" s="148" t="str">
        <f>IFERROR(IF(B94="","",C99/C96),"")</f>
        <v/>
      </c>
      <c r="H98" s="87" t="str">
        <f>IF(E97="","",IF(D97&lt;=E97,B98,""))</f>
        <v/>
      </c>
      <c r="I98" s="87" t="str">
        <f>IF(E97="","",IF(D97&lt;=E97,C98,""))</f>
        <v/>
      </c>
    </row>
    <row r="99" spans="2:13" x14ac:dyDescent="0.2">
      <c r="B99" s="300" t="str">
        <f>IF(B94="","","Incerteza expandida (mg.kg-1)")</f>
        <v/>
      </c>
      <c r="C99" s="148" t="str">
        <f>IF(B99="","",' Principal'!S174)</f>
        <v/>
      </c>
      <c r="H99" s="87" t="str">
        <f>IF(E97="","",IF(D97&lt;=E97,B99,""))</f>
        <v/>
      </c>
      <c r="I99" s="87" t="str">
        <f>IF(E97="","",IF(D97&lt;=E97,C99,""))</f>
        <v/>
      </c>
    </row>
    <row r="103" spans="2:13" x14ac:dyDescent="0.2">
      <c r="B103" s="145" t="str">
        <f>IF(' Principal'!T182="","",CONCATENATE("Resultado final amostra ",'Massas Corrigidas'!I71))</f>
        <v/>
      </c>
      <c r="C103" s="145"/>
      <c r="H103" s="232" t="str">
        <f>IF(E106="","",IF(D106&lt;=E106,B103,""))</f>
        <v/>
      </c>
      <c r="I103" s="232"/>
      <c r="K103" s="87" t="str">
        <f>IF(' Principal'!T182="","",' Principal'!O179)</f>
        <v/>
      </c>
      <c r="L103" s="87" t="str">
        <f>IF(' Principal'!T182="","",' Principal'!N179)</f>
        <v/>
      </c>
      <c r="M103" s="87" t="str">
        <f>IF(' Principal'!T182="","",' Principal'!M179)</f>
        <v/>
      </c>
    </row>
    <row r="104" spans="2:13" x14ac:dyDescent="0.2">
      <c r="B104" s="300" t="str">
        <f>IF(B103="","","ueff")</f>
        <v/>
      </c>
      <c r="C104" s="262" t="str">
        <f>IF(B104="","",' Principal'!S180)</f>
        <v/>
      </c>
      <c r="H104" s="232" t="str">
        <f>IF(E106="","",IF(D106&lt;=E106,B104,""))</f>
        <v/>
      </c>
      <c r="I104" s="279" t="str">
        <f>IF(E106="","",IF(D106&lt;=E106,C104,""))</f>
        <v/>
      </c>
    </row>
    <row r="105" spans="2:13" x14ac:dyDescent="0.2">
      <c r="B105" s="300" t="str">
        <f>IF(B103="","","K 0,05")</f>
        <v/>
      </c>
      <c r="C105" s="262" t="str">
        <f>IF(B105="","",' Principal'!S181)</f>
        <v/>
      </c>
      <c r="H105" s="232" t="str">
        <f>IF(E106="","",IF(D106&lt;=E106,B105,""))</f>
        <v/>
      </c>
      <c r="I105" s="146" t="str">
        <f>IF(E106="","",IF(D106&lt;=E106,C105,""))</f>
        <v/>
      </c>
    </row>
    <row r="106" spans="2:13" x14ac:dyDescent="0.2">
      <c r="B106" s="300" t="str">
        <f>IF(B103="","","Fração mássica da amostra (mg.kg-1)")</f>
        <v/>
      </c>
      <c r="C106" s="262" t="str">
        <f>IF(B106="","",' Principal'!S182)</f>
        <v/>
      </c>
      <c r="D106" s="87" t="str">
        <f>IFERROR(ABS(C106-$C$15),"")</f>
        <v/>
      </c>
      <c r="E106" s="278" t="str">
        <f>IF(C106="","",2*SQRT(SUMSQ($C$16,C107)))</f>
        <v/>
      </c>
      <c r="F106" s="87" t="str">
        <f>IF(E106="","",IF(D106&lt;=E106,"OK","Inconcistente"))</f>
        <v/>
      </c>
      <c r="G106" s="87" t="str">
        <f>IFERROR(SQRT((COUNT($D$25:$D$286)/(COUNT($D$25:$D$286)-1))*((((C106-$C$15)/2)^2)-(E106/2)^2)),"")</f>
        <v/>
      </c>
      <c r="H106" s="232" t="str">
        <f>IF(E106="","",IF(D106&lt;=E106,B106,""))</f>
        <v/>
      </c>
      <c r="I106" s="280" t="str">
        <f>IF(E106="","",IF(D106&lt;=E106,C106,""))</f>
        <v/>
      </c>
    </row>
    <row r="107" spans="2:13" x14ac:dyDescent="0.2">
      <c r="B107" s="300" t="str">
        <f>IF(B103="","","Incerteza combinada")</f>
        <v/>
      </c>
      <c r="C107" s="148" t="str">
        <f>IFERROR(IF(B103="","",C108/C105),"")</f>
        <v/>
      </c>
      <c r="H107" s="232" t="str">
        <f>IF(E106="","",IF(D106&lt;=E106,B107,""))</f>
        <v/>
      </c>
      <c r="I107" s="280" t="str">
        <f>IF(E106="","",IF(D106&lt;=E106,C107,""))</f>
        <v/>
      </c>
    </row>
    <row r="108" spans="2:13" x14ac:dyDescent="0.2">
      <c r="B108" s="300" t="str">
        <f>IF(B103="","","Incerteza expandida (mg.kg-1)")</f>
        <v/>
      </c>
      <c r="C108" s="148" t="str">
        <f>IF(B108="","",' Principal'!S183)</f>
        <v/>
      </c>
      <c r="H108" s="232" t="str">
        <f>IF(E106="","",IF(D106&lt;=E106,B108,""))</f>
        <v/>
      </c>
      <c r="I108" s="280" t="str">
        <f>IF(E106="","",IF(D106&lt;=E106,C108,""))</f>
        <v/>
      </c>
    </row>
    <row r="112" spans="2:13" x14ac:dyDescent="0.2">
      <c r="B112" s="145" t="str">
        <f>IF(' Principal'!T191="","",CONCATENATE("Resultado final amostra ",'Massas Corrigidas'!I76))</f>
        <v/>
      </c>
      <c r="C112" s="145"/>
      <c r="H112" s="87" t="str">
        <f>IF(E115="","",IF(D115&lt;=E115,B112,""))</f>
        <v/>
      </c>
      <c r="K112" s="87" t="str">
        <f>IF(' Principal'!T191="","",' Principal'!O188)</f>
        <v/>
      </c>
      <c r="L112" s="87" t="str">
        <f>IF(' Principal'!T191="","",' Principal'!N188)</f>
        <v/>
      </c>
      <c r="M112" s="87" t="str">
        <f>IF(' Principal'!T191="","",' Principal'!M188)</f>
        <v/>
      </c>
    </row>
    <row r="113" spans="2:13" x14ac:dyDescent="0.2">
      <c r="B113" s="300" t="str">
        <f>IF(B112="","","ueff")</f>
        <v/>
      </c>
      <c r="C113" s="262" t="str">
        <f>IF(B113="","",' Principal'!S189)</f>
        <v/>
      </c>
      <c r="H113" s="87" t="str">
        <f>IF(E115="","",IF(D115&lt;=E115,B113,""))</f>
        <v/>
      </c>
      <c r="I113" s="87" t="str">
        <f>IF(E115="","",IF(D115&lt;=E115,C113,""))</f>
        <v/>
      </c>
    </row>
    <row r="114" spans="2:13" x14ac:dyDescent="0.2">
      <c r="B114" s="300" t="str">
        <f>IF(B112="","","K 0,05")</f>
        <v/>
      </c>
      <c r="C114" s="262" t="str">
        <f>IF(B114="","",' Principal'!S190)</f>
        <v/>
      </c>
      <c r="H114" s="87" t="str">
        <f>IF(E115="","",IF(D115&lt;=E115,B114,""))</f>
        <v/>
      </c>
      <c r="I114" s="87" t="str">
        <f>IF(E115="","",IF(D115&lt;=E115,C114,""))</f>
        <v/>
      </c>
    </row>
    <row r="115" spans="2:13" x14ac:dyDescent="0.2">
      <c r="B115" s="300" t="str">
        <f>IF(B112="","","Fração mássica da amostra (mg.kg-1)")</f>
        <v/>
      </c>
      <c r="C115" s="262" t="str">
        <f>IF(B115="","",' Principal'!S191)</f>
        <v/>
      </c>
      <c r="D115" s="87" t="str">
        <f>IFERROR(ABS(C115-$C$15),"")</f>
        <v/>
      </c>
      <c r="E115" s="278" t="str">
        <f>IF(C115="","",2*SQRT(SUMSQ($C$16,C116)))</f>
        <v/>
      </c>
      <c r="F115" s="87" t="str">
        <f>IF(E115="","",IF(D115&lt;=E115,"OK","Inconcistente"))</f>
        <v/>
      </c>
      <c r="G115" s="87" t="str">
        <f>IFERROR(SQRT((COUNT($D$25:$D$286)/(COUNT($D$25:$D$286)-1))*((((C115-$C$15)/2)^2)-(E115/2)^2)),"")</f>
        <v/>
      </c>
      <c r="H115" s="87" t="str">
        <f>IF(E115="","",IF(D115&lt;=E115,B115,""))</f>
        <v/>
      </c>
      <c r="I115" s="87" t="str">
        <f>IF(E115="","",IF(D115&lt;=E115,C115,""))</f>
        <v/>
      </c>
    </row>
    <row r="116" spans="2:13" x14ac:dyDescent="0.2">
      <c r="B116" s="300" t="str">
        <f>IF(B112="","","Incerteza combinada")</f>
        <v/>
      </c>
      <c r="C116" s="148" t="str">
        <f>IFERROR(IF(B112="","",C117/C114),"")</f>
        <v/>
      </c>
      <c r="H116" s="87" t="str">
        <f>IF(E115="","",IF(D115&lt;=E115,B116,""))</f>
        <v/>
      </c>
      <c r="I116" s="87" t="str">
        <f>IF(E115="","",IF(D115&lt;=E115,C116,""))</f>
        <v/>
      </c>
    </row>
    <row r="117" spans="2:13" x14ac:dyDescent="0.2">
      <c r="B117" s="300" t="str">
        <f>IF(B112="","","Incerteza expandida (mg.kg-1)")</f>
        <v/>
      </c>
      <c r="C117" s="148" t="str">
        <f>IF(B117="","",' Principal'!S192)</f>
        <v/>
      </c>
      <c r="H117" s="87" t="str">
        <f>IF(E115="","",IF(D115&lt;=E115,B117,""))</f>
        <v/>
      </c>
      <c r="I117" s="87" t="str">
        <f>IF(E115="","",IF(D115&lt;=E115,C117,""))</f>
        <v/>
      </c>
    </row>
    <row r="121" spans="2:13" x14ac:dyDescent="0.2">
      <c r="B121" s="145" t="str">
        <f>IF(' Principal'!T200="","",CONCATENATE("Resultado final amostra ",'Massas Corrigidas'!I81))</f>
        <v/>
      </c>
      <c r="C121" s="145"/>
      <c r="H121" s="232" t="str">
        <f>IF(E124="","",IF(D124&lt;=E124,B121,""))</f>
        <v/>
      </c>
      <c r="I121" s="232"/>
      <c r="K121" s="87" t="str">
        <f>IF(' Principal'!T200="","",' Principal'!O197)</f>
        <v/>
      </c>
      <c r="L121" s="87" t="str">
        <f>IF(' Principal'!T200="","",' Principal'!N197)</f>
        <v/>
      </c>
      <c r="M121" s="87" t="str">
        <f>IF(' Principal'!T200="","",' Principal'!M197)</f>
        <v/>
      </c>
    </row>
    <row r="122" spans="2:13" x14ac:dyDescent="0.2">
      <c r="B122" s="300" t="str">
        <f>IF(B121="","","ueff")</f>
        <v/>
      </c>
      <c r="C122" s="262" t="str">
        <f>IF(B122="","",' Principal'!S198)</f>
        <v/>
      </c>
      <c r="H122" s="232" t="str">
        <f>IF(E124="","",IF(D124&lt;=E124,B122,""))</f>
        <v/>
      </c>
      <c r="I122" s="279" t="str">
        <f>IF(E124="","",IF(D124&lt;=E124,C122,""))</f>
        <v/>
      </c>
    </row>
    <row r="123" spans="2:13" x14ac:dyDescent="0.2">
      <c r="B123" s="300" t="str">
        <f>IF(B121="","","K 0,05")</f>
        <v/>
      </c>
      <c r="C123" s="262" t="str">
        <f>IF(B123="","",' Principal'!S199)</f>
        <v/>
      </c>
      <c r="H123" s="232" t="str">
        <f>IF(E124="","",IF(D124&lt;=E124,B123,""))</f>
        <v/>
      </c>
      <c r="I123" s="146" t="str">
        <f>IF(E124="","",IF(D124&lt;=E124,C123,""))</f>
        <v/>
      </c>
    </row>
    <row r="124" spans="2:13" x14ac:dyDescent="0.2">
      <c r="B124" s="300" t="str">
        <f>IF(B121="","","Fração mássica da amostra (mg.kg-1)")</f>
        <v/>
      </c>
      <c r="C124" s="262" t="str">
        <f>IF(B124="","",' Principal'!S200)</f>
        <v/>
      </c>
      <c r="D124" s="87" t="str">
        <f>IFERROR(ABS(C124-$C$15),"")</f>
        <v/>
      </c>
      <c r="E124" s="278" t="str">
        <f>IF(C124="","",2*SQRT(SUMSQ($C$16,C125)))</f>
        <v/>
      </c>
      <c r="F124" s="87" t="str">
        <f>IF(E124="","",IF(D124&lt;=E124,"OK","Inconcistente"))</f>
        <v/>
      </c>
      <c r="G124" s="87" t="str">
        <f>IFERROR(SQRT((COUNT($D$25:$D$286)/(COUNT($D$25:$D$286)-1))*((((C124-$C$15)/2)^2)-(E124/2)^2)),"")</f>
        <v/>
      </c>
      <c r="H124" s="232" t="str">
        <f>IF(E124="","",IF(D124&lt;=E124,B124,""))</f>
        <v/>
      </c>
      <c r="I124" s="280" t="str">
        <f>IF(E124="","",IF(D124&lt;=E124,C124,""))</f>
        <v/>
      </c>
    </row>
    <row r="125" spans="2:13" x14ac:dyDescent="0.2">
      <c r="B125" s="300" t="str">
        <f>IF(B121="","","Incerteza combinada")</f>
        <v/>
      </c>
      <c r="C125" s="148" t="str">
        <f>IFERROR(IF(B121="","",C126/C123),"")</f>
        <v/>
      </c>
      <c r="H125" s="232" t="str">
        <f>IF(E124="","",IF(D124&lt;=E124,B125,""))</f>
        <v/>
      </c>
      <c r="I125" s="280" t="str">
        <f>IF(E124="","",IF(D124&lt;=E124,C125,""))</f>
        <v/>
      </c>
    </row>
    <row r="126" spans="2:13" x14ac:dyDescent="0.2">
      <c r="B126" s="300" t="str">
        <f>IF(B121="","","Incerteza expandida (mg.kg-1)")</f>
        <v/>
      </c>
      <c r="C126" s="148" t="str">
        <f>IF(B126="","",' Principal'!S201)</f>
        <v/>
      </c>
      <c r="H126" s="232" t="str">
        <f>IF(E124="","",IF(D124&lt;=E124,B126,""))</f>
        <v/>
      </c>
      <c r="I126" s="280" t="str">
        <f>IF(E124="","",IF(D124&lt;=E124,C126,""))</f>
        <v/>
      </c>
    </row>
    <row r="130" spans="2:13" x14ac:dyDescent="0.2">
      <c r="B130" s="145" t="str">
        <f>IF(' Principal'!T209="","",CONCATENATE("Resultado final amostra ",'Massas Corrigidas'!I86))</f>
        <v/>
      </c>
      <c r="C130" s="145"/>
      <c r="H130" s="87" t="str">
        <f>IF(E133="","",IF(D133&lt;=E133,B130,""))</f>
        <v/>
      </c>
      <c r="K130" s="87" t="str">
        <f>IF(' Principal'!T209="","",' Principal'!O206)</f>
        <v/>
      </c>
      <c r="L130" s="87" t="str">
        <f>IF(' Principal'!T209="","",' Principal'!N206)</f>
        <v/>
      </c>
      <c r="M130" s="87" t="str">
        <f>IF(' Principal'!T209="","",' Principal'!M206)</f>
        <v/>
      </c>
    </row>
    <row r="131" spans="2:13" x14ac:dyDescent="0.2">
      <c r="B131" s="300" t="str">
        <f>IF(B130="","","ueff")</f>
        <v/>
      </c>
      <c r="C131" s="262" t="str">
        <f>IF(B131="","",' Principal'!S207)</f>
        <v/>
      </c>
      <c r="H131" s="87" t="str">
        <f>IF(E133="","",IF(D133&lt;=E133,B131,""))</f>
        <v/>
      </c>
      <c r="I131" s="87" t="str">
        <f>IF(E133="","",IF(D133&lt;=E133,C131,""))</f>
        <v/>
      </c>
    </row>
    <row r="132" spans="2:13" x14ac:dyDescent="0.2">
      <c r="B132" s="300" t="str">
        <f>IF(B130="","","K 0,05")</f>
        <v/>
      </c>
      <c r="C132" s="262" t="str">
        <f>IF(B132="","",' Principal'!S208)</f>
        <v/>
      </c>
      <c r="H132" s="87" t="str">
        <f>IF(E133="","",IF(D133&lt;=E133,B132,""))</f>
        <v/>
      </c>
      <c r="I132" s="87" t="str">
        <f>IF(E133="","",IF(D133&lt;=E133,C132,""))</f>
        <v/>
      </c>
    </row>
    <row r="133" spans="2:13" x14ac:dyDescent="0.2">
      <c r="B133" s="300" t="str">
        <f>IF(B130="","","Fração mássica da amostra (mg.kg-1)")</f>
        <v/>
      </c>
      <c r="C133" s="262" t="str">
        <f>IF(B133="","",' Principal'!S209)</f>
        <v/>
      </c>
      <c r="D133" s="87" t="str">
        <f>IFERROR(ABS(C133-$C$15),"")</f>
        <v/>
      </c>
      <c r="E133" s="278" t="str">
        <f>IF(C133="","",2*SQRT(SUMSQ($C$16,C134)))</f>
        <v/>
      </c>
      <c r="F133" s="87" t="str">
        <f>IF(E133="","",IF(D133&lt;=E133,"OK","Inconcistente"))</f>
        <v/>
      </c>
      <c r="G133" s="87" t="str">
        <f>IFERROR(SQRT((COUNT($D$25:$D$286)/(COUNT($D$25:$D$286)-1))*((((C133-$C$15)/2)^2)-(E133/2)^2)),"")</f>
        <v/>
      </c>
      <c r="H133" s="87" t="str">
        <f>IF(E133="","",IF(D133&lt;=E133,B133,""))</f>
        <v/>
      </c>
      <c r="I133" s="87" t="str">
        <f>IF(E133="","",IF(D133&lt;=E133,C133,""))</f>
        <v/>
      </c>
    </row>
    <row r="134" spans="2:13" x14ac:dyDescent="0.2">
      <c r="B134" s="300" t="str">
        <f>IF(B130="","","Incerteza combinada")</f>
        <v/>
      </c>
      <c r="C134" s="148" t="str">
        <f>IFERROR(IF(B130="","",C135/C132),"")</f>
        <v/>
      </c>
      <c r="H134" s="87" t="str">
        <f>IF(E133="","",IF(D133&lt;=E133,B134,""))</f>
        <v/>
      </c>
      <c r="I134" s="87" t="str">
        <f>IF(E133="","",IF(D133&lt;=E133,C134,""))</f>
        <v/>
      </c>
    </row>
    <row r="135" spans="2:13" x14ac:dyDescent="0.2">
      <c r="B135" s="300" t="str">
        <f>IF(B130="","","Incerteza expandida (mg.kg-1)")</f>
        <v/>
      </c>
      <c r="C135" s="148" t="str">
        <f>IF(B135="","",' Principal'!S210)</f>
        <v/>
      </c>
      <c r="H135" s="87" t="str">
        <f>IF(E133="","",IF(D133&lt;=E133,B135,""))</f>
        <v/>
      </c>
      <c r="I135" s="87" t="str">
        <f>IF(E133="","",IF(D133&lt;=E133,C135,""))</f>
        <v/>
      </c>
    </row>
    <row r="139" spans="2:13" x14ac:dyDescent="0.2">
      <c r="B139" s="145" t="str">
        <f>IF(' Principal'!T218="","",CONCATENATE("Resultado final amostra ",'Massas Corrigidas'!I91))</f>
        <v/>
      </c>
      <c r="C139" s="145"/>
      <c r="H139" s="232" t="str">
        <f>IF(E142="","",IF(D142&lt;=E142,B139,""))</f>
        <v/>
      </c>
      <c r="I139" s="232"/>
      <c r="K139" s="87" t="str">
        <f>IF(' Principal'!T218="","",' Principal'!O215)</f>
        <v/>
      </c>
      <c r="L139" s="87" t="str">
        <f>IF(' Principal'!T218="","",' Principal'!N215)</f>
        <v/>
      </c>
      <c r="M139" s="87" t="str">
        <f>IF(' Principal'!T218="","",' Principal'!M215)</f>
        <v/>
      </c>
    </row>
    <row r="140" spans="2:13" x14ac:dyDescent="0.2">
      <c r="B140" s="300" t="str">
        <f>IF(B139="","","ueff")</f>
        <v/>
      </c>
      <c r="C140" s="262" t="str">
        <f>IF(B140="","",' Principal'!S216)</f>
        <v/>
      </c>
      <c r="H140" s="232" t="str">
        <f>IF(E142="","",IF(D142&lt;=E142,B140,""))</f>
        <v/>
      </c>
      <c r="I140" s="279" t="str">
        <f>IF(E142="","",IF(D142&lt;=E142,C140,""))</f>
        <v/>
      </c>
    </row>
    <row r="141" spans="2:13" x14ac:dyDescent="0.2">
      <c r="B141" s="300" t="str">
        <f>IF(B139="","","K 0,05")</f>
        <v/>
      </c>
      <c r="C141" s="262" t="str">
        <f>IF(B141="","",' Principal'!S217)</f>
        <v/>
      </c>
      <c r="H141" s="232" t="str">
        <f>IF(E142="","",IF(D142&lt;=E142,B141,""))</f>
        <v/>
      </c>
      <c r="I141" s="146" t="str">
        <f>IF(E142="","",IF(D142&lt;=E142,C141,""))</f>
        <v/>
      </c>
    </row>
    <row r="142" spans="2:13" x14ac:dyDescent="0.2">
      <c r="B142" s="300" t="str">
        <f>IF(B139="","","Fração mássica da amostra (mg.kg-1)")</f>
        <v/>
      </c>
      <c r="C142" s="262" t="str">
        <f>IF(B142="","",' Principal'!S218)</f>
        <v/>
      </c>
      <c r="D142" s="87" t="str">
        <f>IFERROR(ABS(C142-$C$15),"")</f>
        <v/>
      </c>
      <c r="E142" s="278" t="str">
        <f>IF(C142="","",2*SQRT(SUMSQ($C$16,C143)))</f>
        <v/>
      </c>
      <c r="F142" s="87" t="str">
        <f>IF(E142="","",IF(D142&lt;=E142,"OK","Inconcistente"))</f>
        <v/>
      </c>
      <c r="G142" s="87" t="str">
        <f>IFERROR(SQRT((COUNT($D$25:$D$286)/(COUNT($D$25:$D$286)-1))*((((C142-$C$15)/2)^2)-(E142/2)^2)),"")</f>
        <v/>
      </c>
      <c r="H142" s="232" t="str">
        <f>IF(E142="","",IF(D142&lt;=E142,B142,""))</f>
        <v/>
      </c>
      <c r="I142" s="280" t="str">
        <f>IF(E142="","",IF(D142&lt;=E142,C142,""))</f>
        <v/>
      </c>
    </row>
    <row r="143" spans="2:13" x14ac:dyDescent="0.2">
      <c r="B143" s="300" t="str">
        <f>IF(B139="","","Incerteza combinada")</f>
        <v/>
      </c>
      <c r="C143" s="148" t="str">
        <f>IFERROR(IF(B139="","",C144/C141),"")</f>
        <v/>
      </c>
      <c r="H143" s="232" t="str">
        <f>IF(E142="","",IF(D142&lt;=E142,B143,""))</f>
        <v/>
      </c>
      <c r="I143" s="280" t="str">
        <f>IF(E142="","",IF(D142&lt;=E142,C143,""))</f>
        <v/>
      </c>
    </row>
    <row r="144" spans="2:13" x14ac:dyDescent="0.2">
      <c r="B144" s="300" t="str">
        <f>IF(B139="","","Incerteza expandida (mg.kg-1)")</f>
        <v/>
      </c>
      <c r="C144" s="148" t="str">
        <f>IF(B144="","",' Principal'!S219)</f>
        <v/>
      </c>
      <c r="H144" s="232" t="str">
        <f>IF(E142="","",IF(D142&lt;=E142,B144,""))</f>
        <v/>
      </c>
      <c r="I144" s="280" t="str">
        <f>IF(E142="","",IF(D142&lt;=E142,C144,""))</f>
        <v/>
      </c>
    </row>
    <row r="148" spans="2:13" x14ac:dyDescent="0.2">
      <c r="B148" s="145" t="str">
        <f>IF(' Principal'!T227="","",CONCATENATE("Resultado final amostra ",'Massas Corrigidas'!I96))</f>
        <v/>
      </c>
      <c r="C148" s="145"/>
      <c r="H148" s="87" t="str">
        <f>IF(E151="","",IF(D151&lt;=E151,B148,""))</f>
        <v/>
      </c>
      <c r="K148" s="87" t="str">
        <f>IF(' Principal'!T227="","",' Principal'!O224)</f>
        <v/>
      </c>
      <c r="L148" s="87" t="str">
        <f>IF(' Principal'!T227="","",' Principal'!N224)</f>
        <v/>
      </c>
      <c r="M148" s="87" t="str">
        <f>IF(' Principal'!T227="","",' Principal'!M224)</f>
        <v/>
      </c>
    </row>
    <row r="149" spans="2:13" x14ac:dyDescent="0.2">
      <c r="B149" s="300" t="str">
        <f>IF(B148="","","ueff")</f>
        <v/>
      </c>
      <c r="C149" s="262" t="str">
        <f>IF(B149="","",' Principal'!S225)</f>
        <v/>
      </c>
      <c r="H149" s="87" t="str">
        <f>IF(E151="","",IF(D151&lt;=E151,B149,""))</f>
        <v/>
      </c>
      <c r="I149" s="87" t="str">
        <f>IF(E151="","",IF(D151&lt;=E151,C149,""))</f>
        <v/>
      </c>
    </row>
    <row r="150" spans="2:13" x14ac:dyDescent="0.2">
      <c r="B150" s="300" t="str">
        <f>IF(B148="","","K 0,05")</f>
        <v/>
      </c>
      <c r="C150" s="262" t="str">
        <f>IF(B150="","",' Principal'!S226)</f>
        <v/>
      </c>
      <c r="H150" s="87" t="str">
        <f>IF(E151="","",IF(D151&lt;=E151,B150,""))</f>
        <v/>
      </c>
      <c r="I150" s="87" t="str">
        <f>IF(E151="","",IF(D151&lt;=E151,C150,""))</f>
        <v/>
      </c>
    </row>
    <row r="151" spans="2:13" x14ac:dyDescent="0.2">
      <c r="B151" s="300" t="str">
        <f>IF(B148="","","Fração mássica da amostra (mg.kg-1)")</f>
        <v/>
      </c>
      <c r="C151" s="262" t="str">
        <f>IF(B151="","",' Principal'!S227)</f>
        <v/>
      </c>
      <c r="D151" s="87" t="str">
        <f>IFERROR(ABS(C151-$C$15),"")</f>
        <v/>
      </c>
      <c r="E151" s="278" t="str">
        <f>IF(C151="","",2*SQRT(SUMSQ($C$16,C152)))</f>
        <v/>
      </c>
      <c r="F151" s="87" t="str">
        <f>IF(E151="","",IF(D151&lt;=E151,"OK","Inconcistente"))</f>
        <v/>
      </c>
      <c r="G151" s="87" t="str">
        <f>IFERROR(SQRT((COUNT($D$25:$D$286)/(COUNT($D$25:$D$286)-1))*((((C151-$C$15)/2)^2)-(E151/2)^2)),"")</f>
        <v/>
      </c>
      <c r="H151" s="87" t="str">
        <f>IF(E151="","",IF(D151&lt;=E151,B151,""))</f>
        <v/>
      </c>
      <c r="I151" s="87" t="str">
        <f>IF(E151="","",IF(D151&lt;=E151,C151,""))</f>
        <v/>
      </c>
    </row>
    <row r="152" spans="2:13" x14ac:dyDescent="0.2">
      <c r="B152" s="300" t="str">
        <f>IF(B148="","","Incerteza combinada")</f>
        <v/>
      </c>
      <c r="C152" s="148" t="str">
        <f>IFERROR(IF(B148="","",C153/C150),"")</f>
        <v/>
      </c>
      <c r="H152" s="87" t="str">
        <f>IF(E151="","",IF(D151&lt;=E151,B152,""))</f>
        <v/>
      </c>
      <c r="I152" s="87" t="str">
        <f>IF(E151="","",IF(D151&lt;=E151,C152,""))</f>
        <v/>
      </c>
    </row>
    <row r="153" spans="2:13" x14ac:dyDescent="0.2">
      <c r="B153" s="300" t="str">
        <f>IF(B148="","","Incerteza expandida (mg.kg-1)")</f>
        <v/>
      </c>
      <c r="C153" s="148" t="str">
        <f>IF(B153="","",' Principal'!S228)</f>
        <v/>
      </c>
      <c r="H153" s="87" t="str">
        <f>IF(E151="","",IF(D151&lt;=E151,B153,""))</f>
        <v/>
      </c>
      <c r="I153" s="87" t="str">
        <f>IF(E151="","",IF(D151&lt;=E151,C153,""))</f>
        <v/>
      </c>
    </row>
    <row r="157" spans="2:13" x14ac:dyDescent="0.2">
      <c r="B157" s="145" t="str">
        <f>IF(' Principal'!T236="","",CONCATENATE("Resultado final amostra ",'Massas Corrigidas'!I101))</f>
        <v/>
      </c>
      <c r="C157" s="145"/>
      <c r="H157" s="232" t="str">
        <f>IF(E160="","",IF(D160&lt;=E160,B157,""))</f>
        <v/>
      </c>
      <c r="I157" s="232"/>
      <c r="K157" s="87" t="str">
        <f>IF(' Principal'!T236="","",' Principal'!O233)</f>
        <v/>
      </c>
      <c r="L157" s="87" t="str">
        <f>IF(' Principal'!T236="","",' Principal'!N233)</f>
        <v/>
      </c>
      <c r="M157" s="87" t="str">
        <f>IF(' Principal'!T236="","",' Principal'!M233)</f>
        <v/>
      </c>
    </row>
    <row r="158" spans="2:13" x14ac:dyDescent="0.2">
      <c r="B158" s="300" t="str">
        <f>IF(B157="","","ueff")</f>
        <v/>
      </c>
      <c r="C158" s="262" t="str">
        <f>IF(B158="","",' Principal'!S234)</f>
        <v/>
      </c>
      <c r="H158" s="232" t="str">
        <f>IF(E160="","",IF(D160&lt;=E160,B158,""))</f>
        <v/>
      </c>
      <c r="I158" s="279" t="str">
        <f>IF(E160="","",IF(D160&lt;=E160,C158,""))</f>
        <v/>
      </c>
    </row>
    <row r="159" spans="2:13" x14ac:dyDescent="0.2">
      <c r="B159" s="300" t="str">
        <f>IF(B157="","","K 0,05")</f>
        <v/>
      </c>
      <c r="C159" s="262" t="str">
        <f>IF(B159="","",' Principal'!S235)</f>
        <v/>
      </c>
      <c r="H159" s="232" t="str">
        <f>IF(E160="","",IF(D160&lt;=E160,B159,""))</f>
        <v/>
      </c>
      <c r="I159" s="146" t="str">
        <f>IF(E160="","",IF(D160&lt;=E160,C159,""))</f>
        <v/>
      </c>
    </row>
    <row r="160" spans="2:13" x14ac:dyDescent="0.2">
      <c r="B160" s="300" t="str">
        <f>IF(B157="","","Fração mássica da amostra (mg.kg-1)")</f>
        <v/>
      </c>
      <c r="C160" s="262" t="str">
        <f>IF(B160="","",' Principal'!S236)</f>
        <v/>
      </c>
      <c r="D160" s="87" t="str">
        <f>IFERROR(ABS(C160-$C$15),"")</f>
        <v/>
      </c>
      <c r="E160" s="278" t="str">
        <f>IF(C160="","",2*SQRT(SUMSQ($C$16,C161)))</f>
        <v/>
      </c>
      <c r="F160" s="87" t="str">
        <f>IF(E160="","",IF(D160&lt;=E160,"OK","Inconcistente"))</f>
        <v/>
      </c>
      <c r="G160" s="87" t="str">
        <f>IFERROR(SQRT((COUNT($D$25:$D$286)/(COUNT($D$25:$D$286)-1))*((((C160-$C$15)/2)^2)-(E160/2)^2)),"")</f>
        <v/>
      </c>
      <c r="H160" s="232" t="str">
        <f>IF(E160="","",IF(D160&lt;=E160,B160,""))</f>
        <v/>
      </c>
      <c r="I160" s="280" t="str">
        <f>IF(E160="","",IF(D160&lt;=E160,C160,""))</f>
        <v/>
      </c>
    </row>
    <row r="161" spans="2:13" x14ac:dyDescent="0.2">
      <c r="B161" s="300" t="str">
        <f>IF(B157="","","Incerteza combinada")</f>
        <v/>
      </c>
      <c r="C161" s="148" t="str">
        <f>IFERROR(IF(B157="","",C162/C159),"")</f>
        <v/>
      </c>
      <c r="H161" s="232" t="str">
        <f>IF(E160="","",IF(D160&lt;=E160,B161,""))</f>
        <v/>
      </c>
      <c r="I161" s="280" t="str">
        <f>IF(E160="","",IF(D160&lt;=E160,C161,""))</f>
        <v/>
      </c>
    </row>
    <row r="162" spans="2:13" x14ac:dyDescent="0.2">
      <c r="B162" s="300" t="str">
        <f>IF(B157="","","Incerteza expandida (mg.kg-1)")</f>
        <v/>
      </c>
      <c r="C162" s="148" t="str">
        <f>IF(B162="","",' Principal'!S237)</f>
        <v/>
      </c>
      <c r="H162" s="232" t="str">
        <f>IF(E160="","",IF(D160&lt;=E160,B162,""))</f>
        <v/>
      </c>
      <c r="I162" s="280" t="str">
        <f>IF(E160="","",IF(D160&lt;=E160,C162,""))</f>
        <v/>
      </c>
    </row>
    <row r="166" spans="2:13" x14ac:dyDescent="0.2">
      <c r="B166" s="145" t="str">
        <f>IF(' Principal'!T245="","",CONCATENATE("Resultado final amostra ",'Massas Corrigidas'!I106))</f>
        <v/>
      </c>
      <c r="C166" s="145"/>
      <c r="H166" s="87" t="str">
        <f>IF(E169="","",IF(D169&lt;=E169,B166,""))</f>
        <v/>
      </c>
      <c r="K166" s="87" t="str">
        <f>IF(' Principal'!T245="","",' Principal'!O242)</f>
        <v/>
      </c>
      <c r="L166" s="87" t="str">
        <f>IF(' Principal'!T245="","",' Principal'!N242)</f>
        <v/>
      </c>
      <c r="M166" s="87" t="str">
        <f>IF(' Principal'!T245="","",' Principal'!M242)</f>
        <v/>
      </c>
    </row>
    <row r="167" spans="2:13" x14ac:dyDescent="0.2">
      <c r="B167" s="300" t="str">
        <f>IF(B166="","","ueff")</f>
        <v/>
      </c>
      <c r="C167" s="262" t="str">
        <f>IF(B167="","",' Principal'!S243)</f>
        <v/>
      </c>
      <c r="H167" s="87" t="str">
        <f>IF(E169="","",IF(D169&lt;=E169,B167,""))</f>
        <v/>
      </c>
      <c r="I167" s="87" t="str">
        <f>IF(E169="","",IF(D169&lt;=E169,C167,""))</f>
        <v/>
      </c>
    </row>
    <row r="168" spans="2:13" x14ac:dyDescent="0.2">
      <c r="B168" s="300" t="str">
        <f>IF(B166="","","K 0,05")</f>
        <v/>
      </c>
      <c r="C168" s="262" t="str">
        <f>IF(B168="","",' Principal'!S244)</f>
        <v/>
      </c>
      <c r="H168" s="87" t="str">
        <f>IF(E169="","",IF(D169&lt;=E169,B168,""))</f>
        <v/>
      </c>
      <c r="I168" s="87" t="str">
        <f>IF(E169="","",IF(D169&lt;=E169,C168,""))</f>
        <v/>
      </c>
    </row>
    <row r="169" spans="2:13" x14ac:dyDescent="0.2">
      <c r="B169" s="300" t="str">
        <f>IF(B166="","","Fração mássica da amostra (mg.kg-1)")</f>
        <v/>
      </c>
      <c r="C169" s="262" t="str">
        <f>IF(B169="","",' Principal'!S245)</f>
        <v/>
      </c>
      <c r="D169" s="87" t="str">
        <f>IFERROR(ABS(C169-$C$15),"")</f>
        <v/>
      </c>
      <c r="E169" s="278" t="str">
        <f>IF(C169="","",2*SQRT(SUMSQ($C$16,C170)))</f>
        <v/>
      </c>
      <c r="F169" s="87" t="str">
        <f>IF(E169="","",IF(D169&lt;=E169,"OK","Inconcistente"))</f>
        <v/>
      </c>
      <c r="G169" s="87" t="str">
        <f>IFERROR(SQRT((COUNT($D$25:$D$286)/(COUNT($D$25:$D$286)-1))*((((C169-$C$15)/2)^2)-(E169/2)^2)),"")</f>
        <v/>
      </c>
      <c r="H169" s="87" t="str">
        <f>IF(E169="","",IF(D169&lt;=E169,B169,""))</f>
        <v/>
      </c>
      <c r="I169" s="87" t="str">
        <f>IF(E169="","",IF(D169&lt;=E169,C169,""))</f>
        <v/>
      </c>
    </row>
    <row r="170" spans="2:13" x14ac:dyDescent="0.2">
      <c r="B170" s="300" t="str">
        <f>IF(B166="","","Incerteza combinada")</f>
        <v/>
      </c>
      <c r="C170" s="148" t="str">
        <f>IFERROR(IF(B166="","",C171/C168),"")</f>
        <v/>
      </c>
      <c r="H170" s="87" t="str">
        <f>IF(E169="","",IF(D169&lt;=E169,B170,""))</f>
        <v/>
      </c>
      <c r="I170" s="87" t="str">
        <f>IF(E169="","",IF(D169&lt;=E169,C170,""))</f>
        <v/>
      </c>
    </row>
    <row r="171" spans="2:13" x14ac:dyDescent="0.2">
      <c r="B171" s="300" t="str">
        <f>IF(B166="","","Incerteza expandida (mg.kg-1)")</f>
        <v/>
      </c>
      <c r="C171" s="148" t="str">
        <f>IF(B171="","",' Principal'!S246)</f>
        <v/>
      </c>
      <c r="H171" s="87" t="str">
        <f>IF(E169="","",IF(D169&lt;=E169,B171,""))</f>
        <v/>
      </c>
      <c r="I171" s="87" t="str">
        <f>IF(E169="","",IF(D169&lt;=E169,C171,""))</f>
        <v/>
      </c>
    </row>
    <row r="175" spans="2:13" x14ac:dyDescent="0.2">
      <c r="B175" s="145" t="str">
        <f>IF(' Principal'!T254="","",CONCATENATE("Resultado final amostra ",'Massas Corrigidas'!I111))</f>
        <v/>
      </c>
      <c r="C175" s="145"/>
      <c r="H175" s="232" t="str">
        <f>IF(E178="","",IF(D178&lt;=E178,B175,""))</f>
        <v/>
      </c>
      <c r="I175" s="232"/>
      <c r="K175" s="87" t="str">
        <f>IF(' Principal'!T254="","",' Principal'!O251)</f>
        <v/>
      </c>
      <c r="L175" s="87" t="str">
        <f>IF(' Principal'!T254="","",' Principal'!N251)</f>
        <v/>
      </c>
      <c r="M175" s="87" t="str">
        <f>IF(' Principal'!T254="","",' Principal'!M251)</f>
        <v/>
      </c>
    </row>
    <row r="176" spans="2:13" x14ac:dyDescent="0.2">
      <c r="B176" s="300" t="str">
        <f>IF(B175="","","ueff")</f>
        <v/>
      </c>
      <c r="C176" s="262" t="str">
        <f>IF(B176="","",' Principal'!S252)</f>
        <v/>
      </c>
      <c r="H176" s="232" t="str">
        <f>IF(E178="","",IF(D178&lt;=E178,B176,""))</f>
        <v/>
      </c>
      <c r="I176" s="279" t="str">
        <f>IF(E178="","",IF(D178&lt;=E178,C176,""))</f>
        <v/>
      </c>
    </row>
    <row r="177" spans="2:13" x14ac:dyDescent="0.2">
      <c r="B177" s="300" t="str">
        <f>IF(B175="","","K 0,05")</f>
        <v/>
      </c>
      <c r="C177" s="262" t="str">
        <f>IF(B177="","",' Principal'!S253)</f>
        <v/>
      </c>
      <c r="H177" s="232" t="str">
        <f>IF(E178="","",IF(D178&lt;=E178,B177,""))</f>
        <v/>
      </c>
      <c r="I177" s="146" t="str">
        <f>IF(E178="","",IF(D178&lt;=E178,C177,""))</f>
        <v/>
      </c>
    </row>
    <row r="178" spans="2:13" x14ac:dyDescent="0.2">
      <c r="B178" s="300" t="str">
        <f>IF(B175="","","Fração mássica da amostra (mg.kg-1)")</f>
        <v/>
      </c>
      <c r="C178" s="262" t="str">
        <f>IF(B178="","",' Principal'!S254)</f>
        <v/>
      </c>
      <c r="D178" s="87" t="str">
        <f>IFERROR(ABS(C178-$C$15),"")</f>
        <v/>
      </c>
      <c r="E178" s="278" t="str">
        <f>IF(C178="","",2*SQRT(SUMSQ($C$16,C179)))</f>
        <v/>
      </c>
      <c r="F178" s="87" t="str">
        <f>IF(E178="","",IF(D178&lt;=E178,"OK","Inconcistente"))</f>
        <v/>
      </c>
      <c r="G178" s="87" t="str">
        <f>IFERROR(SQRT((COUNT($D$25:$D$286)/(COUNT($D$25:$D$286)-1))*((((C178-$C$15)/2)^2)-(E178/2)^2)),"")</f>
        <v/>
      </c>
      <c r="H178" s="232" t="str">
        <f>IF(E178="","",IF(D178&lt;=E178,B178,""))</f>
        <v/>
      </c>
      <c r="I178" s="280" t="str">
        <f>IF(E178="","",IF(D178&lt;=E178,C178,""))</f>
        <v/>
      </c>
    </row>
    <row r="179" spans="2:13" x14ac:dyDescent="0.2">
      <c r="B179" s="300" t="str">
        <f>IF(B175="","","Incerteza combinada")</f>
        <v/>
      </c>
      <c r="C179" s="148" t="str">
        <f>IFERROR(IF(B175="","",C180/C177),"")</f>
        <v/>
      </c>
      <c r="H179" s="232" t="str">
        <f>IF(E178="","",IF(D178&lt;=E178,B179,""))</f>
        <v/>
      </c>
      <c r="I179" s="280" t="str">
        <f>IF(E178="","",IF(D178&lt;=E178,C179,""))</f>
        <v/>
      </c>
    </row>
    <row r="180" spans="2:13" x14ac:dyDescent="0.2">
      <c r="B180" s="300" t="str">
        <f>IF(B175="","","Incerteza expandida (mg.kg-1)")</f>
        <v/>
      </c>
      <c r="C180" s="148" t="str">
        <f>IF(B180="","",' Principal'!S255)</f>
        <v/>
      </c>
      <c r="H180" s="232" t="str">
        <f>IF(E178="","",IF(D178&lt;=E178,B180,""))</f>
        <v/>
      </c>
      <c r="I180" s="280" t="str">
        <f>IF(E178="","",IF(D178&lt;=E178,C180,""))</f>
        <v/>
      </c>
    </row>
    <row r="184" spans="2:13" x14ac:dyDescent="0.2">
      <c r="B184" s="145" t="str">
        <f>IF(' Principal'!T263="","",CONCATENATE("Resultado final amostra ",'Massas Corrigidas'!I116))</f>
        <v/>
      </c>
      <c r="C184" s="145"/>
      <c r="H184" s="87" t="str">
        <f>IF(E187="","",IF(D187&lt;=E187,B184,""))</f>
        <v/>
      </c>
      <c r="K184" s="87" t="str">
        <f>IF(' Principal'!T263="","",' Principal'!O260)</f>
        <v/>
      </c>
      <c r="L184" s="87" t="str">
        <f>IF(' Principal'!T263="","",' Principal'!N260)</f>
        <v/>
      </c>
      <c r="M184" s="87" t="str">
        <f>IF(' Principal'!T263="","",' Principal'!M260)</f>
        <v/>
      </c>
    </row>
    <row r="185" spans="2:13" x14ac:dyDescent="0.2">
      <c r="B185" s="300" t="str">
        <f>IF(B184="","","ueff")</f>
        <v/>
      </c>
      <c r="C185" s="262" t="str">
        <f>IF(B185="","",' Principal'!S261)</f>
        <v/>
      </c>
      <c r="H185" s="87" t="str">
        <f>IF(E187="","",IF(D187&lt;=E187,B185,""))</f>
        <v/>
      </c>
      <c r="I185" s="87" t="str">
        <f>IF(E187="","",IF(D187&lt;=E187,C185,""))</f>
        <v/>
      </c>
    </row>
    <row r="186" spans="2:13" x14ac:dyDescent="0.2">
      <c r="B186" s="300" t="str">
        <f>IF(B184="","","K 0,05")</f>
        <v/>
      </c>
      <c r="C186" s="262" t="str">
        <f>IF(B186="","",' Principal'!S262)</f>
        <v/>
      </c>
      <c r="H186" s="87" t="str">
        <f>IF(E187="","",IF(D187&lt;=E187,B186,""))</f>
        <v/>
      </c>
      <c r="I186" s="87" t="str">
        <f>IF(E187="","",IF(D187&lt;=E187,C186,""))</f>
        <v/>
      </c>
    </row>
    <row r="187" spans="2:13" x14ac:dyDescent="0.2">
      <c r="B187" s="300" t="str">
        <f>IF(B184="","","Fração mássica da amostra (mg.kg-1)")</f>
        <v/>
      </c>
      <c r="C187" s="262" t="str">
        <f>IF(B187="","",' Principal'!S263)</f>
        <v/>
      </c>
      <c r="D187" s="87" t="str">
        <f>IFERROR(ABS(C187-$C$15),"")</f>
        <v/>
      </c>
      <c r="E187" s="278" t="str">
        <f>IF(C187="","",2*SQRT(SUMSQ($C$16,C188)))</f>
        <v/>
      </c>
      <c r="F187" s="87" t="str">
        <f>IF(E187="","",IF(D187&lt;=E187,"OK","Inconcistente"))</f>
        <v/>
      </c>
      <c r="G187" s="87" t="str">
        <f>IFERROR(SQRT((COUNT($D$25:$D$286)/(COUNT($D$25:$D$286)-1))*((((C187-$C$15)/2)^2)-(E187/2)^2)),"")</f>
        <v/>
      </c>
      <c r="H187" s="87" t="str">
        <f>IF(E187="","",IF(D187&lt;=E187,B187,""))</f>
        <v/>
      </c>
      <c r="I187" s="87" t="str">
        <f>IF(E187="","",IF(D187&lt;=E187,C187,""))</f>
        <v/>
      </c>
    </row>
    <row r="188" spans="2:13" x14ac:dyDescent="0.2">
      <c r="B188" s="300" t="str">
        <f>IF(B184="","","Incerteza combinada")</f>
        <v/>
      </c>
      <c r="C188" s="148" t="str">
        <f>IFERROR(IF(B184="","",C189/C186),"")</f>
        <v/>
      </c>
      <c r="H188" s="87" t="str">
        <f>IF(E187="","",IF(D187&lt;=E187,B188,""))</f>
        <v/>
      </c>
      <c r="I188" s="87" t="str">
        <f>IF(E187="","",IF(D187&lt;=E187,C188,""))</f>
        <v/>
      </c>
    </row>
    <row r="189" spans="2:13" x14ac:dyDescent="0.2">
      <c r="B189" s="300" t="str">
        <f>IF(B184="","","Incerteza expandida (mg.kg-1)")</f>
        <v/>
      </c>
      <c r="C189" s="148" t="str">
        <f>IF(B189="","",' Principal'!S264)</f>
        <v/>
      </c>
      <c r="H189" s="87" t="str">
        <f>IF(E187="","",IF(D187&lt;=E187,B189,""))</f>
        <v/>
      </c>
      <c r="I189" s="87" t="str">
        <f>IF(E187="","",IF(D187&lt;=E187,C189,""))</f>
        <v/>
      </c>
    </row>
    <row r="193" spans="2:13" x14ac:dyDescent="0.2">
      <c r="B193" s="145" t="str">
        <f>IF(' Principal'!T272="","",CONCATENATE("Resultado final amostra ",'Massas Corrigidas'!I121))</f>
        <v/>
      </c>
      <c r="C193" s="145"/>
      <c r="H193" s="232" t="str">
        <f>IF(E196="","",IF(D196&lt;=E196,B193,""))</f>
        <v/>
      </c>
      <c r="I193" s="232"/>
      <c r="K193" s="87" t="str">
        <f>IF(' Principal'!T272="","",' Principal'!O269)</f>
        <v/>
      </c>
      <c r="L193" s="87" t="str">
        <f>IF(' Principal'!T272="","",' Principal'!N269)</f>
        <v/>
      </c>
      <c r="M193" s="87" t="str">
        <f>IF(' Principal'!T272="","",' Principal'!M269)</f>
        <v/>
      </c>
    </row>
    <row r="194" spans="2:13" x14ac:dyDescent="0.2">
      <c r="B194" s="300" t="str">
        <f>IF(B193="","","ueff")</f>
        <v/>
      </c>
      <c r="C194" s="262" t="str">
        <f>IF(B194="","",' Principal'!S270)</f>
        <v/>
      </c>
      <c r="H194" s="232" t="str">
        <f>IF(E196="","",IF(D196&lt;=E196,B194,""))</f>
        <v/>
      </c>
      <c r="I194" s="279" t="str">
        <f>IF(E196="","",IF(D196&lt;=E196,C194,""))</f>
        <v/>
      </c>
    </row>
    <row r="195" spans="2:13" x14ac:dyDescent="0.2">
      <c r="B195" s="300" t="str">
        <f>IF(B193="","","K 0,05")</f>
        <v/>
      </c>
      <c r="C195" s="262" t="str">
        <f>IF(B195="","",' Principal'!S271)</f>
        <v/>
      </c>
      <c r="H195" s="232" t="str">
        <f>IF(E196="","",IF(D196&lt;=E196,B195,""))</f>
        <v/>
      </c>
      <c r="I195" s="146" t="str">
        <f>IF(E196="","",IF(D196&lt;=E196,C195,""))</f>
        <v/>
      </c>
    </row>
    <row r="196" spans="2:13" x14ac:dyDescent="0.2">
      <c r="B196" s="300" t="str">
        <f>IF(B193="","","Fração mássica da amostra (mg.kg-1)")</f>
        <v/>
      </c>
      <c r="C196" s="262" t="str">
        <f>IF(B196="","",' Principal'!S272)</f>
        <v/>
      </c>
      <c r="D196" s="87" t="str">
        <f>IFERROR(ABS(C196-$C$15),"")</f>
        <v/>
      </c>
      <c r="E196" s="278" t="str">
        <f>IF(C196="","",2*SQRT(SUMSQ($C$16,C197)))</f>
        <v/>
      </c>
      <c r="F196" s="87" t="str">
        <f>IF(E196="","",IF(D196&lt;=E196,"OK","Inconcistente"))</f>
        <v/>
      </c>
      <c r="G196" s="87" t="str">
        <f>IFERROR(SQRT((COUNT($D$25:$D$286)/(COUNT($D$25:$D$286)-1))*((((C196-$C$15)/2)^2)-(E196/2)^2)),"")</f>
        <v/>
      </c>
      <c r="H196" s="232" t="str">
        <f>IF(E196="","",IF(D196&lt;=E196,B196,""))</f>
        <v/>
      </c>
      <c r="I196" s="280" t="str">
        <f>IF(E196="","",IF(D196&lt;=E196,C196,""))</f>
        <v/>
      </c>
    </row>
    <row r="197" spans="2:13" x14ac:dyDescent="0.2">
      <c r="B197" s="300" t="str">
        <f>IF(B193="","","Incerteza combinada")</f>
        <v/>
      </c>
      <c r="C197" s="148" t="str">
        <f>IFERROR(IF(B193="","",C198/C195),"")</f>
        <v/>
      </c>
      <c r="H197" s="232" t="str">
        <f>IF(E196="","",IF(D196&lt;=E196,B197,""))</f>
        <v/>
      </c>
      <c r="I197" s="280" t="str">
        <f>IF(E196="","",IF(D196&lt;=E196,C197,""))</f>
        <v/>
      </c>
    </row>
    <row r="198" spans="2:13" x14ac:dyDescent="0.2">
      <c r="B198" s="300" t="str">
        <f>IF(B193="","","Incerteza expandida (mg.kg-1)")</f>
        <v/>
      </c>
      <c r="C198" s="148" t="str">
        <f>IF(B198="","",' Principal'!S273)</f>
        <v/>
      </c>
      <c r="H198" s="232" t="str">
        <f>IF(E196="","",IF(D196&lt;=E196,B198,""))</f>
        <v/>
      </c>
      <c r="I198" s="280" t="str">
        <f>IF(E196="","",IF(D196&lt;=E196,C198,""))</f>
        <v/>
      </c>
    </row>
    <row r="202" spans="2:13" x14ac:dyDescent="0.2">
      <c r="B202" s="145" t="str">
        <f>IF(' Principal'!T281="","",CONCATENATE("Resultado final amostra ",'Massas Corrigidas'!I126))</f>
        <v/>
      </c>
      <c r="C202" s="145"/>
      <c r="H202" s="87" t="str">
        <f>IF(E205="","",IF(D205&lt;=E205,B202,""))</f>
        <v/>
      </c>
      <c r="K202" s="87" t="str">
        <f>IF(' Principal'!T281="","",' Principal'!O278)</f>
        <v/>
      </c>
      <c r="L202" s="87" t="str">
        <f>IF(' Principal'!T281="","",' Principal'!N278)</f>
        <v/>
      </c>
      <c r="M202" s="87" t="str">
        <f>IF(' Principal'!T281="","",' Principal'!M278)</f>
        <v/>
      </c>
    </row>
    <row r="203" spans="2:13" x14ac:dyDescent="0.2">
      <c r="B203" s="300" t="str">
        <f>IF(B202="","","ueff")</f>
        <v/>
      </c>
      <c r="C203" s="262" t="str">
        <f>IF(B203="","",' Principal'!S279)</f>
        <v/>
      </c>
      <c r="H203" s="87" t="str">
        <f>IF(E205="","",IF(D205&lt;=E205,B203,""))</f>
        <v/>
      </c>
      <c r="I203" s="87" t="str">
        <f>IF(E205="","",IF(D205&lt;=E205,C203,""))</f>
        <v/>
      </c>
    </row>
    <row r="204" spans="2:13" x14ac:dyDescent="0.2">
      <c r="B204" s="300" t="str">
        <f>IF(B202="","","K 0,05")</f>
        <v/>
      </c>
      <c r="C204" s="262" t="str">
        <f>IF(B204="","",' Principal'!S280)</f>
        <v/>
      </c>
      <c r="H204" s="87" t="str">
        <f>IF(E205="","",IF(D205&lt;=E205,B204,""))</f>
        <v/>
      </c>
      <c r="I204" s="87" t="str">
        <f>IF(E205="","",IF(D205&lt;=E205,C204,""))</f>
        <v/>
      </c>
    </row>
    <row r="205" spans="2:13" x14ac:dyDescent="0.2">
      <c r="B205" s="300" t="str">
        <f>IF(B202="","","Fração mássica da amostra (mg.kg-1)")</f>
        <v/>
      </c>
      <c r="C205" s="262" t="str">
        <f>IF(B205="","",' Principal'!S281)</f>
        <v/>
      </c>
      <c r="D205" s="87" t="str">
        <f>IFERROR(ABS(C205-$C$15),"")</f>
        <v/>
      </c>
      <c r="E205" s="278" t="str">
        <f>IF(C205="","",2*SQRT(SUMSQ($C$16,C206)))</f>
        <v/>
      </c>
      <c r="F205" s="87" t="str">
        <f>IF(E205="","",IF(D205&lt;=E205,"OK","Inconcistente"))</f>
        <v/>
      </c>
      <c r="G205" s="87" t="str">
        <f>IFERROR(SQRT((COUNT($D$25:$D$286)/(COUNT($D$25:$D$286)-1))*((((C205-$C$15)/2)^2)-(E205/2)^2)),"")</f>
        <v/>
      </c>
      <c r="H205" s="87" t="str">
        <f>IF(E205="","",IF(D205&lt;=E205,B205,""))</f>
        <v/>
      </c>
      <c r="I205" s="87" t="str">
        <f>IF(E205="","",IF(D205&lt;=E205,C205,""))</f>
        <v/>
      </c>
    </row>
    <row r="206" spans="2:13" x14ac:dyDescent="0.2">
      <c r="B206" s="300" t="str">
        <f>IF(B202="","","Incerteza combinada")</f>
        <v/>
      </c>
      <c r="C206" s="148" t="str">
        <f>IFERROR(IF(B202="","",C207/C204),"")</f>
        <v/>
      </c>
      <c r="H206" s="87" t="str">
        <f>IF(E205="","",IF(D205&lt;=E205,B206,""))</f>
        <v/>
      </c>
      <c r="I206" s="87" t="str">
        <f>IF(E205="","",IF(D205&lt;=E205,C206,""))</f>
        <v/>
      </c>
    </row>
    <row r="207" spans="2:13" x14ac:dyDescent="0.2">
      <c r="B207" s="300" t="str">
        <f>IF(B202="","","Incerteza expandida (mg.kg-1)")</f>
        <v/>
      </c>
      <c r="C207" s="148" t="str">
        <f>IF(B207="","",' Principal'!S282)</f>
        <v/>
      </c>
      <c r="H207" s="87" t="str">
        <f>IF(E205="","",IF(D205&lt;=E205,B207,""))</f>
        <v/>
      </c>
      <c r="I207" s="87" t="str">
        <f>IF(E205="","",IF(D205&lt;=E205,C207,""))</f>
        <v/>
      </c>
    </row>
    <row r="211" spans="2:13" x14ac:dyDescent="0.2">
      <c r="B211" s="145" t="str">
        <f>IF(' Principal'!T290="","",CONCATENATE("Resultado final amostra ",'Massas Corrigidas'!I131))</f>
        <v/>
      </c>
      <c r="C211" s="145"/>
      <c r="H211" s="232" t="str">
        <f>IF(E214="","",IF(D214&lt;=E214,B211,""))</f>
        <v/>
      </c>
      <c r="I211" s="232"/>
      <c r="K211" s="87" t="str">
        <f>IF(' Principal'!T290="","",' Principal'!O287)</f>
        <v/>
      </c>
      <c r="L211" s="87" t="str">
        <f>IF(' Principal'!T290="","",' Principal'!N287)</f>
        <v/>
      </c>
      <c r="M211" s="87" t="str">
        <f>IF(' Principal'!T290="","",' Principal'!M287)</f>
        <v/>
      </c>
    </row>
    <row r="212" spans="2:13" x14ac:dyDescent="0.2">
      <c r="B212" s="300" t="str">
        <f>IF(B211="","","ueff")</f>
        <v/>
      </c>
      <c r="C212" s="262" t="str">
        <f>IF(B212="","",' Principal'!S288)</f>
        <v/>
      </c>
      <c r="H212" s="232" t="str">
        <f>IF(E214="","",IF(D214&lt;=E214,B212,""))</f>
        <v/>
      </c>
      <c r="I212" s="279" t="str">
        <f>IF(E214="","",IF(D214&lt;=E214,C212,""))</f>
        <v/>
      </c>
    </row>
    <row r="213" spans="2:13" x14ac:dyDescent="0.2">
      <c r="B213" s="300" t="str">
        <f>IF(B211="","","K 0,05")</f>
        <v/>
      </c>
      <c r="C213" s="262" t="str">
        <f>IF(B213="","",' Principal'!S289)</f>
        <v/>
      </c>
      <c r="H213" s="232" t="str">
        <f>IF(E214="","",IF(D214&lt;=E214,B213,""))</f>
        <v/>
      </c>
      <c r="I213" s="146" t="str">
        <f>IF(E214="","",IF(D214&lt;=E214,C213,""))</f>
        <v/>
      </c>
    </row>
    <row r="214" spans="2:13" x14ac:dyDescent="0.2">
      <c r="B214" s="300" t="str">
        <f>IF(B211="","","Fração mássica da amostra (mg.kg-1)")</f>
        <v/>
      </c>
      <c r="C214" s="262" t="str">
        <f>IF(B214="","",' Principal'!S290)</f>
        <v/>
      </c>
      <c r="D214" s="87" t="str">
        <f>IFERROR(ABS(C214-$C$15),"")</f>
        <v/>
      </c>
      <c r="E214" s="278" t="str">
        <f>IF(C214="","",2*SQRT(SUMSQ($C$16,C215)))</f>
        <v/>
      </c>
      <c r="F214" s="87" t="str">
        <f>IF(E214="","",IF(D214&lt;=E214,"OK","Inconcistente"))</f>
        <v/>
      </c>
      <c r="G214" s="87" t="str">
        <f>IFERROR(SQRT((COUNT($D$25:$D$286)/(COUNT($D$25:$D$286)-1))*((((C214-$C$15)/2)^2)-(E214/2)^2)),"")</f>
        <v/>
      </c>
      <c r="H214" s="232" t="str">
        <f>IF(E214="","",IF(D214&lt;=E214,B214,""))</f>
        <v/>
      </c>
      <c r="I214" s="280" t="str">
        <f>IF(E214="","",IF(D214&lt;=E214,C214,""))</f>
        <v/>
      </c>
    </row>
    <row r="215" spans="2:13" x14ac:dyDescent="0.2">
      <c r="B215" s="300" t="str">
        <f>IF(B211="","","Incerteza combinada")</f>
        <v/>
      </c>
      <c r="C215" s="148" t="str">
        <f>IFERROR(IF(B211="","",C216/C213),"")</f>
        <v/>
      </c>
      <c r="H215" s="232" t="str">
        <f>IF(E214="","",IF(D214&lt;=E214,B215,""))</f>
        <v/>
      </c>
      <c r="I215" s="280" t="str">
        <f>IF(E214="","",IF(D214&lt;=E214,C215,""))</f>
        <v/>
      </c>
    </row>
    <row r="216" spans="2:13" x14ac:dyDescent="0.2">
      <c r="B216" s="300" t="str">
        <f>IF(B211="","","Incerteza expandida (mg.kg-1)")</f>
        <v/>
      </c>
      <c r="C216" s="148" t="str">
        <f>IF(B216="","",' Principal'!S291)</f>
        <v/>
      </c>
      <c r="H216" s="232" t="str">
        <f>IF(E214="","",IF(D214&lt;=E214,B216,""))</f>
        <v/>
      </c>
      <c r="I216" s="280" t="str">
        <f>IF(E214="","",IF(D214&lt;=E214,C216,""))</f>
        <v/>
      </c>
    </row>
    <row r="220" spans="2:13" x14ac:dyDescent="0.2">
      <c r="B220" s="145" t="str">
        <f>IF(' Principal'!T299="","",CONCATENATE("Resultado final amostra ",'Massas Corrigidas'!I136))</f>
        <v/>
      </c>
      <c r="C220" s="145"/>
      <c r="H220" s="87" t="str">
        <f>IF(E223="","",IF(D223&lt;=E223,B220,""))</f>
        <v/>
      </c>
      <c r="K220" s="87" t="str">
        <f>IF(' Principal'!T299="","",' Principal'!O296)</f>
        <v/>
      </c>
      <c r="L220" s="87" t="str">
        <f>IF(' Principal'!T299="","",' Principal'!N296)</f>
        <v/>
      </c>
      <c r="M220" s="87" t="str">
        <f>IF(' Principal'!T299="","",' Principal'!M296)</f>
        <v/>
      </c>
    </row>
    <row r="221" spans="2:13" x14ac:dyDescent="0.2">
      <c r="B221" s="300" t="str">
        <f>IF(B220="","","ueff")</f>
        <v/>
      </c>
      <c r="C221" s="262" t="str">
        <f>IF(B221="","",' Principal'!S297)</f>
        <v/>
      </c>
      <c r="H221" s="87" t="str">
        <f>IF(E223="","",IF(D223&lt;=E223,B221,""))</f>
        <v/>
      </c>
      <c r="I221" s="87" t="str">
        <f>IF(E223="","",IF(D223&lt;=E223,C221,""))</f>
        <v/>
      </c>
    </row>
    <row r="222" spans="2:13" x14ac:dyDescent="0.2">
      <c r="B222" s="300" t="str">
        <f>IF(B220="","","K 0,05")</f>
        <v/>
      </c>
      <c r="C222" s="262" t="str">
        <f>IF(B222="","",' Principal'!S298)</f>
        <v/>
      </c>
      <c r="H222" s="87" t="str">
        <f>IF(E223="","",IF(D223&lt;=E223,B222,""))</f>
        <v/>
      </c>
      <c r="I222" s="87" t="str">
        <f>IF(E223="","",IF(D223&lt;=E223,C222,""))</f>
        <v/>
      </c>
    </row>
    <row r="223" spans="2:13" x14ac:dyDescent="0.2">
      <c r="B223" s="300" t="str">
        <f>IF(B220="","","Fração mássica da amostra (mg.kg-1)")</f>
        <v/>
      </c>
      <c r="C223" s="262" t="str">
        <f>IF(B223="","",' Principal'!S299)</f>
        <v/>
      </c>
      <c r="D223" s="87" t="str">
        <f>IFERROR(ABS(C223-$C$15),"")</f>
        <v/>
      </c>
      <c r="E223" s="278" t="str">
        <f>IF(C223="","",2*SQRT(SUMSQ($C$16,C224)))</f>
        <v/>
      </c>
      <c r="F223" s="87" t="str">
        <f>IF(E223="","",IF(D223&lt;=E223,"OK","Inconcistente"))</f>
        <v/>
      </c>
      <c r="G223" s="87" t="str">
        <f>IFERROR(SQRT((COUNT($D$25:$D$286)/(COUNT($D$25:$D$286)-1))*((((C223-$C$15)/2)^2)-(E223/2)^2)),"")</f>
        <v/>
      </c>
      <c r="H223" s="87" t="str">
        <f>IF(E223="","",IF(D223&lt;=E223,B223,""))</f>
        <v/>
      </c>
      <c r="I223" s="87" t="str">
        <f>IF(E223="","",IF(D223&lt;=E223,C223,""))</f>
        <v/>
      </c>
    </row>
    <row r="224" spans="2:13" x14ac:dyDescent="0.2">
      <c r="B224" s="300" t="str">
        <f>IF(B220="","","Incerteza combinada")</f>
        <v/>
      </c>
      <c r="C224" s="148" t="str">
        <f>IFERROR(IF(B220="","",C225/C222),"")</f>
        <v/>
      </c>
      <c r="H224" s="87" t="str">
        <f>IF(E223="","",IF(D223&lt;=E223,B224,""))</f>
        <v/>
      </c>
      <c r="I224" s="87" t="str">
        <f>IF(E223="","",IF(D223&lt;=E223,C224,""))</f>
        <v/>
      </c>
    </row>
    <row r="225" spans="2:13" x14ac:dyDescent="0.2">
      <c r="B225" s="300" t="str">
        <f>IF(B220="","","Incerteza expandida (mg.kg-1)")</f>
        <v/>
      </c>
      <c r="C225" s="148" t="str">
        <f>IF(B225="","",' Principal'!S300)</f>
        <v/>
      </c>
      <c r="H225" s="87" t="str">
        <f>IF(E223="","",IF(D223&lt;=E223,B225,""))</f>
        <v/>
      </c>
      <c r="I225" s="87" t="str">
        <f>IF(E223="","",IF(D223&lt;=E223,C225,""))</f>
        <v/>
      </c>
    </row>
    <row r="229" spans="2:13" x14ac:dyDescent="0.2">
      <c r="B229" s="145" t="str">
        <f>IF(' Principal'!T308="","",CONCATENATE("Resultado final amostra ",'Massas Corrigidas'!I141))</f>
        <v/>
      </c>
      <c r="C229" s="145"/>
      <c r="H229" s="232" t="str">
        <f>IF(E232="","",IF(D232&lt;=E232,B229,""))</f>
        <v/>
      </c>
      <c r="I229" s="232"/>
      <c r="K229" s="87" t="str">
        <f>IF(' Principal'!T308="","",' Principal'!O305)</f>
        <v/>
      </c>
      <c r="L229" s="87" t="str">
        <f>IF(' Principal'!T308="","",' Principal'!N305)</f>
        <v/>
      </c>
      <c r="M229" s="87" t="str">
        <f>IF(' Principal'!T308="","",' Principal'!M305)</f>
        <v/>
      </c>
    </row>
    <row r="230" spans="2:13" x14ac:dyDescent="0.2">
      <c r="B230" s="300" t="str">
        <f>IF(B229="","","ueff")</f>
        <v/>
      </c>
      <c r="C230" s="262" t="str">
        <f>IF(B230="","",' Principal'!S306)</f>
        <v/>
      </c>
      <c r="H230" s="232" t="str">
        <f>IF(E232="","",IF(D232&lt;=E232,B230,""))</f>
        <v/>
      </c>
      <c r="I230" s="279" t="str">
        <f>IF(E232="","",IF(D232&lt;=E232,C230,""))</f>
        <v/>
      </c>
    </row>
    <row r="231" spans="2:13" x14ac:dyDescent="0.2">
      <c r="B231" s="300" t="str">
        <f>IF(B229="","","K 0,05")</f>
        <v/>
      </c>
      <c r="C231" s="262" t="str">
        <f>IF(B231="","",' Principal'!S307)</f>
        <v/>
      </c>
      <c r="H231" s="232" t="str">
        <f>IF(E232="","",IF(D232&lt;=E232,B231,""))</f>
        <v/>
      </c>
      <c r="I231" s="146" t="str">
        <f>IF(E232="","",IF(D232&lt;=E232,C231,""))</f>
        <v/>
      </c>
    </row>
    <row r="232" spans="2:13" x14ac:dyDescent="0.2">
      <c r="B232" s="300" t="str">
        <f>IF(B229="","","Fração mássica da amostra (mg.kg-1)")</f>
        <v/>
      </c>
      <c r="C232" s="262" t="str">
        <f>IF(B232="","",' Principal'!S308)</f>
        <v/>
      </c>
      <c r="D232" s="87" t="str">
        <f>IFERROR(ABS(C232-$C$15),"")</f>
        <v/>
      </c>
      <c r="E232" s="278" t="str">
        <f>IF(C232="","",2*SQRT(SUMSQ($C$16,C233)))</f>
        <v/>
      </c>
      <c r="F232" s="87" t="str">
        <f>IF(E232="","",IF(D232&lt;=E232,"OK","Inconcistente"))</f>
        <v/>
      </c>
      <c r="G232" s="87" t="str">
        <f>IFERROR(SQRT((COUNT($D$25:$D$286)/(COUNT($D$25:$D$286)-1))*((((C232-$C$15)/2)^2)-(E232/2)^2)),"")</f>
        <v/>
      </c>
      <c r="H232" s="232" t="str">
        <f>IF(E232="","",IF(D232&lt;=E232,B232,""))</f>
        <v/>
      </c>
      <c r="I232" s="280" t="str">
        <f>IF(E232="","",IF(D232&lt;=E232,C232,""))</f>
        <v/>
      </c>
    </row>
    <row r="233" spans="2:13" x14ac:dyDescent="0.2">
      <c r="B233" s="300" t="str">
        <f>IF(B229="","","Incerteza combinada")</f>
        <v/>
      </c>
      <c r="C233" s="148" t="str">
        <f>IFERROR(IF(B229="","",C234/C231),"")</f>
        <v/>
      </c>
      <c r="H233" s="232" t="str">
        <f>IF(E232="","",IF(D232&lt;=E232,B233,""))</f>
        <v/>
      </c>
      <c r="I233" s="280" t="str">
        <f>IF(E232="","",IF(D232&lt;=E232,C233,""))</f>
        <v/>
      </c>
    </row>
    <row r="234" spans="2:13" x14ac:dyDescent="0.2">
      <c r="B234" s="300" t="str">
        <f>IF(B229="","","Incerteza expandida (mg.kg-1)")</f>
        <v/>
      </c>
      <c r="C234" s="148" t="str">
        <f>IF(B234="","",' Principal'!S309)</f>
        <v/>
      </c>
      <c r="H234" s="232" t="str">
        <f>IF(E232="","",IF(D232&lt;=E232,B234,""))</f>
        <v/>
      </c>
      <c r="I234" s="280" t="str">
        <f>IF(E232="","",IF(D232&lt;=E232,C234,""))</f>
        <v/>
      </c>
    </row>
    <row r="238" spans="2:13" x14ac:dyDescent="0.2">
      <c r="B238" s="145" t="str">
        <f>IF(' Principal'!T317="","",CONCATENATE("Resultado final amostra ",'Massas Corrigidas'!I146))</f>
        <v/>
      </c>
      <c r="C238" s="145"/>
      <c r="H238" s="87" t="str">
        <f>IF(E241="","",IF(D241&lt;=E241,B238,""))</f>
        <v/>
      </c>
      <c r="K238" s="87" t="str">
        <f>IF(' Principal'!T317="","",' Principal'!O314)</f>
        <v/>
      </c>
      <c r="L238" s="87" t="str">
        <f>IF(' Principal'!T317="","",' Principal'!N314)</f>
        <v/>
      </c>
      <c r="M238" s="87" t="str">
        <f>IF(' Principal'!T317="","",' Principal'!M314)</f>
        <v/>
      </c>
    </row>
    <row r="239" spans="2:13" x14ac:dyDescent="0.2">
      <c r="B239" s="300" t="str">
        <f>IF(B238="","","ueff")</f>
        <v/>
      </c>
      <c r="C239" s="262" t="str">
        <f>IF(B239="","",' Principal'!S315)</f>
        <v/>
      </c>
      <c r="H239" s="87" t="str">
        <f>IF(E241="","",IF(D241&lt;=E241,B239,""))</f>
        <v/>
      </c>
      <c r="I239" s="87" t="str">
        <f>IF(E241="","",IF(D241&lt;=E241,C239,""))</f>
        <v/>
      </c>
    </row>
    <row r="240" spans="2:13" x14ac:dyDescent="0.2">
      <c r="B240" s="300" t="str">
        <f>IF(B238="","","K 0,05")</f>
        <v/>
      </c>
      <c r="C240" s="262" t="str">
        <f>IF(B240="","",' Principal'!S316)</f>
        <v/>
      </c>
      <c r="H240" s="87" t="str">
        <f>IF(E241="","",IF(D241&lt;=E241,B240,""))</f>
        <v/>
      </c>
      <c r="I240" s="87" t="str">
        <f>IF(E241="","",IF(D241&lt;=E241,C240,""))</f>
        <v/>
      </c>
    </row>
    <row r="241" spans="2:13" x14ac:dyDescent="0.2">
      <c r="B241" s="300" t="str">
        <f>IF(B238="","","Fração mássica da amostra (mg.kg-1)")</f>
        <v/>
      </c>
      <c r="C241" s="262" t="str">
        <f>IF(B241="","",' Principal'!S317)</f>
        <v/>
      </c>
      <c r="D241" s="87" t="str">
        <f>IFERROR(ABS(C241-$C$15),"")</f>
        <v/>
      </c>
      <c r="E241" s="278" t="str">
        <f>IF(C241="","",2*SQRT(SUMSQ($C$16,C242)))</f>
        <v/>
      </c>
      <c r="F241" s="87" t="str">
        <f>IF(E241="","",IF(D241&lt;=E241,"OK","Inconcistente"))</f>
        <v/>
      </c>
      <c r="G241" s="87" t="str">
        <f>IFERROR(SQRT((COUNT($D$25:$D$286)/(COUNT($D$25:$D$286)-1))*((((C241-$C$15)/2)^2)-(E241/2)^2)),"")</f>
        <v/>
      </c>
      <c r="H241" s="87" t="str">
        <f>IF(E241="","",IF(D241&lt;=E241,B241,""))</f>
        <v/>
      </c>
      <c r="I241" s="87" t="str">
        <f>IF(E241="","",IF(D241&lt;=E241,C241,""))</f>
        <v/>
      </c>
    </row>
    <row r="242" spans="2:13" x14ac:dyDescent="0.2">
      <c r="B242" s="300" t="str">
        <f>IF(B238="","","Incerteza combinada")</f>
        <v/>
      </c>
      <c r="C242" s="148" t="str">
        <f>IFERROR(IF(B238="","",C243/C240),"")</f>
        <v/>
      </c>
      <c r="H242" s="87" t="str">
        <f>IF(E241="","",IF(D241&lt;=E241,B242,""))</f>
        <v/>
      </c>
      <c r="I242" s="87" t="str">
        <f>IF(E241="","",IF(D241&lt;=E241,C242,""))</f>
        <v/>
      </c>
    </row>
    <row r="243" spans="2:13" x14ac:dyDescent="0.2">
      <c r="B243" s="300" t="str">
        <f>IF(B238="","","Incerteza expandida (mg.kg-1)")</f>
        <v/>
      </c>
      <c r="C243" s="148" t="str">
        <f>IF(B243="","",' Principal'!S318)</f>
        <v/>
      </c>
      <c r="H243" s="87" t="str">
        <f>IF(E241="","",IF(D241&lt;=E241,B243,""))</f>
        <v/>
      </c>
      <c r="I243" s="87" t="str">
        <f>IF(E241="","",IF(D241&lt;=E241,C243,""))</f>
        <v/>
      </c>
    </row>
    <row r="247" spans="2:13" x14ac:dyDescent="0.2">
      <c r="B247" s="145" t="str">
        <f>IF(' Principal'!T326="","",CONCATENATE("Resultado final amostra ",'Massas Corrigidas'!I151))</f>
        <v/>
      </c>
      <c r="C247" s="145"/>
      <c r="H247" s="232" t="str">
        <f>IF(E250="","",IF(D250&lt;=E250,B247,""))</f>
        <v/>
      </c>
      <c r="I247" s="232"/>
      <c r="K247" s="87" t="str">
        <f>IF(' Principal'!T326="","",' Principal'!O323)</f>
        <v/>
      </c>
      <c r="L247" s="87" t="str">
        <f>IF(' Principal'!T326="","",' Principal'!N323)</f>
        <v/>
      </c>
      <c r="M247" s="87" t="str">
        <f>IF(' Principal'!T326="","",' Principal'!M323)</f>
        <v/>
      </c>
    </row>
    <row r="248" spans="2:13" x14ac:dyDescent="0.2">
      <c r="B248" s="300" t="str">
        <f>IF(B247="","","ueff")</f>
        <v/>
      </c>
      <c r="C248" s="262" t="str">
        <f>IF(B248="","",' Principal'!S324)</f>
        <v/>
      </c>
      <c r="H248" s="232" t="str">
        <f>IF(E250="","",IF(D250&lt;=E250,B248,""))</f>
        <v/>
      </c>
      <c r="I248" s="279" t="str">
        <f>IF(E250="","",IF(D250&lt;=E250,C248,""))</f>
        <v/>
      </c>
    </row>
    <row r="249" spans="2:13" x14ac:dyDescent="0.2">
      <c r="B249" s="300" t="str">
        <f>IF(B247="","","K 0,05")</f>
        <v/>
      </c>
      <c r="C249" s="262" t="str">
        <f>IF(B249="","",' Principal'!S325)</f>
        <v/>
      </c>
      <c r="H249" s="232" t="str">
        <f>IF(E250="","",IF(D250&lt;=E250,B249,""))</f>
        <v/>
      </c>
      <c r="I249" s="146" t="str">
        <f>IF(E250="","",IF(D250&lt;=E250,C249,""))</f>
        <v/>
      </c>
    </row>
    <row r="250" spans="2:13" x14ac:dyDescent="0.2">
      <c r="B250" s="300" t="str">
        <f>IF(B247="","","Fração mássica da amostra (mg.kg-1)")</f>
        <v/>
      </c>
      <c r="C250" s="262" t="str">
        <f>IF(B250="","",' Principal'!S326)</f>
        <v/>
      </c>
      <c r="D250" s="87" t="str">
        <f>IFERROR(ABS(C250-$C$15),"")</f>
        <v/>
      </c>
      <c r="E250" s="278" t="str">
        <f>IF(C250="","",2*SQRT(SUMSQ($C$16,C251)))</f>
        <v/>
      </c>
      <c r="F250" s="87" t="str">
        <f>IF(E250="","",IF(D250&lt;=E250,"OK","Inconcistente"))</f>
        <v/>
      </c>
      <c r="G250" s="87" t="str">
        <f>IFERROR(SQRT((COUNT($D$25:$D$286)/(COUNT($D$25:$D$286)-1))*((((C250-$C$15)/2)^2)-(E250/2)^2)),"")</f>
        <v/>
      </c>
      <c r="H250" s="232" t="str">
        <f>IF(E250="","",IF(D250&lt;=E250,B250,""))</f>
        <v/>
      </c>
      <c r="I250" s="280" t="str">
        <f>IF(E250="","",IF(D250&lt;=E250,C250,""))</f>
        <v/>
      </c>
    </row>
    <row r="251" spans="2:13" x14ac:dyDescent="0.2">
      <c r="B251" s="300" t="str">
        <f>IF(B247="","","Incerteza combinada")</f>
        <v/>
      </c>
      <c r="C251" s="148" t="str">
        <f>IFERROR(IF(B247="","",C252/C249),"")</f>
        <v/>
      </c>
      <c r="H251" s="232" t="str">
        <f>IF(E250="","",IF(D250&lt;=E250,B251,""))</f>
        <v/>
      </c>
      <c r="I251" s="280" t="str">
        <f>IF(E250="","",IF(D250&lt;=E250,C251,""))</f>
        <v/>
      </c>
    </row>
    <row r="252" spans="2:13" x14ac:dyDescent="0.2">
      <c r="B252" s="300" t="str">
        <f>IF(B247="","","Incerteza expandida (mg.kg-1)")</f>
        <v/>
      </c>
      <c r="C252" s="148" t="str">
        <f>IF(B252="","",' Principal'!S327)</f>
        <v/>
      </c>
      <c r="H252" s="232" t="str">
        <f>IF(E250="","",IF(D250&lt;=E250,B252,""))</f>
        <v/>
      </c>
      <c r="I252" s="280" t="str">
        <f>IF(E250="","",IF(D250&lt;=E250,C252,""))</f>
        <v/>
      </c>
    </row>
    <row r="256" spans="2:13" x14ac:dyDescent="0.2">
      <c r="B256" s="145" t="str">
        <f>IF(' Principal'!T335="","",CONCATENATE("Resultado final amostra ",'Massas Corrigidas'!I156))</f>
        <v/>
      </c>
      <c r="C256" s="145"/>
      <c r="H256" s="87" t="str">
        <f>IF(E259="","",IF(D259&lt;=E259,B256,""))</f>
        <v/>
      </c>
      <c r="K256" s="87" t="str">
        <f>IF(' Principal'!T335="","",' Principal'!O332)</f>
        <v/>
      </c>
      <c r="L256" s="87" t="str">
        <f>IF(' Principal'!T335="","",' Principal'!N332)</f>
        <v/>
      </c>
      <c r="M256" s="87" t="str">
        <f>IF(' Principal'!T335="","",' Principal'!M332)</f>
        <v/>
      </c>
    </row>
    <row r="257" spans="2:13" x14ac:dyDescent="0.2">
      <c r="B257" s="300" t="str">
        <f>IF(B256="","","ueff")</f>
        <v/>
      </c>
      <c r="C257" s="262" t="str">
        <f>IF(B257="","",' Principal'!S333)</f>
        <v/>
      </c>
      <c r="H257" s="87" t="str">
        <f>IF(E259="","",IF(D259&lt;=E259,B257,""))</f>
        <v/>
      </c>
      <c r="I257" s="87" t="str">
        <f>IF(E259="","",IF(D259&lt;=E259,C257,""))</f>
        <v/>
      </c>
    </row>
    <row r="258" spans="2:13" x14ac:dyDescent="0.2">
      <c r="B258" s="300" t="str">
        <f>IF(B256="","","K 0,05")</f>
        <v/>
      </c>
      <c r="C258" s="262" t="str">
        <f>IF(B258="","",' Principal'!S334)</f>
        <v/>
      </c>
      <c r="H258" s="87" t="str">
        <f>IF(E259="","",IF(D259&lt;=E259,B258,""))</f>
        <v/>
      </c>
      <c r="I258" s="87" t="str">
        <f>IF(E259="","",IF(D259&lt;=E259,C258,""))</f>
        <v/>
      </c>
    </row>
    <row r="259" spans="2:13" x14ac:dyDescent="0.2">
      <c r="B259" s="300" t="str">
        <f>IF(B256="","","Fração mássica da amostra (mg.kg-1)")</f>
        <v/>
      </c>
      <c r="C259" s="262" t="str">
        <f>IF(B259="","",' Principal'!S335)</f>
        <v/>
      </c>
      <c r="D259" s="87" t="str">
        <f>IFERROR(ABS(C259-$C$15),"")</f>
        <v/>
      </c>
      <c r="E259" s="278" t="str">
        <f>IF(C259="","",2*SQRT(SUMSQ($C$16,C260)))</f>
        <v/>
      </c>
      <c r="F259" s="87" t="str">
        <f>IF(E259="","",IF(D259&lt;=E259,"OK","Inconcistente"))</f>
        <v/>
      </c>
      <c r="G259" s="87" t="str">
        <f>IFERROR(SQRT((COUNT($D$25:$D$286)/(COUNT($D$25:$D$286)-1))*((((C259-$C$15)/2)^2)-(E259/2)^2)),"")</f>
        <v/>
      </c>
      <c r="H259" s="87" t="str">
        <f>IF(E259="","",IF(D259&lt;=E259,B259,""))</f>
        <v/>
      </c>
      <c r="I259" s="87" t="str">
        <f>IF(E259="","",IF(D259&lt;=E259,C259,""))</f>
        <v/>
      </c>
    </row>
    <row r="260" spans="2:13" x14ac:dyDescent="0.2">
      <c r="B260" s="300" t="str">
        <f>IF(B256="","","Incerteza combinada")</f>
        <v/>
      </c>
      <c r="C260" s="148" t="str">
        <f>IFERROR(IF(B256="","",C261/C258),"")</f>
        <v/>
      </c>
      <c r="H260" s="87" t="str">
        <f>IF(E259="","",IF(D259&lt;=E259,B260,""))</f>
        <v/>
      </c>
      <c r="I260" s="87" t="str">
        <f>IF(E259="","",IF(D259&lt;=E259,C260,""))</f>
        <v/>
      </c>
    </row>
    <row r="261" spans="2:13" x14ac:dyDescent="0.2">
      <c r="B261" s="300" t="str">
        <f>IF(B256="","","Incerteza expandida (mg.kg-1)")</f>
        <v/>
      </c>
      <c r="C261" s="148" t="str">
        <f>IF(B261="","",' Principal'!S336)</f>
        <v/>
      </c>
      <c r="H261" s="87" t="str">
        <f>IF(E259="","",IF(D259&lt;=E259,B261,""))</f>
        <v/>
      </c>
      <c r="I261" s="87" t="str">
        <f>IF(E259="","",IF(D259&lt;=E259,C261,""))</f>
        <v/>
      </c>
    </row>
    <row r="265" spans="2:13" x14ac:dyDescent="0.2">
      <c r="B265" s="145" t="str">
        <f>IF(' Principal'!T344="","",CONCATENATE("Resultado final amostra ",'Massas Corrigidas'!I161))</f>
        <v/>
      </c>
      <c r="C265" s="145"/>
      <c r="H265" s="232" t="str">
        <f>IF(E268="","",IF(D268&lt;=E268,B265,""))</f>
        <v/>
      </c>
      <c r="I265" s="232"/>
      <c r="K265" s="87" t="str">
        <f>IF(' Principal'!T344="","",' Principal'!O341)</f>
        <v/>
      </c>
      <c r="L265" s="87" t="str">
        <f>IF(' Principal'!T344="","",' Principal'!N341)</f>
        <v/>
      </c>
      <c r="M265" s="87" t="str">
        <f>IF(' Principal'!T344="","",' Principal'!M341)</f>
        <v/>
      </c>
    </row>
    <row r="266" spans="2:13" x14ac:dyDescent="0.2">
      <c r="B266" s="300" t="str">
        <f>IF(B265="","","ueff")</f>
        <v/>
      </c>
      <c r="C266" s="262" t="str">
        <f>IF(B266="","",' Principal'!S342)</f>
        <v/>
      </c>
      <c r="H266" s="232" t="str">
        <f>IF(E268="","",IF(D268&lt;=E268,B266,""))</f>
        <v/>
      </c>
      <c r="I266" s="279" t="str">
        <f>IF(E268="","",IF(D268&lt;=E268,C266,""))</f>
        <v/>
      </c>
    </row>
    <row r="267" spans="2:13" x14ac:dyDescent="0.2">
      <c r="B267" s="300" t="str">
        <f>IF(B265="","","K 0,05")</f>
        <v/>
      </c>
      <c r="C267" s="262" t="str">
        <f>IF(B267="","",' Principal'!S343)</f>
        <v/>
      </c>
      <c r="H267" s="232" t="str">
        <f>IF(E268="","",IF(D268&lt;=E268,B267,""))</f>
        <v/>
      </c>
      <c r="I267" s="146" t="str">
        <f>IF(E268="","",IF(D268&lt;=E268,C267,""))</f>
        <v/>
      </c>
    </row>
    <row r="268" spans="2:13" x14ac:dyDescent="0.2">
      <c r="B268" s="300" t="str">
        <f>IF(B265="","","Fração mássica da amostra (mg.kg-1)")</f>
        <v/>
      </c>
      <c r="C268" s="262" t="str">
        <f>IF(B268="","",' Principal'!S344)</f>
        <v/>
      </c>
      <c r="D268" s="87" t="str">
        <f>IFERROR(ABS(C268-$C$15),"")</f>
        <v/>
      </c>
      <c r="E268" s="278" t="str">
        <f>IF(C268="","",2*SQRT(SUMSQ($C$16,C269)))</f>
        <v/>
      </c>
      <c r="F268" s="87" t="str">
        <f>IF(E268="","",IF(D268&lt;=E268,"OK","Inconcistente"))</f>
        <v/>
      </c>
      <c r="G268" s="87" t="str">
        <f>IFERROR(SQRT((COUNT($D$25:$D$286)/(COUNT($D$25:$D$286)-1))*((((C268-$C$15)/2)^2)-(E268/2)^2)),"")</f>
        <v/>
      </c>
      <c r="H268" s="232" t="str">
        <f>IF(E268="","",IF(D268&lt;=E268,B268,""))</f>
        <v/>
      </c>
      <c r="I268" s="280" t="str">
        <f>IF(E268="","",IF(D268&lt;=E268,C268,""))</f>
        <v/>
      </c>
    </row>
    <row r="269" spans="2:13" x14ac:dyDescent="0.2">
      <c r="B269" s="300" t="str">
        <f>IF(B265="","","Incerteza combinada")</f>
        <v/>
      </c>
      <c r="C269" s="148" t="str">
        <f>IFERROR(IF(B265="","",C270/C267),"")</f>
        <v/>
      </c>
      <c r="H269" s="232" t="str">
        <f>IF(E268="","",IF(D268&lt;=E268,B269,""))</f>
        <v/>
      </c>
      <c r="I269" s="280" t="str">
        <f>IF(E268="","",IF(D268&lt;=E268,C269,""))</f>
        <v/>
      </c>
    </row>
    <row r="270" spans="2:13" x14ac:dyDescent="0.2">
      <c r="B270" s="300" t="str">
        <f>IF(B265="","","Incerteza expandida (mg.kg-1)")</f>
        <v/>
      </c>
      <c r="C270" s="148" t="str">
        <f>IF(B270="","",' Principal'!S345)</f>
        <v/>
      </c>
      <c r="H270" s="232" t="str">
        <f>IF(E268="","",IF(D268&lt;=E268,B270,""))</f>
        <v/>
      </c>
      <c r="I270" s="280" t="str">
        <f>IF(E268="","",IF(D268&lt;=E268,C270,""))</f>
        <v/>
      </c>
    </row>
    <row r="274" spans="2:13" x14ac:dyDescent="0.2">
      <c r="B274" s="145" t="str">
        <f>IF(' Principal'!T353="","",CONCATENATE("Resultado final amostra ",'Massas Corrigidas'!I166))</f>
        <v/>
      </c>
      <c r="C274" s="145"/>
      <c r="H274" s="87" t="str">
        <f>IF(E277="","",IF(D277&lt;=E277,B274,""))</f>
        <v/>
      </c>
      <c r="K274" s="87" t="str">
        <f>IF(' Principal'!T353="","",' Principal'!O350)</f>
        <v/>
      </c>
      <c r="L274" s="87" t="str">
        <f>IF(' Principal'!T353="","",' Principal'!N350)</f>
        <v/>
      </c>
      <c r="M274" s="87" t="str">
        <f>IF(' Principal'!T353="","",' Principal'!M350)</f>
        <v/>
      </c>
    </row>
    <row r="275" spans="2:13" x14ac:dyDescent="0.2">
      <c r="B275" s="300" t="str">
        <f>IF(B274="","","ueff")</f>
        <v/>
      </c>
      <c r="C275" s="262" t="str">
        <f>IF(B275="","",' Principal'!S351)</f>
        <v/>
      </c>
      <c r="H275" s="87" t="str">
        <f>IF(E277="","",IF(D277&lt;=E277,B275,""))</f>
        <v/>
      </c>
      <c r="I275" s="87" t="str">
        <f>IF(E277="","",IF(D277&lt;=E277,C275,""))</f>
        <v/>
      </c>
    </row>
    <row r="276" spans="2:13" x14ac:dyDescent="0.2">
      <c r="B276" s="300" t="str">
        <f>IF(B274="","","K 0,05")</f>
        <v/>
      </c>
      <c r="C276" s="262" t="str">
        <f>IF(B276="","",' Principal'!S352)</f>
        <v/>
      </c>
      <c r="H276" s="87" t="str">
        <f>IF(E277="","",IF(D277&lt;=E277,B276,""))</f>
        <v/>
      </c>
      <c r="I276" s="87" t="str">
        <f>IF(E277="","",IF(D277&lt;=E277,C276,""))</f>
        <v/>
      </c>
    </row>
    <row r="277" spans="2:13" x14ac:dyDescent="0.2">
      <c r="B277" s="300" t="str">
        <f>IF(B274="","","Fração mássica da amostra (mg.kg-1)")</f>
        <v/>
      </c>
      <c r="C277" s="262" t="str">
        <f>IF(B277="","",' Principal'!S353)</f>
        <v/>
      </c>
      <c r="D277" s="87" t="str">
        <f>IFERROR(ABS(C277-$C$15),"")</f>
        <v/>
      </c>
      <c r="E277" s="278" t="str">
        <f>IF(C277="","",2*SQRT(SUMSQ($C$16,C278)))</f>
        <v/>
      </c>
      <c r="F277" s="87" t="str">
        <f>IF(E277="","",IF(D277&lt;=E277,"OK","Inconcistente"))</f>
        <v/>
      </c>
      <c r="G277" s="87" t="str">
        <f>IFERROR(SQRT((COUNT($D$25:$D$286)/(COUNT($D$25:$D$286)-1))*((((C277-$C$15)/2)^2)-(E277/2)^2)),"")</f>
        <v/>
      </c>
      <c r="H277" s="87" t="str">
        <f>IF(E277="","",IF(D277&lt;=E277,B277,""))</f>
        <v/>
      </c>
      <c r="I277" s="87" t="str">
        <f>IF(E277="","",IF(D277&lt;=E277,C277,""))</f>
        <v/>
      </c>
    </row>
    <row r="278" spans="2:13" x14ac:dyDescent="0.2">
      <c r="B278" s="300" t="str">
        <f>IF(B274="","","Incerteza combinada")</f>
        <v/>
      </c>
      <c r="C278" s="148" t="str">
        <f>IFERROR(IF(B274="","",C279/C276),"")</f>
        <v/>
      </c>
      <c r="H278" s="87" t="str">
        <f>IF(E277="","",IF(D277&lt;=E277,B278,""))</f>
        <v/>
      </c>
      <c r="I278" s="87" t="str">
        <f>IF(E277="","",IF(D277&lt;=E277,C278,""))</f>
        <v/>
      </c>
    </row>
    <row r="279" spans="2:13" x14ac:dyDescent="0.2">
      <c r="B279" s="300" t="str">
        <f>IF(B274="","","Incerteza expandida (mg.kg-1)")</f>
        <v/>
      </c>
      <c r="C279" s="148" t="str">
        <f>IF(B279="","",' Principal'!S354)</f>
        <v/>
      </c>
      <c r="H279" s="87" t="str">
        <f>IF(E277="","",IF(D277&lt;=E277,B279,""))</f>
        <v/>
      </c>
      <c r="I279" s="87" t="str">
        <f>IF(E277="","",IF(D277&lt;=E277,C279,""))</f>
        <v/>
      </c>
    </row>
    <row r="283" spans="2:13" x14ac:dyDescent="0.2">
      <c r="B283" s="145" t="str">
        <f>IF(' Principal'!T362="","",CONCATENATE("Resultado final amostra ",'Massas Corrigidas'!I171))</f>
        <v/>
      </c>
      <c r="C283" s="145"/>
      <c r="H283" s="232" t="str">
        <f>IF(E286="","",IF(D286&lt;=E286,B283,""))</f>
        <v/>
      </c>
      <c r="I283" s="232"/>
      <c r="K283" s="87" t="str">
        <f>IF(' Principal'!T362="","",' Principal'!O359)</f>
        <v/>
      </c>
      <c r="L283" s="87" t="str">
        <f>IF(' Principal'!T362="","",' Principal'!N359)</f>
        <v/>
      </c>
      <c r="M283" s="87" t="str">
        <f>IF(' Principal'!T362="","",' Principal'!M359)</f>
        <v/>
      </c>
    </row>
    <row r="284" spans="2:13" x14ac:dyDescent="0.2">
      <c r="B284" s="300" t="str">
        <f>IF(B283="","","ueff")</f>
        <v/>
      </c>
      <c r="C284" s="262" t="str">
        <f>IF(B284="","",' Principal'!S360)</f>
        <v/>
      </c>
      <c r="H284" s="232" t="str">
        <f>IF(E286="","",IF(D286&lt;=E286,B284,""))</f>
        <v/>
      </c>
      <c r="I284" s="279" t="str">
        <f>IF(E286="","",IF(D286&lt;=E286,C284,""))</f>
        <v/>
      </c>
    </row>
    <row r="285" spans="2:13" x14ac:dyDescent="0.2">
      <c r="B285" s="300" t="str">
        <f>IF(B283="","","K 0,05")</f>
        <v/>
      </c>
      <c r="C285" s="262" t="str">
        <f>IF(B285="","",' Principal'!S361)</f>
        <v/>
      </c>
      <c r="H285" s="232" t="str">
        <f>IF(E286="","",IF(D286&lt;=E286,B285,""))</f>
        <v/>
      </c>
      <c r="I285" s="146" t="str">
        <f>IF(E286="","",IF(D286&lt;=E286,C285,""))</f>
        <v/>
      </c>
    </row>
    <row r="286" spans="2:13" x14ac:dyDescent="0.2">
      <c r="B286" s="300" t="str">
        <f>IF(B283="","","Fração mássica da amostra (mg.kg-1)")</f>
        <v/>
      </c>
      <c r="C286" s="262" t="str">
        <f>IF(B286="","",' Principal'!S362)</f>
        <v/>
      </c>
      <c r="D286" s="87" t="str">
        <f>IFERROR(ABS(C286-$C$15),"")</f>
        <v/>
      </c>
      <c r="E286" s="278" t="str">
        <f>IF(C286="","",2*SQRT(SUMSQ($C$16,C287)))</f>
        <v/>
      </c>
      <c r="F286" s="87" t="str">
        <f>IF(E286="","",IF(D286&lt;=E286,"OK","Inconcistente"))</f>
        <v/>
      </c>
      <c r="G286" s="87" t="str">
        <f>IFERROR(SQRT((COUNT($D$25:$D$286))*((((C286-$C$15)/2)^2)-(E286/2)^2)),"")</f>
        <v/>
      </c>
      <c r="H286" s="232" t="str">
        <f>IF(E286="","",IF(D286&lt;=E286,B286,""))</f>
        <v/>
      </c>
      <c r="I286" s="280" t="str">
        <f>IF(E286="","",IF(D286&lt;=E286,C286,""))</f>
        <v/>
      </c>
    </row>
    <row r="287" spans="2:13" x14ac:dyDescent="0.2">
      <c r="B287" s="300" t="str">
        <f>IF(B283="","","Incerteza combinada")</f>
        <v/>
      </c>
      <c r="C287" s="148" t="str">
        <f>IFERROR(IF(B283="","",C288/C285),"")</f>
        <v/>
      </c>
      <c r="H287" s="232" t="str">
        <f>IF(E286="","",IF(D286&lt;=E286,B287,""))</f>
        <v/>
      </c>
      <c r="I287" s="280" t="str">
        <f>IF(E286="","",IF(D286&lt;=E286,C287,""))</f>
        <v/>
      </c>
    </row>
    <row r="288" spans="2:13" x14ac:dyDescent="0.2">
      <c r="B288" s="300" t="str">
        <f>IF(B283="","","Incerteza expandida (mg.kg-1)")</f>
        <v/>
      </c>
      <c r="C288" s="148" t="str">
        <f>IF(B288="","",' Principal'!S363)</f>
        <v/>
      </c>
      <c r="H288" s="232" t="str">
        <f>IF(E286="","",IF(D286&lt;=E286,B288,""))</f>
        <v/>
      </c>
      <c r="I288" s="280" t="str">
        <f>IF(E286="","",IF(D286&lt;=E286,C288,""))</f>
        <v/>
      </c>
    </row>
    <row r="292" spans="2:13" x14ac:dyDescent="0.2">
      <c r="B292" s="145" t="str">
        <f>IF(' Principal'!J368="","",CONCATENATE("Resultado final amostra ",'Massas Corrigidas'!I236))</f>
        <v/>
      </c>
      <c r="C292" s="145"/>
      <c r="K292" s="87" t="str">
        <f>IF(' Principal'!T371="","",' Principal'!O368)</f>
        <v/>
      </c>
      <c r="L292" s="87" t="str">
        <f>IF(' Principal'!T371="","",' Principal'!N368)</f>
        <v/>
      </c>
      <c r="M292" s="87" t="str">
        <f>IF(' Principal'!T371="","",' Principal'!M368)</f>
        <v/>
      </c>
    </row>
    <row r="293" spans="2:13" x14ac:dyDescent="0.2">
      <c r="B293" s="300"/>
      <c r="C293" s="262"/>
    </row>
    <row r="294" spans="2:13" x14ac:dyDescent="0.2">
      <c r="B294" s="300"/>
      <c r="C294" s="135"/>
    </row>
    <row r="295" spans="2:13" x14ac:dyDescent="0.2">
      <c r="B295" s="300"/>
      <c r="C295" s="148"/>
    </row>
    <row r="296" spans="2:13" x14ac:dyDescent="0.2">
      <c r="B296" s="300"/>
      <c r="C296" s="148"/>
    </row>
  </sheetData>
  <sheetProtection password="C7DA" sheet="1" objects="1" scenarios="1"/>
  <mergeCells count="4">
    <mergeCell ref="B1:C1"/>
    <mergeCell ref="B2:C2"/>
    <mergeCell ref="G12:I12"/>
    <mergeCell ref="G13:I16"/>
  </mergeCells>
  <conditionalFormatting sqref="B17:I292 B12:F12 B13:G13 B14:F16">
    <cfRule type="notContainsBlanks" dxfId="32" priority="120" stopIfTrue="1">
      <formula>LEN(TRIM(B12))&gt;0</formula>
    </cfRule>
  </conditionalFormatting>
  <conditionalFormatting sqref="B16:C16">
    <cfRule type="notContainsBlanks" dxfId="31" priority="38" stopIfTrue="1">
      <formula>LEN(TRIM(B16))&gt;0</formula>
    </cfRule>
  </conditionalFormatting>
  <conditionalFormatting sqref="B35:C35">
    <cfRule type="notContainsBlanks" dxfId="30" priority="37" stopIfTrue="1">
      <formula>LEN(TRIM(B35))&gt;0</formula>
    </cfRule>
  </conditionalFormatting>
  <conditionalFormatting sqref="B44:C44">
    <cfRule type="notContainsBlanks" dxfId="29" priority="36" stopIfTrue="1">
      <formula>LEN(TRIM(B44))&gt;0</formula>
    </cfRule>
  </conditionalFormatting>
  <conditionalFormatting sqref="B53:C53">
    <cfRule type="notContainsBlanks" dxfId="28" priority="35" stopIfTrue="1">
      <formula>LEN(TRIM(B53))&gt;0</formula>
    </cfRule>
  </conditionalFormatting>
  <conditionalFormatting sqref="B62:C62">
    <cfRule type="notContainsBlanks" dxfId="27" priority="34" stopIfTrue="1">
      <formula>LEN(TRIM(B62))&gt;0</formula>
    </cfRule>
  </conditionalFormatting>
  <conditionalFormatting sqref="B71:C71">
    <cfRule type="notContainsBlanks" dxfId="26" priority="33" stopIfTrue="1">
      <formula>LEN(TRIM(B71))&gt;0</formula>
    </cfRule>
  </conditionalFormatting>
  <conditionalFormatting sqref="B80:C80 B89:C89 B98:C98">
    <cfRule type="notContainsBlanks" dxfId="25" priority="32" stopIfTrue="1">
      <formula>LEN(TRIM(B80))&gt;0</formula>
    </cfRule>
  </conditionalFormatting>
  <conditionalFormatting sqref="B107:C107 B116:C116 B125:C125 B134:C134">
    <cfRule type="notContainsBlanks" dxfId="24" priority="31" stopIfTrue="1">
      <formula>LEN(TRIM(B107))&gt;0</formula>
    </cfRule>
  </conditionalFormatting>
  <conditionalFormatting sqref="B143:C143 B152:C152 B161:C161 B170:C170">
    <cfRule type="notContainsBlanks" dxfId="23" priority="30" stopIfTrue="1">
      <formula>LEN(TRIM(B143))&gt;0</formula>
    </cfRule>
  </conditionalFormatting>
  <conditionalFormatting sqref="B179:C179 B188:C188 B197:C197 B206:C206">
    <cfRule type="notContainsBlanks" dxfId="22" priority="29" stopIfTrue="1">
      <formula>LEN(TRIM(B179))&gt;0</formula>
    </cfRule>
  </conditionalFormatting>
  <conditionalFormatting sqref="B215:C215 B224:C224 B233:C233">
    <cfRule type="notContainsBlanks" dxfId="21" priority="28" stopIfTrue="1">
      <formula>LEN(TRIM(B215))&gt;0</formula>
    </cfRule>
  </conditionalFormatting>
  <conditionalFormatting sqref="B242:C242 B251:C251 B260:C260 B269:C269">
    <cfRule type="notContainsBlanks" dxfId="20" priority="27" stopIfTrue="1">
      <formula>LEN(TRIM(B242))&gt;0</formula>
    </cfRule>
  </conditionalFormatting>
  <conditionalFormatting sqref="B278:C278 B287:C287">
    <cfRule type="notContainsBlanks" dxfId="19" priority="26" stopIfTrue="1">
      <formula>LEN(TRIM(B278))&gt;0</formula>
    </cfRule>
  </conditionalFormatting>
  <conditionalFormatting sqref="B35:C35 B44:C44 B53:C53 B62:C62 B71:C71 B80:C80 B89:C89 B98:C98 B107:C107">
    <cfRule type="notContainsBlanks" dxfId="18" priority="25" stopIfTrue="1">
      <formula>LEN(TRIM(B35))&gt;0</formula>
    </cfRule>
  </conditionalFormatting>
  <conditionalFormatting sqref="B116:C116 B125:C125">
    <cfRule type="notContainsBlanks" dxfId="17" priority="24" stopIfTrue="1">
      <formula>LEN(TRIM(B116))&gt;0</formula>
    </cfRule>
  </conditionalFormatting>
  <conditionalFormatting sqref="B134:C134 B143:C143 B152:C152">
    <cfRule type="notContainsBlanks" dxfId="16" priority="23" stopIfTrue="1">
      <formula>LEN(TRIM(B134))&gt;0</formula>
    </cfRule>
  </conditionalFormatting>
  <conditionalFormatting sqref="B161:C161 B170:C170 B179:C179">
    <cfRule type="notContainsBlanks" dxfId="15" priority="22" stopIfTrue="1">
      <formula>LEN(TRIM(B161))&gt;0</formula>
    </cfRule>
  </conditionalFormatting>
  <conditionalFormatting sqref="B188:C188 B197:C197">
    <cfRule type="notContainsBlanks" dxfId="14" priority="21" stopIfTrue="1">
      <formula>LEN(TRIM(B188))&gt;0</formula>
    </cfRule>
  </conditionalFormatting>
  <conditionalFormatting sqref="B206:C206 B215:C215 B224:C224 B233:C233">
    <cfRule type="notContainsBlanks" dxfId="13" priority="20" stopIfTrue="1">
      <formula>LEN(TRIM(B206))&gt;0</formula>
    </cfRule>
  </conditionalFormatting>
  <conditionalFormatting sqref="B242:C242 B251:C251 B260:C260 B269:C269">
    <cfRule type="notContainsBlanks" dxfId="12" priority="19" stopIfTrue="1">
      <formula>LEN(TRIM(B242))&gt;0</formula>
    </cfRule>
  </conditionalFormatting>
  <conditionalFormatting sqref="B278:C278 B287:C287">
    <cfRule type="notContainsBlanks" dxfId="11" priority="18" stopIfTrue="1">
      <formula>LEN(TRIM(B278))&gt;0</formula>
    </cfRule>
  </conditionalFormatting>
  <conditionalFormatting sqref="C18">
    <cfRule type="notContainsBlanks" dxfId="10" priority="17" stopIfTrue="1">
      <formula>LEN(TRIM(C18))&gt;0</formula>
    </cfRule>
  </conditionalFormatting>
  <conditionalFormatting sqref="D12">
    <cfRule type="notContainsBlanks" dxfId="9" priority="16" stopIfTrue="1">
      <formula>LEN(TRIM(D12))&gt;0</formula>
    </cfRule>
  </conditionalFormatting>
  <conditionalFormatting sqref="D13:D18">
    <cfRule type="notContainsBlanks" dxfId="8" priority="15" stopIfTrue="1">
      <formula>LEN(TRIM(D13))&gt;0</formula>
    </cfRule>
  </conditionalFormatting>
  <conditionalFormatting sqref="C12:C17">
    <cfRule type="notContainsBlanks" dxfId="7" priority="14" stopIfTrue="1">
      <formula>LEN(TRIM(C12))&gt;0</formula>
    </cfRule>
  </conditionalFormatting>
  <conditionalFormatting sqref="C16">
    <cfRule type="notContainsBlanks" dxfId="6" priority="13" stopIfTrue="1">
      <formula>LEN(TRIM(C16))&gt;0</formula>
    </cfRule>
  </conditionalFormatting>
  <conditionalFormatting sqref="C18">
    <cfRule type="notContainsBlanks" dxfId="5" priority="12" stopIfTrue="1">
      <formula>LEN(TRIM(C18))&gt;0</formula>
    </cfRule>
  </conditionalFormatting>
  <conditionalFormatting sqref="D12">
    <cfRule type="notContainsBlanks" dxfId="4" priority="11" stopIfTrue="1">
      <formula>LEN(TRIM(D12))&gt;0</formula>
    </cfRule>
  </conditionalFormatting>
  <conditionalFormatting sqref="D13:D18">
    <cfRule type="notContainsBlanks" dxfId="3" priority="10" stopIfTrue="1">
      <formula>LEN(TRIM(D13))&gt;0</formula>
    </cfRule>
  </conditionalFormatting>
  <conditionalFormatting sqref="E12">
    <cfRule type="notContainsBlanks" dxfId="2" priority="9" stopIfTrue="1">
      <formula>LEN(TRIM(E12))&gt;0</formula>
    </cfRule>
  </conditionalFormatting>
  <conditionalFormatting sqref="E17">
    <cfRule type="notContainsBlanks" dxfId="1" priority="4" stopIfTrue="1">
      <formula>LEN(TRIM(E17))&gt;0</formula>
    </cfRule>
  </conditionalFormatting>
  <conditionalFormatting sqref="G25:G285">
    <cfRule type="notContainsBlanks" dxfId="0" priority="3" stopIfTrue="1">
      <formula>LEN(TRIM(G25))&gt;0</formula>
    </cfRule>
  </conditionalFormatting>
  <pageMargins left="0.511811024" right="0.511811024" top="0.78740157499999996" bottom="0.78740157499999996" header="0.31496062000000002" footer="0.31496062000000002"/>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C9"/>
  <sheetViews>
    <sheetView workbookViewId="0">
      <selection activeCell="G13" sqref="G13"/>
    </sheetView>
  </sheetViews>
  <sheetFormatPr defaultRowHeight="12.75" x14ac:dyDescent="0.2"/>
  <cols>
    <col min="1" max="1" width="28.28515625" customWidth="1"/>
  </cols>
  <sheetData>
    <row r="1" spans="1:3" ht="35.25" thickBot="1" x14ac:dyDescent="0.5">
      <c r="A1" s="197" t="s">
        <v>29</v>
      </c>
      <c r="B1" s="589"/>
      <c r="C1" s="588"/>
    </row>
    <row r="2" spans="1:3" ht="35.25" thickBot="1" x14ac:dyDescent="0.25">
      <c r="A2" s="200" t="s">
        <v>109</v>
      </c>
      <c r="B2" s="589"/>
      <c r="C2" s="588"/>
    </row>
    <row r="3" spans="1:3" ht="18" x14ac:dyDescent="0.25">
      <c r="A3" s="3" t="s">
        <v>105</v>
      </c>
    </row>
    <row r="5" spans="1:3" x14ac:dyDescent="0.2">
      <c r="A5" s="4" t="s">
        <v>106</v>
      </c>
    </row>
    <row r="7" spans="1:3" x14ac:dyDescent="0.2">
      <c r="A7" t="s">
        <v>107</v>
      </c>
    </row>
    <row r="9" spans="1:3" x14ac:dyDescent="0.2">
      <c r="A9" t="s">
        <v>108</v>
      </c>
    </row>
  </sheetData>
  <mergeCells count="2">
    <mergeCell ref="B1:C1"/>
    <mergeCell ref="B2:C2"/>
  </mergeCell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C2"/>
  <sheetViews>
    <sheetView workbookViewId="0">
      <selection activeCell="C13" sqref="C13"/>
    </sheetView>
  </sheetViews>
  <sheetFormatPr defaultRowHeight="12.75" x14ac:dyDescent="0.2"/>
  <cols>
    <col min="1" max="1" width="28.7109375" bestFit="1" customWidth="1"/>
  </cols>
  <sheetData>
    <row r="1" spans="1:3" ht="35.25" thickBot="1" x14ac:dyDescent="0.5">
      <c r="A1" s="197" t="s">
        <v>29</v>
      </c>
      <c r="B1" s="589"/>
      <c r="C1" s="588"/>
    </row>
    <row r="2" spans="1:3" ht="35.25" thickBot="1" x14ac:dyDescent="0.25">
      <c r="A2" s="200" t="s">
        <v>109</v>
      </c>
      <c r="B2" s="589"/>
      <c r="C2" s="588"/>
    </row>
  </sheetData>
  <mergeCells count="2">
    <mergeCell ref="B1:C1"/>
    <mergeCell ref="B2:C2"/>
  </mergeCells>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U67"/>
  <sheetViews>
    <sheetView workbookViewId="0">
      <selection activeCell="C2" sqref="C2:G3"/>
    </sheetView>
  </sheetViews>
  <sheetFormatPr defaultRowHeight="12.75" x14ac:dyDescent="0.2"/>
  <cols>
    <col min="1" max="1" width="12.42578125" bestFit="1" customWidth="1"/>
    <col min="2" max="2" width="12.7109375" bestFit="1" customWidth="1"/>
    <col min="3" max="7" width="12" bestFit="1" customWidth="1"/>
    <col min="15" max="15" width="17.5703125" customWidth="1"/>
    <col min="21" max="21" width="9.140625" style="316"/>
  </cols>
  <sheetData>
    <row r="1" spans="1:21" x14ac:dyDescent="0.2">
      <c r="A1" t="s">
        <v>166</v>
      </c>
      <c r="B1" t="s">
        <v>167</v>
      </c>
      <c r="C1" t="s">
        <v>168</v>
      </c>
      <c r="D1" t="s">
        <v>169</v>
      </c>
      <c r="E1" t="s">
        <v>170</v>
      </c>
      <c r="F1" t="s">
        <v>171</v>
      </c>
      <c r="G1" t="s">
        <v>172</v>
      </c>
    </row>
    <row r="2" spans="1:21" x14ac:dyDescent="0.2">
      <c r="A2" s="315" t="s">
        <v>173</v>
      </c>
      <c r="B2" s="315" t="s">
        <v>175</v>
      </c>
      <c r="C2" s="315">
        <v>1744.6596119999999</v>
      </c>
      <c r="D2" s="315">
        <v>1739.240939</v>
      </c>
      <c r="E2" s="315">
        <v>1755.91842</v>
      </c>
      <c r="F2" s="315">
        <v>1719.075758</v>
      </c>
      <c r="G2" s="315">
        <v>1745.157886</v>
      </c>
      <c r="H2">
        <f>AVERAGE(B2:G2)</f>
        <v>1740.8105230000001</v>
      </c>
      <c r="O2" s="4" t="s">
        <v>198</v>
      </c>
      <c r="P2" s="4" t="s">
        <v>199</v>
      </c>
      <c r="Q2" s="4" t="s">
        <v>200</v>
      </c>
      <c r="R2" s="4" t="s">
        <v>201</v>
      </c>
      <c r="S2" s="4" t="s">
        <v>202</v>
      </c>
      <c r="T2" s="4" t="s">
        <v>203</v>
      </c>
      <c r="U2" s="316" t="s">
        <v>204</v>
      </c>
    </row>
    <row r="3" spans="1:21" x14ac:dyDescent="0.2">
      <c r="A3" t="s">
        <v>176</v>
      </c>
      <c r="B3" t="s">
        <v>175</v>
      </c>
      <c r="C3">
        <v>461013.62439999997</v>
      </c>
      <c r="D3">
        <v>470672.85930000001</v>
      </c>
      <c r="E3">
        <v>470804.5748</v>
      </c>
      <c r="F3">
        <v>470077.8248</v>
      </c>
      <c r="G3">
        <v>473742.89079999999</v>
      </c>
      <c r="I3">
        <f t="shared" ref="I3:M8" si="0">C3-$H$2</f>
        <v>459272.81387699995</v>
      </c>
      <c r="J3">
        <f t="shared" si="0"/>
        <v>468932.04877699999</v>
      </c>
      <c r="K3">
        <f t="shared" si="0"/>
        <v>469063.76427699998</v>
      </c>
      <c r="L3">
        <f t="shared" si="0"/>
        <v>468337.01427699998</v>
      </c>
      <c r="M3">
        <f t="shared" si="0"/>
        <v>472002.08027699997</v>
      </c>
      <c r="O3" t="str">
        <f t="shared" ref="O3:O34" si="1">A3</f>
        <v>P1</v>
      </c>
      <c r="P3">
        <f t="shared" ref="P3:T10" si="2">IFERROR(I3/I36,"")</f>
        <v>0.50660550681220984</v>
      </c>
      <c r="Q3">
        <f t="shared" si="2"/>
        <v>0.51450644057132633</v>
      </c>
      <c r="R3">
        <f t="shared" si="2"/>
        <v>0.51446822924389901</v>
      </c>
      <c r="S3">
        <f t="shared" si="2"/>
        <v>0.51247112418166596</v>
      </c>
      <c r="T3">
        <f t="shared" si="2"/>
        <v>0.51411684447154071</v>
      </c>
      <c r="U3" s="316">
        <f>IFERROR(_xlfn.STDEV.S(P3:T3)/AVERAGE(P3:T3)*100,"")</f>
        <v>0.65627067193548083</v>
      </c>
    </row>
    <row r="4" spans="1:21" x14ac:dyDescent="0.2">
      <c r="A4" t="s">
        <v>177</v>
      </c>
      <c r="B4" t="s">
        <v>175</v>
      </c>
      <c r="C4">
        <v>663116.73510000005</v>
      </c>
      <c r="D4">
        <v>663790.65419999999</v>
      </c>
      <c r="E4">
        <v>659472.79680000001</v>
      </c>
      <c r="F4">
        <v>666720.0845</v>
      </c>
      <c r="G4">
        <v>663099.60730000003</v>
      </c>
      <c r="I4">
        <f t="shared" si="0"/>
        <v>661375.92457700009</v>
      </c>
      <c r="J4">
        <f t="shared" si="0"/>
        <v>662049.84367700003</v>
      </c>
      <c r="K4">
        <f t="shared" si="0"/>
        <v>657731.98627700005</v>
      </c>
      <c r="L4">
        <f t="shared" si="0"/>
        <v>664979.27397700003</v>
      </c>
      <c r="M4">
        <f t="shared" si="0"/>
        <v>661358.79677700007</v>
      </c>
      <c r="O4" t="str">
        <f t="shared" si="1"/>
        <v>P2</v>
      </c>
      <c r="P4">
        <f t="shared" si="2"/>
        <v>0.7267984616097356</v>
      </c>
      <c r="Q4">
        <f t="shared" si="2"/>
        <v>0.72554118109298571</v>
      </c>
      <c r="R4">
        <f t="shared" si="2"/>
        <v>0.71783410826821681</v>
      </c>
      <c r="S4">
        <f t="shared" si="2"/>
        <v>0.72354036741122885</v>
      </c>
      <c r="T4">
        <f t="shared" si="2"/>
        <v>0.72014752247368019</v>
      </c>
      <c r="U4" s="316">
        <f t="shared" ref="U4:U34" si="3">IFERROR(_xlfn.STDEV.S(P4:T4)/AVERAGE(P4:T4)*100,"")</f>
        <v>0.51648651807556156</v>
      </c>
    </row>
    <row r="5" spans="1:21" x14ac:dyDescent="0.2">
      <c r="A5" t="s">
        <v>178</v>
      </c>
      <c r="B5" t="s">
        <v>175</v>
      </c>
      <c r="C5">
        <v>876400.99750000006</v>
      </c>
      <c r="D5">
        <v>892688.66509999998</v>
      </c>
      <c r="E5">
        <v>885199.04220000003</v>
      </c>
      <c r="F5">
        <v>885583.3443</v>
      </c>
      <c r="G5">
        <v>880181.38670000003</v>
      </c>
      <c r="I5">
        <f t="shared" si="0"/>
        <v>874660.18697700009</v>
      </c>
      <c r="J5">
        <f t="shared" si="0"/>
        <v>890947.85457700002</v>
      </c>
      <c r="K5">
        <f t="shared" si="0"/>
        <v>883458.23167700006</v>
      </c>
      <c r="L5">
        <f t="shared" si="0"/>
        <v>883842.53377700003</v>
      </c>
      <c r="M5">
        <f t="shared" si="0"/>
        <v>878440.57617700007</v>
      </c>
      <c r="O5" t="str">
        <f t="shared" si="1"/>
        <v>P3</v>
      </c>
      <c r="P5">
        <f t="shared" si="2"/>
        <v>0.97621115626946198</v>
      </c>
      <c r="Q5">
        <f t="shared" si="2"/>
        <v>0.98844819633912673</v>
      </c>
      <c r="R5">
        <f t="shared" si="2"/>
        <v>0.98132617966739533</v>
      </c>
      <c r="S5">
        <f t="shared" si="2"/>
        <v>0.97889945386427679</v>
      </c>
      <c r="T5">
        <f t="shared" si="2"/>
        <v>0.97319584702113726</v>
      </c>
      <c r="U5" s="316">
        <f t="shared" si="3"/>
        <v>0.59140202177724499</v>
      </c>
    </row>
    <row r="6" spans="1:21" x14ac:dyDescent="0.2">
      <c r="A6" t="s">
        <v>179</v>
      </c>
      <c r="B6" t="s">
        <v>175</v>
      </c>
      <c r="C6">
        <v>1108735.328</v>
      </c>
      <c r="D6">
        <v>1113413.24</v>
      </c>
      <c r="E6">
        <v>1121060.5249999999</v>
      </c>
      <c r="F6">
        <v>1112542.1850000001</v>
      </c>
      <c r="G6">
        <v>1120108.8799999999</v>
      </c>
      <c r="I6">
        <f t="shared" si="0"/>
        <v>1106994.5174769999</v>
      </c>
      <c r="J6">
        <f t="shared" si="0"/>
        <v>1111672.4294769999</v>
      </c>
      <c r="K6">
        <f t="shared" si="0"/>
        <v>1119319.7144769998</v>
      </c>
      <c r="L6">
        <f t="shared" si="0"/>
        <v>1110801.374477</v>
      </c>
      <c r="M6">
        <f t="shared" si="0"/>
        <v>1118368.0694769998</v>
      </c>
      <c r="O6" t="str">
        <f t="shared" si="1"/>
        <v>P4</v>
      </c>
      <c r="P6">
        <f t="shared" si="2"/>
        <v>1.224142906833076</v>
      </c>
      <c r="Q6">
        <f t="shared" si="2"/>
        <v>1.2247903778367455</v>
      </c>
      <c r="R6">
        <f t="shared" si="2"/>
        <v>1.224770978041174</v>
      </c>
      <c r="S6">
        <f t="shared" si="2"/>
        <v>1.2215202849253981</v>
      </c>
      <c r="T6">
        <f t="shared" si="2"/>
        <v>1.2304607831078216</v>
      </c>
      <c r="U6" s="316">
        <f t="shared" si="3"/>
        <v>0.26657807664036842</v>
      </c>
    </row>
    <row r="7" spans="1:21" x14ac:dyDescent="0.2">
      <c r="A7" t="s">
        <v>180</v>
      </c>
      <c r="B7" t="s">
        <v>175</v>
      </c>
      <c r="C7">
        <v>1200981.8810000001</v>
      </c>
      <c r="D7">
        <v>1214823.9040000001</v>
      </c>
      <c r="E7">
        <v>1212000.1100000001</v>
      </c>
      <c r="F7">
        <v>1225937.757</v>
      </c>
      <c r="G7">
        <v>1215415.753</v>
      </c>
      <c r="I7">
        <f t="shared" si="0"/>
        <v>1199241.070477</v>
      </c>
      <c r="J7">
        <f t="shared" si="0"/>
        <v>1213083.093477</v>
      </c>
      <c r="K7">
        <f t="shared" si="0"/>
        <v>1210259.299477</v>
      </c>
      <c r="L7">
        <f t="shared" si="0"/>
        <v>1224196.9464769999</v>
      </c>
      <c r="M7">
        <f t="shared" si="0"/>
        <v>1213674.9424769999</v>
      </c>
      <c r="O7" t="str">
        <f t="shared" si="1"/>
        <v>P5</v>
      </c>
      <c r="P7">
        <f t="shared" si="2"/>
        <v>1.3499876380931957</v>
      </c>
      <c r="Q7">
        <f t="shared" si="2"/>
        <v>1.3562683150961876</v>
      </c>
      <c r="R7">
        <f t="shared" si="2"/>
        <v>1.3508917261663997</v>
      </c>
      <c r="S7">
        <f t="shared" si="2"/>
        <v>1.3617219761693902</v>
      </c>
      <c r="T7">
        <f t="shared" si="2"/>
        <v>1.3544852247488413</v>
      </c>
      <c r="U7" s="316">
        <f t="shared" si="3"/>
        <v>0.34725969900758502</v>
      </c>
    </row>
    <row r="8" spans="1:21" x14ac:dyDescent="0.2">
      <c r="A8" t="s">
        <v>181</v>
      </c>
      <c r="B8" t="s">
        <v>175</v>
      </c>
      <c r="C8">
        <v>1384205.9040000001</v>
      </c>
      <c r="D8">
        <v>1400673.2390000001</v>
      </c>
      <c r="E8">
        <v>1404586.077</v>
      </c>
      <c r="F8">
        <v>1401684.0959999999</v>
      </c>
      <c r="G8">
        <v>1395129.0460000001</v>
      </c>
      <c r="I8">
        <f t="shared" si="0"/>
        <v>1382465.093477</v>
      </c>
      <c r="J8">
        <f t="shared" si="0"/>
        <v>1398932.428477</v>
      </c>
      <c r="K8">
        <f t="shared" si="0"/>
        <v>1402845.266477</v>
      </c>
      <c r="L8">
        <f t="shared" si="0"/>
        <v>1399943.2854769998</v>
      </c>
      <c r="M8">
        <f t="shared" si="0"/>
        <v>1393388.235477</v>
      </c>
      <c r="O8" t="str">
        <f t="shared" si="1"/>
        <v>P6</v>
      </c>
      <c r="P8">
        <f t="shared" si="2"/>
        <v>1.5645780472962152</v>
      </c>
      <c r="Q8">
        <f t="shared" si="2"/>
        <v>1.5699022151998057</v>
      </c>
      <c r="R8">
        <f t="shared" si="2"/>
        <v>1.5749108581381925</v>
      </c>
      <c r="S8">
        <f t="shared" si="2"/>
        <v>1.5676977509264711</v>
      </c>
      <c r="T8">
        <f t="shared" si="2"/>
        <v>1.5654133496713689</v>
      </c>
      <c r="U8" s="316">
        <f t="shared" si="3"/>
        <v>0.26406114254689816</v>
      </c>
    </row>
    <row r="9" spans="1:21" x14ac:dyDescent="0.2">
      <c r="A9" s="315" t="s">
        <v>182</v>
      </c>
      <c r="B9" s="315" t="s">
        <v>175</v>
      </c>
      <c r="C9" s="315">
        <v>1861.3947410000001</v>
      </c>
      <c r="D9" s="315">
        <v>1819.678582</v>
      </c>
      <c r="E9" s="315">
        <v>1780.922264</v>
      </c>
      <c r="F9" s="315">
        <v>1783.1892740000001</v>
      </c>
      <c r="G9" s="315">
        <v>1804.3228240000001</v>
      </c>
      <c r="H9">
        <f>AVERAGE(B9:G9)</f>
        <v>1809.9015370000002</v>
      </c>
      <c r="O9" t="str">
        <f t="shared" si="1"/>
        <v>BRanco</v>
      </c>
      <c r="P9" t="str">
        <f t="shared" si="2"/>
        <v/>
      </c>
      <c r="Q9" t="str">
        <f t="shared" si="2"/>
        <v/>
      </c>
      <c r="R9" t="str">
        <f t="shared" si="2"/>
        <v/>
      </c>
      <c r="S9" t="str">
        <f t="shared" si="2"/>
        <v/>
      </c>
      <c r="T9" t="str">
        <f t="shared" si="2"/>
        <v/>
      </c>
      <c r="U9" s="316" t="str">
        <f t="shared" si="3"/>
        <v/>
      </c>
    </row>
    <row r="10" spans="1:21" x14ac:dyDescent="0.2">
      <c r="A10" t="s">
        <v>183</v>
      </c>
      <c r="B10" t="s">
        <v>175</v>
      </c>
      <c r="C10">
        <v>926097.72149999999</v>
      </c>
      <c r="D10">
        <v>936848.48580000002</v>
      </c>
      <c r="E10">
        <v>935686.446</v>
      </c>
      <c r="F10">
        <v>944374.89320000005</v>
      </c>
      <c r="G10">
        <v>937698.55729999999</v>
      </c>
      <c r="I10">
        <f>C10-$H$9</f>
        <v>924287.81996300002</v>
      </c>
      <c r="J10">
        <f t="shared" ref="J10:M10" si="4">D10-$H$9</f>
        <v>935038.58426300006</v>
      </c>
      <c r="K10">
        <f t="shared" si="4"/>
        <v>933876.54446300003</v>
      </c>
      <c r="L10">
        <f t="shared" si="4"/>
        <v>942564.99166300008</v>
      </c>
      <c r="M10">
        <f t="shared" si="4"/>
        <v>935888.65576300002</v>
      </c>
      <c r="O10" t="str">
        <f t="shared" si="1"/>
        <v>Controle</v>
      </c>
      <c r="P10">
        <f t="shared" si="2"/>
        <v>1.0115766957873238</v>
      </c>
      <c r="Q10">
        <f t="shared" si="2"/>
        <v>1.020778696887606</v>
      </c>
      <c r="R10">
        <f t="shared" si="2"/>
        <v>1.0164825839325022</v>
      </c>
      <c r="S10">
        <f t="shared" si="2"/>
        <v>1.0242008651749956</v>
      </c>
      <c r="T10">
        <f t="shared" si="2"/>
        <v>1.0152004014956577</v>
      </c>
      <c r="U10" s="316">
        <f t="shared" si="3"/>
        <v>0.4837807361493151</v>
      </c>
    </row>
    <row r="11" spans="1:21" x14ac:dyDescent="0.2">
      <c r="A11" t="s">
        <v>184</v>
      </c>
      <c r="B11" t="s">
        <v>175</v>
      </c>
      <c r="C11">
        <v>1837.5658800000001</v>
      </c>
      <c r="D11">
        <v>1838.7711609999999</v>
      </c>
      <c r="E11">
        <v>1791.6935080000001</v>
      </c>
      <c r="F11">
        <v>1718.746165</v>
      </c>
      <c r="G11">
        <v>1768.0297350000001</v>
      </c>
      <c r="I11">
        <f t="shared" ref="I11:I13" si="5">C11-$H$9</f>
        <v>27.664342999999917</v>
      </c>
      <c r="J11">
        <f t="shared" ref="J11:J13" si="6">D11-$H$9</f>
        <v>28.869623999999703</v>
      </c>
      <c r="K11">
        <f t="shared" ref="K11:K13" si="7">E11-$H$9</f>
        <v>-18.208029000000124</v>
      </c>
      <c r="L11">
        <f t="shared" ref="L11:L13" si="8">F11-$H$9</f>
        <v>-91.15537200000017</v>
      </c>
      <c r="M11">
        <f t="shared" ref="M11:M13" si="9">G11-$H$9</f>
        <v>-41.871802000000116</v>
      </c>
      <c r="O11" t="str">
        <f t="shared" si="1"/>
        <v>BR</v>
      </c>
    </row>
    <row r="12" spans="1:21" x14ac:dyDescent="0.2">
      <c r="A12" t="s">
        <v>185</v>
      </c>
      <c r="B12" t="s">
        <v>175</v>
      </c>
      <c r="C12">
        <v>911203.95680000004</v>
      </c>
      <c r="D12">
        <v>924178.72869999998</v>
      </c>
      <c r="E12">
        <v>930915.77879999997</v>
      </c>
      <c r="F12">
        <v>931739.32330000005</v>
      </c>
      <c r="G12">
        <v>923881.86589999998</v>
      </c>
      <c r="I12">
        <f t="shared" si="5"/>
        <v>909394.05526300007</v>
      </c>
      <c r="J12">
        <f t="shared" si="6"/>
        <v>922368.82716300001</v>
      </c>
      <c r="K12">
        <f t="shared" si="7"/>
        <v>929105.877263</v>
      </c>
      <c r="L12">
        <f t="shared" si="8"/>
        <v>929929.42176300008</v>
      </c>
      <c r="M12">
        <f t="shared" si="9"/>
        <v>922071.96436300001</v>
      </c>
      <c r="O12" t="str">
        <f t="shared" si="1"/>
        <v>WS 29-1</v>
      </c>
      <c r="P12">
        <f t="shared" ref="P12:P34" si="10">IFERROR(I12/I45,"")</f>
        <v>1.0099011094274162</v>
      </c>
      <c r="Q12">
        <f t="shared" ref="Q12:Q34" si="11">IFERROR(J12/J45,"")</f>
        <v>1.0102661549731113</v>
      </c>
      <c r="R12">
        <f t="shared" ref="R12:R34" si="12">IFERROR(K12/K45,"")</f>
        <v>1.0151648822107766</v>
      </c>
      <c r="S12">
        <f t="shared" ref="S12:S34" si="13">IFERROR(L12/L45,"")</f>
        <v>1.0193962501908831</v>
      </c>
      <c r="T12">
        <f t="shared" ref="T12:T34" si="14">IFERROR(M12/M45,"")</f>
        <v>1.0145184660358078</v>
      </c>
      <c r="U12" s="316">
        <f t="shared" si="3"/>
        <v>0.38635804606282381</v>
      </c>
    </row>
    <row r="13" spans="1:21" x14ac:dyDescent="0.2">
      <c r="A13" t="s">
        <v>186</v>
      </c>
      <c r="B13" t="s">
        <v>175</v>
      </c>
      <c r="C13">
        <v>926164.16570000001</v>
      </c>
      <c r="D13">
        <v>930796.44620000001</v>
      </c>
      <c r="E13">
        <v>936399.22759999998</v>
      </c>
      <c r="F13">
        <v>935166.61159999995</v>
      </c>
      <c r="G13">
        <v>926127.49109999998</v>
      </c>
      <c r="I13">
        <f t="shared" si="5"/>
        <v>924354.26416300004</v>
      </c>
      <c r="J13">
        <f t="shared" si="6"/>
        <v>928986.54466300004</v>
      </c>
      <c r="K13">
        <f t="shared" si="7"/>
        <v>934589.32606300001</v>
      </c>
      <c r="L13">
        <f t="shared" si="8"/>
        <v>933356.71006299998</v>
      </c>
      <c r="M13">
        <f t="shared" si="9"/>
        <v>924317.58956300002</v>
      </c>
      <c r="O13" t="str">
        <f t="shared" si="1"/>
        <v>WS 29-2</v>
      </c>
      <c r="P13">
        <f t="shared" si="10"/>
        <v>1.0154831032018172</v>
      </c>
      <c r="Q13">
        <f t="shared" si="11"/>
        <v>1.0202671400680023</v>
      </c>
      <c r="R13">
        <f t="shared" si="12"/>
        <v>1.019200844536124</v>
      </c>
      <c r="S13">
        <f t="shared" si="13"/>
        <v>1.0206837364980073</v>
      </c>
      <c r="T13">
        <f t="shared" si="14"/>
        <v>1.0108055048978275</v>
      </c>
      <c r="U13" s="316">
        <f t="shared" si="3"/>
        <v>0.40929433441513369</v>
      </c>
    </row>
    <row r="14" spans="1:21" x14ac:dyDescent="0.2">
      <c r="A14" s="315" t="s">
        <v>182</v>
      </c>
      <c r="B14" s="315" t="s">
        <v>175</v>
      </c>
      <c r="C14" s="315">
        <v>1820.3350479999999</v>
      </c>
      <c r="D14" s="315">
        <v>1770.08311</v>
      </c>
      <c r="E14" s="315">
        <v>1837.1288079999999</v>
      </c>
      <c r="F14" s="315">
        <v>1774.9826929999999</v>
      </c>
      <c r="G14" s="315">
        <v>1803.259961</v>
      </c>
      <c r="H14">
        <f>AVERAGE(B14:G14)</f>
        <v>1801.1579239999999</v>
      </c>
      <c r="O14" t="str">
        <f t="shared" si="1"/>
        <v>BRanco</v>
      </c>
      <c r="P14" t="str">
        <f t="shared" si="10"/>
        <v/>
      </c>
      <c r="Q14" t="str">
        <f t="shared" si="11"/>
        <v/>
      </c>
      <c r="R14" t="str">
        <f t="shared" si="12"/>
        <v/>
      </c>
      <c r="S14" t="str">
        <f t="shared" si="13"/>
        <v/>
      </c>
      <c r="T14" t="str">
        <f t="shared" si="14"/>
        <v/>
      </c>
      <c r="U14" s="316" t="str">
        <f t="shared" si="3"/>
        <v/>
      </c>
    </row>
    <row r="15" spans="1:21" x14ac:dyDescent="0.2">
      <c r="A15" t="s">
        <v>183</v>
      </c>
      <c r="B15" t="s">
        <v>175</v>
      </c>
      <c r="C15">
        <v>919735.24309999996</v>
      </c>
      <c r="D15">
        <v>923392.38950000005</v>
      </c>
      <c r="E15">
        <v>938957.65170000005</v>
      </c>
      <c r="F15">
        <v>931166.02870000002</v>
      </c>
      <c r="G15">
        <v>933191.52720000001</v>
      </c>
      <c r="I15">
        <f>C15-$H$14</f>
        <v>917934.08517599991</v>
      </c>
      <c r="J15">
        <f t="shared" ref="J15:M15" si="15">D15-$H$14</f>
        <v>921591.23157599999</v>
      </c>
      <c r="K15">
        <f t="shared" si="15"/>
        <v>937156.49377599999</v>
      </c>
      <c r="L15">
        <f t="shared" si="15"/>
        <v>929364.87077599997</v>
      </c>
      <c r="M15">
        <f t="shared" si="15"/>
        <v>931390.36927599995</v>
      </c>
      <c r="O15" t="str">
        <f t="shared" si="1"/>
        <v>Controle</v>
      </c>
      <c r="P15">
        <f t="shared" si="10"/>
        <v>1.0048015976605549</v>
      </c>
      <c r="Q15">
        <f t="shared" si="11"/>
        <v>1.0079197975109022</v>
      </c>
      <c r="R15">
        <f t="shared" si="12"/>
        <v>1.0146091168143199</v>
      </c>
      <c r="S15">
        <f t="shared" si="13"/>
        <v>1.0127981351625313</v>
      </c>
      <c r="T15">
        <f t="shared" si="14"/>
        <v>1.014733349770941</v>
      </c>
      <c r="U15" s="316">
        <f t="shared" si="3"/>
        <v>0.43707790110346023</v>
      </c>
    </row>
    <row r="16" spans="1:21" x14ac:dyDescent="0.2">
      <c r="A16" t="s">
        <v>187</v>
      </c>
      <c r="B16" t="s">
        <v>175</v>
      </c>
      <c r="C16">
        <v>917333.98490000004</v>
      </c>
      <c r="D16">
        <v>929002.13549999997</v>
      </c>
      <c r="E16">
        <v>929605.59820000001</v>
      </c>
      <c r="F16">
        <v>931170.00439999998</v>
      </c>
      <c r="G16">
        <v>925889.88769999996</v>
      </c>
      <c r="I16">
        <f t="shared" ref="I16:I18" si="16">C16-$H$14</f>
        <v>915532.82697599998</v>
      </c>
      <c r="J16">
        <f t="shared" ref="J16:J18" si="17">D16-$H$14</f>
        <v>927200.97757599992</v>
      </c>
      <c r="K16">
        <f t="shared" ref="K16:K18" si="18">E16-$H$14</f>
        <v>927804.44027599995</v>
      </c>
      <c r="L16">
        <f t="shared" ref="L16:L18" si="19">F16-$H$14</f>
        <v>929368.84647599992</v>
      </c>
      <c r="M16">
        <f t="shared" ref="M16:M18" si="20">G16-$H$14</f>
        <v>924088.72977599991</v>
      </c>
      <c r="O16" t="str">
        <f t="shared" si="1"/>
        <v>WS 57-1</v>
      </c>
      <c r="P16">
        <f t="shared" si="10"/>
        <v>1.0108016821622998</v>
      </c>
      <c r="Q16">
        <f t="shared" si="11"/>
        <v>1.017289997046948</v>
      </c>
      <c r="R16">
        <f t="shared" si="12"/>
        <v>1.0177624811767214</v>
      </c>
      <c r="S16">
        <f t="shared" si="13"/>
        <v>1.0178548001724999</v>
      </c>
      <c r="T16">
        <f t="shared" si="14"/>
        <v>1.011964034483253</v>
      </c>
      <c r="U16" s="316">
        <f t="shared" si="3"/>
        <v>0.34045424645546818</v>
      </c>
    </row>
    <row r="17" spans="1:21" x14ac:dyDescent="0.2">
      <c r="A17" t="s">
        <v>188</v>
      </c>
      <c r="B17" t="s">
        <v>175</v>
      </c>
      <c r="C17">
        <v>921656.37280000001</v>
      </c>
      <c r="D17">
        <v>924382.27500000002</v>
      </c>
      <c r="E17">
        <v>937699.31830000004</v>
      </c>
      <c r="F17">
        <v>932292.99369999999</v>
      </c>
      <c r="G17">
        <v>928996.43440000003</v>
      </c>
      <c r="I17">
        <f t="shared" si="16"/>
        <v>919855.21487599995</v>
      </c>
      <c r="J17">
        <f t="shared" si="17"/>
        <v>922581.11707599997</v>
      </c>
      <c r="K17">
        <f t="shared" si="18"/>
        <v>935898.16037599999</v>
      </c>
      <c r="L17">
        <f t="shared" si="19"/>
        <v>930491.83577599993</v>
      </c>
      <c r="M17">
        <f t="shared" si="20"/>
        <v>927195.27647599997</v>
      </c>
      <c r="O17" t="str">
        <f t="shared" si="1"/>
        <v>WS 57-2</v>
      </c>
      <c r="P17">
        <f t="shared" si="10"/>
        <v>1.0152128213247331</v>
      </c>
      <c r="Q17">
        <f t="shared" si="11"/>
        <v>1.0147953570820394</v>
      </c>
      <c r="R17">
        <f t="shared" si="12"/>
        <v>1.0240303798306747</v>
      </c>
      <c r="S17">
        <f t="shared" si="13"/>
        <v>1.0170798113327633</v>
      </c>
      <c r="T17">
        <f t="shared" si="14"/>
        <v>1.016362157597043</v>
      </c>
      <c r="U17" s="316">
        <f t="shared" si="3"/>
        <v>0.36990330579692898</v>
      </c>
    </row>
    <row r="18" spans="1:21" x14ac:dyDescent="0.2">
      <c r="A18" t="s">
        <v>189</v>
      </c>
      <c r="B18" t="s">
        <v>175</v>
      </c>
      <c r="C18">
        <v>909993.28130000003</v>
      </c>
      <c r="D18">
        <v>924371.17599999998</v>
      </c>
      <c r="E18">
        <v>926348.75390000001</v>
      </c>
      <c r="F18">
        <v>929459.10089999996</v>
      </c>
      <c r="G18">
        <v>927540.49919999996</v>
      </c>
      <c r="I18">
        <f t="shared" si="16"/>
        <v>908192.12337599997</v>
      </c>
      <c r="J18">
        <f t="shared" si="17"/>
        <v>922570.01807599992</v>
      </c>
      <c r="K18">
        <f t="shared" si="18"/>
        <v>924547.59597599995</v>
      </c>
      <c r="L18">
        <f t="shared" si="19"/>
        <v>927657.9429759999</v>
      </c>
      <c r="M18">
        <f t="shared" si="20"/>
        <v>925739.3412759999</v>
      </c>
      <c r="O18" t="str">
        <f t="shared" si="1"/>
        <v>WS 106-1</v>
      </c>
      <c r="P18">
        <f t="shared" si="10"/>
        <v>1.0069999354755876</v>
      </c>
      <c r="Q18">
        <f t="shared" si="11"/>
        <v>1.0169704536187933</v>
      </c>
      <c r="R18">
        <f t="shared" si="12"/>
        <v>1.0172527476299069</v>
      </c>
      <c r="S18">
        <f t="shared" si="13"/>
        <v>1.0191094658565318</v>
      </c>
      <c r="T18">
        <f t="shared" si="14"/>
        <v>1.0154480706288362</v>
      </c>
      <c r="U18" s="316">
        <f t="shared" si="3"/>
        <v>0.46706552809896251</v>
      </c>
    </row>
    <row r="19" spans="1:21" x14ac:dyDescent="0.2">
      <c r="A19" s="315" t="s">
        <v>182</v>
      </c>
      <c r="B19" s="315" t="s">
        <v>175</v>
      </c>
      <c r="C19" s="315">
        <v>1868.2783629999999</v>
      </c>
      <c r="D19" s="315">
        <v>1800.441133</v>
      </c>
      <c r="E19" s="315">
        <v>1817.8376699999999</v>
      </c>
      <c r="F19" s="315">
        <v>1838.097446</v>
      </c>
      <c r="G19" s="315">
        <v>1821.9994529999999</v>
      </c>
      <c r="H19">
        <f>AVERAGE(B19:G19)</f>
        <v>1829.3308129999998</v>
      </c>
      <c r="O19" t="str">
        <f t="shared" si="1"/>
        <v>BRanco</v>
      </c>
      <c r="P19" t="str">
        <f t="shared" si="10"/>
        <v/>
      </c>
      <c r="Q19" t="str">
        <f t="shared" si="11"/>
        <v/>
      </c>
      <c r="R19" t="str">
        <f t="shared" si="12"/>
        <v/>
      </c>
      <c r="S19" t="str">
        <f t="shared" si="13"/>
        <v/>
      </c>
      <c r="T19" t="str">
        <f t="shared" si="14"/>
        <v/>
      </c>
      <c r="U19" s="316" t="str">
        <f t="shared" si="3"/>
        <v/>
      </c>
    </row>
    <row r="20" spans="1:21" x14ac:dyDescent="0.2">
      <c r="A20" t="s">
        <v>183</v>
      </c>
      <c r="B20" t="s">
        <v>175</v>
      </c>
      <c r="C20">
        <v>929712.13859999995</v>
      </c>
      <c r="D20">
        <v>926537.64780000004</v>
      </c>
      <c r="E20">
        <v>930637.11060000001</v>
      </c>
      <c r="F20">
        <v>925061.72349999996</v>
      </c>
      <c r="G20">
        <v>934215.32369999995</v>
      </c>
      <c r="I20">
        <f>C20-$H$19</f>
        <v>927882.80778699997</v>
      </c>
      <c r="J20">
        <f t="shared" ref="J20:M20" si="21">D20-$H$19</f>
        <v>924708.31698700006</v>
      </c>
      <c r="K20">
        <f t="shared" si="21"/>
        <v>928807.77978700004</v>
      </c>
      <c r="L20">
        <f t="shared" si="21"/>
        <v>923232.39268699999</v>
      </c>
      <c r="M20">
        <f t="shared" si="21"/>
        <v>932385.99288699997</v>
      </c>
      <c r="O20" t="str">
        <f t="shared" si="1"/>
        <v>Controle</v>
      </c>
      <c r="P20">
        <f t="shared" si="10"/>
        <v>1.0181876121569833</v>
      </c>
      <c r="Q20">
        <f t="shared" si="11"/>
        <v>1.0109225609697692</v>
      </c>
      <c r="R20">
        <f t="shared" si="12"/>
        <v>1.0147506628490859</v>
      </c>
      <c r="S20">
        <f t="shared" si="13"/>
        <v>1.0094318892680834</v>
      </c>
      <c r="T20">
        <f t="shared" si="14"/>
        <v>1.0123639801520348</v>
      </c>
      <c r="U20" s="316">
        <f t="shared" si="3"/>
        <v>0.33956710412372676</v>
      </c>
    </row>
    <row r="21" spans="1:21" x14ac:dyDescent="0.2">
      <c r="A21" t="s">
        <v>190</v>
      </c>
      <c r="B21" t="s">
        <v>175</v>
      </c>
      <c r="C21">
        <v>923300.96010000003</v>
      </c>
      <c r="D21">
        <v>925073.76800000004</v>
      </c>
      <c r="E21">
        <v>928264.98430000001</v>
      </c>
      <c r="F21">
        <v>919696.87150000001</v>
      </c>
      <c r="G21">
        <v>927092.57090000005</v>
      </c>
      <c r="I21">
        <f t="shared" ref="I21:I23" si="22">C21-$H$19</f>
        <v>921471.62928700005</v>
      </c>
      <c r="J21">
        <f t="shared" ref="J21:J23" si="23">D21-$H$19</f>
        <v>923244.43718700006</v>
      </c>
      <c r="K21">
        <f t="shared" ref="K21:K23" si="24">E21-$H$19</f>
        <v>926435.65348700003</v>
      </c>
      <c r="L21">
        <f t="shared" ref="L21:L23" si="25">F21-$H$19</f>
        <v>917867.54068700003</v>
      </c>
      <c r="M21">
        <f t="shared" ref="M21:M23" si="26">G21-$H$19</f>
        <v>925263.24008700007</v>
      </c>
      <c r="O21" t="str">
        <f t="shared" si="1"/>
        <v>WS 106-2</v>
      </c>
      <c r="P21">
        <f t="shared" si="10"/>
        <v>1.0172668537885483</v>
      </c>
      <c r="Q21">
        <f t="shared" si="11"/>
        <v>1.0151700176862299</v>
      </c>
      <c r="R21">
        <f t="shared" si="12"/>
        <v>1.0168361815846971</v>
      </c>
      <c r="S21">
        <f t="shared" si="13"/>
        <v>1.0122620956878579</v>
      </c>
      <c r="T21">
        <f t="shared" si="14"/>
        <v>1.0184783150305956</v>
      </c>
      <c r="U21" s="316">
        <f t="shared" si="3"/>
        <v>0.23656268327378219</v>
      </c>
    </row>
    <row r="22" spans="1:21" x14ac:dyDescent="0.2">
      <c r="A22" t="s">
        <v>191</v>
      </c>
      <c r="B22" t="s">
        <v>175</v>
      </c>
      <c r="C22">
        <v>928021.74120000005</v>
      </c>
      <c r="D22">
        <v>944571.40049999999</v>
      </c>
      <c r="E22">
        <v>938646.24919999996</v>
      </c>
      <c r="F22">
        <v>937620.53289999999</v>
      </c>
      <c r="G22">
        <v>923243.821</v>
      </c>
      <c r="I22">
        <f t="shared" si="22"/>
        <v>926192.41038700007</v>
      </c>
      <c r="J22">
        <f t="shared" si="23"/>
        <v>942742.06968700001</v>
      </c>
      <c r="K22">
        <f t="shared" si="24"/>
        <v>936816.91838699998</v>
      </c>
      <c r="L22">
        <f t="shared" si="25"/>
        <v>935791.20208700001</v>
      </c>
      <c r="M22">
        <f t="shared" si="26"/>
        <v>921414.49018700002</v>
      </c>
      <c r="O22" t="str">
        <f t="shared" si="1"/>
        <v>WS CAL 10-2</v>
      </c>
      <c r="P22">
        <f t="shared" si="10"/>
        <v>1.0210869134430884</v>
      </c>
      <c r="Q22">
        <f t="shared" si="11"/>
        <v>1.0290470608885727</v>
      </c>
      <c r="R22">
        <f t="shared" si="12"/>
        <v>1.0216367120114485</v>
      </c>
      <c r="S22">
        <f t="shared" si="13"/>
        <v>1.0279066394615415</v>
      </c>
      <c r="T22">
        <f t="shared" si="14"/>
        <v>1.0128071957752072</v>
      </c>
      <c r="U22" s="316">
        <f t="shared" si="3"/>
        <v>0.63530035441319044</v>
      </c>
    </row>
    <row r="23" spans="1:21" x14ac:dyDescent="0.2">
      <c r="A23" t="s">
        <v>192</v>
      </c>
      <c r="B23" t="s">
        <v>175</v>
      </c>
      <c r="C23">
        <v>921491.62840000005</v>
      </c>
      <c r="D23">
        <v>932135.07680000004</v>
      </c>
      <c r="E23">
        <v>931821.68149999995</v>
      </c>
      <c r="F23">
        <v>923943.38989999995</v>
      </c>
      <c r="G23">
        <v>921491.84180000005</v>
      </c>
      <c r="I23">
        <f t="shared" si="22"/>
        <v>919662.29758700007</v>
      </c>
      <c r="J23">
        <f t="shared" si="23"/>
        <v>930305.74598700006</v>
      </c>
      <c r="K23">
        <f t="shared" si="24"/>
        <v>929992.35068699997</v>
      </c>
      <c r="L23">
        <f t="shared" si="25"/>
        <v>922114.05908699997</v>
      </c>
      <c r="M23">
        <f t="shared" si="26"/>
        <v>919662.51098700007</v>
      </c>
      <c r="O23" t="str">
        <f t="shared" si="1"/>
        <v>WS CAL 10-6</v>
      </c>
      <c r="P23">
        <f t="shared" si="10"/>
        <v>1.0106310858183125</v>
      </c>
      <c r="Q23">
        <f t="shared" si="11"/>
        <v>1.0169281318891426</v>
      </c>
      <c r="R23">
        <f t="shared" si="12"/>
        <v>1.0099281320143154</v>
      </c>
      <c r="S23">
        <f t="shared" si="13"/>
        <v>1.0089680325261694</v>
      </c>
      <c r="T23">
        <f t="shared" si="14"/>
        <v>1.0026404728085607</v>
      </c>
      <c r="U23" s="316">
        <f t="shared" si="3"/>
        <v>0.50364713972066599</v>
      </c>
    </row>
    <row r="24" spans="1:21" x14ac:dyDescent="0.2">
      <c r="A24" s="315" t="s">
        <v>182</v>
      </c>
      <c r="B24" s="315" t="s">
        <v>175</v>
      </c>
      <c r="C24" s="315">
        <v>1841.2331160000001</v>
      </c>
      <c r="D24" s="315">
        <v>1791.8786849999999</v>
      </c>
      <c r="E24" s="315">
        <v>1780.7747429999999</v>
      </c>
      <c r="F24" s="315">
        <v>1786.2682970000001</v>
      </c>
      <c r="G24" s="315">
        <v>1869.5684180000001</v>
      </c>
      <c r="H24">
        <f>AVERAGE(B24:G24)</f>
        <v>1813.9446518</v>
      </c>
      <c r="O24" t="str">
        <f t="shared" si="1"/>
        <v>BRanco</v>
      </c>
      <c r="P24" t="str">
        <f t="shared" si="10"/>
        <v/>
      </c>
      <c r="Q24" t="str">
        <f t="shared" si="11"/>
        <v/>
      </c>
      <c r="R24" t="str">
        <f t="shared" si="12"/>
        <v/>
      </c>
      <c r="S24" t="str">
        <f t="shared" si="13"/>
        <v/>
      </c>
      <c r="T24" t="str">
        <f t="shared" si="14"/>
        <v/>
      </c>
      <c r="U24" s="316" t="str">
        <f t="shared" si="3"/>
        <v/>
      </c>
    </row>
    <row r="25" spans="1:21" x14ac:dyDescent="0.2">
      <c r="A25" t="s">
        <v>183</v>
      </c>
      <c r="B25" t="s">
        <v>175</v>
      </c>
      <c r="C25">
        <v>927719.75699999998</v>
      </c>
      <c r="D25">
        <v>931828.32759999996</v>
      </c>
      <c r="E25">
        <v>946716.59299999999</v>
      </c>
      <c r="F25">
        <v>936738.10219999996</v>
      </c>
      <c r="G25">
        <v>945242.66749999998</v>
      </c>
      <c r="I25">
        <f>C25-$H$24</f>
        <v>925905.81234820001</v>
      </c>
      <c r="J25">
        <f t="shared" ref="J25:M25" si="27">D25-$H$24</f>
        <v>930014.38294819999</v>
      </c>
      <c r="K25">
        <f t="shared" si="27"/>
        <v>944902.64834820002</v>
      </c>
      <c r="L25">
        <f t="shared" si="27"/>
        <v>934924.15754819999</v>
      </c>
      <c r="M25">
        <f t="shared" si="27"/>
        <v>943428.72284820001</v>
      </c>
      <c r="O25" t="str">
        <f t="shared" si="1"/>
        <v>Controle</v>
      </c>
      <c r="P25">
        <f t="shared" si="10"/>
        <v>1.0135498949113309</v>
      </c>
      <c r="Q25">
        <f t="shared" si="11"/>
        <v>1.0109409791248127</v>
      </c>
      <c r="R25">
        <f t="shared" si="12"/>
        <v>1.0233643895318378</v>
      </c>
      <c r="S25">
        <f t="shared" si="13"/>
        <v>1.01453872408992</v>
      </c>
      <c r="T25">
        <f t="shared" si="14"/>
        <v>1.0231645948085535</v>
      </c>
      <c r="U25" s="316">
        <f t="shared" si="3"/>
        <v>0.56717872585978135</v>
      </c>
    </row>
    <row r="26" spans="1:21" x14ac:dyDescent="0.2">
      <c r="A26" t="s">
        <v>193</v>
      </c>
      <c r="B26" t="s">
        <v>175</v>
      </c>
      <c r="C26">
        <v>1197843.18</v>
      </c>
      <c r="D26">
        <v>1211457.402</v>
      </c>
      <c r="E26">
        <v>1210502.855</v>
      </c>
      <c r="F26">
        <v>1208998.4779999999</v>
      </c>
      <c r="G26">
        <v>1214360.121</v>
      </c>
      <c r="I26">
        <f t="shared" ref="I26:I27" si="28">C26-$H$24</f>
        <v>1196029.2353482</v>
      </c>
      <c r="J26">
        <f t="shared" ref="J26:J28" si="29">D26-$H$24</f>
        <v>1209643.4573482</v>
      </c>
      <c r="K26">
        <f t="shared" ref="K26:K28" si="30">E26-$H$24</f>
        <v>1208688.9103482</v>
      </c>
      <c r="L26">
        <f t="shared" ref="L26:L28" si="31">F26-$H$24</f>
        <v>1207184.5333481999</v>
      </c>
      <c r="M26">
        <f t="shared" ref="M26:M28" si="32">G26-$H$24</f>
        <v>1212546.1763482001</v>
      </c>
      <c r="O26" t="str">
        <f t="shared" si="1"/>
        <v>106-31ago17</v>
      </c>
      <c r="P26">
        <f t="shared" si="10"/>
        <v>1.347322985930862</v>
      </c>
      <c r="Q26">
        <f t="shared" si="11"/>
        <v>1.3481522835727584</v>
      </c>
      <c r="R26">
        <f t="shared" si="12"/>
        <v>1.3495666086818592</v>
      </c>
      <c r="S26">
        <f t="shared" si="13"/>
        <v>1.3468949871350229</v>
      </c>
      <c r="T26">
        <f t="shared" si="14"/>
        <v>1.3475282963527815</v>
      </c>
      <c r="U26" s="316">
        <f t="shared" si="3"/>
        <v>7.7119537405200195E-2</v>
      </c>
    </row>
    <row r="27" spans="1:21" x14ac:dyDescent="0.2">
      <c r="A27" t="s">
        <v>194</v>
      </c>
      <c r="B27" t="s">
        <v>175</v>
      </c>
      <c r="C27">
        <v>946366.16429999995</v>
      </c>
      <c r="D27">
        <v>943154.7831</v>
      </c>
      <c r="E27">
        <v>948787.53529999999</v>
      </c>
      <c r="F27">
        <v>947486.8027</v>
      </c>
      <c r="G27">
        <v>950465.51780000003</v>
      </c>
      <c r="I27">
        <f t="shared" si="28"/>
        <v>944552.21964819997</v>
      </c>
      <c r="J27">
        <f t="shared" si="29"/>
        <v>941340.83844820003</v>
      </c>
      <c r="K27">
        <f t="shared" si="30"/>
        <v>946973.59064820001</v>
      </c>
      <c r="L27">
        <f t="shared" si="31"/>
        <v>945672.85804820003</v>
      </c>
      <c r="M27">
        <f t="shared" si="32"/>
        <v>948651.57314820006</v>
      </c>
      <c r="O27" t="str">
        <f t="shared" si="1"/>
        <v>106-25set17</v>
      </c>
      <c r="P27">
        <f t="shared" si="10"/>
        <v>1.0619162967582769</v>
      </c>
      <c r="Q27">
        <f t="shared" si="11"/>
        <v>1.0607662835354226</v>
      </c>
      <c r="R27">
        <f t="shared" si="12"/>
        <v>1.055436135887837</v>
      </c>
      <c r="S27">
        <f t="shared" si="13"/>
        <v>1.0592751181386526</v>
      </c>
      <c r="T27">
        <f t="shared" si="14"/>
        <v>1.0617827568021372</v>
      </c>
      <c r="U27" s="316">
        <f t="shared" si="3"/>
        <v>0.25254674967103918</v>
      </c>
    </row>
    <row r="28" spans="1:21" x14ac:dyDescent="0.2">
      <c r="A28" t="s">
        <v>195</v>
      </c>
      <c r="B28" t="s">
        <v>175</v>
      </c>
      <c r="C28">
        <v>929270.04859999998</v>
      </c>
      <c r="D28">
        <v>928772.29720000003</v>
      </c>
      <c r="E28">
        <v>925677.99609999999</v>
      </c>
      <c r="F28">
        <v>944879.89320000005</v>
      </c>
      <c r="G28">
        <v>931319.45510000002</v>
      </c>
      <c r="I28">
        <f>C28-$H$24</f>
        <v>927456.10394820001</v>
      </c>
      <c r="J28">
        <f t="shared" si="29"/>
        <v>926958.35254820006</v>
      </c>
      <c r="K28">
        <f t="shared" si="30"/>
        <v>923864.05144820001</v>
      </c>
      <c r="L28">
        <f t="shared" si="31"/>
        <v>943065.94854820007</v>
      </c>
      <c r="M28">
        <f t="shared" si="32"/>
        <v>929505.51044820005</v>
      </c>
      <c r="O28" t="str">
        <f t="shared" si="1"/>
        <v>106-20out17</v>
      </c>
      <c r="P28">
        <f t="shared" si="10"/>
        <v>1.0421528335436674</v>
      </c>
      <c r="Q28">
        <f t="shared" si="11"/>
        <v>1.0390082386070916</v>
      </c>
      <c r="R28">
        <f t="shared" si="12"/>
        <v>1.0336255636795435</v>
      </c>
      <c r="S28">
        <f t="shared" si="13"/>
        <v>1.0488529151653174</v>
      </c>
      <c r="T28">
        <f t="shared" si="14"/>
        <v>1.0359014612027759</v>
      </c>
      <c r="U28" s="316">
        <f t="shared" si="3"/>
        <v>0.57170451576366632</v>
      </c>
    </row>
    <row r="29" spans="1:21" x14ac:dyDescent="0.2">
      <c r="A29" s="315" t="s">
        <v>182</v>
      </c>
      <c r="B29" s="315" t="s">
        <v>175</v>
      </c>
      <c r="C29" s="315">
        <v>1862.223618</v>
      </c>
      <c r="D29" s="315">
        <v>1824.7027909999999</v>
      </c>
      <c r="E29" s="315">
        <v>1844.0498170000001</v>
      </c>
      <c r="F29" s="315">
        <v>1792.4624040000001</v>
      </c>
      <c r="G29" s="315">
        <v>1873.730579</v>
      </c>
      <c r="H29">
        <f>AVERAGE(B29:G29)</f>
        <v>1839.4338418</v>
      </c>
      <c r="O29" t="str">
        <f t="shared" si="1"/>
        <v>BRanco</v>
      </c>
      <c r="P29" t="str">
        <f t="shared" si="10"/>
        <v/>
      </c>
      <c r="Q29" t="str">
        <f t="shared" si="11"/>
        <v/>
      </c>
      <c r="R29" t="str">
        <f t="shared" si="12"/>
        <v/>
      </c>
      <c r="S29" t="str">
        <f t="shared" si="13"/>
        <v/>
      </c>
      <c r="T29" t="str">
        <f t="shared" si="14"/>
        <v/>
      </c>
      <c r="U29" s="316" t="str">
        <f t="shared" si="3"/>
        <v/>
      </c>
    </row>
    <row r="30" spans="1:21" x14ac:dyDescent="0.2">
      <c r="A30" t="s">
        <v>183</v>
      </c>
      <c r="B30" t="s">
        <v>175</v>
      </c>
      <c r="C30">
        <v>923185.2243</v>
      </c>
      <c r="D30">
        <v>933546.77240000002</v>
      </c>
      <c r="E30">
        <v>944598.35129999998</v>
      </c>
      <c r="F30">
        <v>928415.7696</v>
      </c>
      <c r="G30">
        <v>927782.68389999995</v>
      </c>
      <c r="I30">
        <f>C30-$H$29</f>
        <v>921345.79045820003</v>
      </c>
      <c r="J30">
        <f t="shared" ref="J30:M30" si="33">D30-$H$29</f>
        <v>931707.33855820005</v>
      </c>
      <c r="K30">
        <f t="shared" si="33"/>
        <v>942758.91745820001</v>
      </c>
      <c r="L30">
        <f t="shared" si="33"/>
        <v>926576.33575820003</v>
      </c>
      <c r="M30">
        <f t="shared" si="33"/>
        <v>925943.25005819998</v>
      </c>
      <c r="O30" t="str">
        <f t="shared" si="1"/>
        <v>Controle</v>
      </c>
      <c r="P30">
        <f t="shared" si="10"/>
        <v>1.0108278719145942</v>
      </c>
      <c r="Q30">
        <f t="shared" si="11"/>
        <v>1.0156085009136491</v>
      </c>
      <c r="R30">
        <f t="shared" si="12"/>
        <v>1.0265978141159031</v>
      </c>
      <c r="S30">
        <f t="shared" si="13"/>
        <v>1.0101579519276225</v>
      </c>
      <c r="T30">
        <f t="shared" si="14"/>
        <v>1.0125638893513875</v>
      </c>
      <c r="U30" s="316">
        <f t="shared" si="3"/>
        <v>0.66365099401470418</v>
      </c>
    </row>
    <row r="31" spans="1:21" x14ac:dyDescent="0.2">
      <c r="A31" t="s">
        <v>196</v>
      </c>
      <c r="B31" t="s">
        <v>175</v>
      </c>
      <c r="C31">
        <v>905313.1226</v>
      </c>
      <c r="D31">
        <v>916564.39529999997</v>
      </c>
      <c r="E31">
        <v>916469.3003</v>
      </c>
      <c r="F31">
        <v>909247.90830000001</v>
      </c>
      <c r="G31">
        <v>920034.01199999999</v>
      </c>
      <c r="I31">
        <f t="shared" ref="I31:I32" si="34">C31-$H$29</f>
        <v>903473.68875820003</v>
      </c>
      <c r="J31">
        <f t="shared" ref="J31:J32" si="35">D31-$H$29</f>
        <v>914724.96145820001</v>
      </c>
      <c r="K31">
        <f t="shared" ref="K31:K32" si="36">E31-$H$29</f>
        <v>914629.86645820003</v>
      </c>
      <c r="L31">
        <f t="shared" ref="L31:L32" si="37">F31-$H$29</f>
        <v>907408.47445820004</v>
      </c>
      <c r="M31">
        <f t="shared" ref="M31:M32" si="38">G31-$H$29</f>
        <v>918194.57815820002</v>
      </c>
      <c r="O31" t="str">
        <f t="shared" si="1"/>
        <v>106-24nov17</v>
      </c>
      <c r="P31">
        <f t="shared" si="10"/>
        <v>1.0124509362913632</v>
      </c>
      <c r="Q31">
        <f t="shared" si="11"/>
        <v>1.0234831780517855</v>
      </c>
      <c r="R31">
        <f t="shared" si="12"/>
        <v>1.0196994512390278</v>
      </c>
      <c r="S31">
        <f t="shared" si="13"/>
        <v>1.0118569877361592</v>
      </c>
      <c r="T31">
        <f t="shared" si="14"/>
        <v>1.0243605342809248</v>
      </c>
      <c r="U31" s="316">
        <f t="shared" si="3"/>
        <v>0.58353031610774431</v>
      </c>
    </row>
    <row r="32" spans="1:21" x14ac:dyDescent="0.2">
      <c r="A32" t="s">
        <v>197</v>
      </c>
      <c r="B32" t="s">
        <v>175</v>
      </c>
      <c r="C32">
        <v>920750.3922</v>
      </c>
      <c r="D32">
        <v>936539.89390000002</v>
      </c>
      <c r="E32">
        <v>936212.73580000002</v>
      </c>
      <c r="F32">
        <v>945994.61659999995</v>
      </c>
      <c r="G32">
        <v>939237.32209999999</v>
      </c>
      <c r="I32">
        <f t="shared" si="34"/>
        <v>918910.95835820003</v>
      </c>
      <c r="J32">
        <f t="shared" si="35"/>
        <v>934700.46005820006</v>
      </c>
      <c r="K32">
        <f t="shared" si="36"/>
        <v>934373.30195820006</v>
      </c>
      <c r="L32">
        <f t="shared" si="37"/>
        <v>944155.18275819998</v>
      </c>
      <c r="M32">
        <f t="shared" si="38"/>
        <v>937397.88825820002</v>
      </c>
      <c r="O32" t="str">
        <f t="shared" si="1"/>
        <v>106-21dez17</v>
      </c>
      <c r="P32">
        <f t="shared" si="10"/>
        <v>1.0358143081378712</v>
      </c>
      <c r="Q32">
        <f t="shared" si="11"/>
        <v>1.0439715441773012</v>
      </c>
      <c r="R32">
        <f t="shared" si="12"/>
        <v>1.0403931769072419</v>
      </c>
      <c r="S32">
        <f t="shared" si="13"/>
        <v>1.047652330038388</v>
      </c>
      <c r="T32">
        <f t="shared" si="14"/>
        <v>1.0421554698846254</v>
      </c>
      <c r="U32" s="316">
        <f t="shared" si="3"/>
        <v>0.42025621970710342</v>
      </c>
    </row>
    <row r="33" spans="1:21" x14ac:dyDescent="0.2">
      <c r="A33" s="315" t="s">
        <v>182</v>
      </c>
      <c r="B33" s="315" t="s">
        <v>175</v>
      </c>
      <c r="C33" s="315">
        <v>1883.380905</v>
      </c>
      <c r="D33" s="315">
        <v>1845.318548</v>
      </c>
      <c r="E33" s="315">
        <v>1818.9987410000001</v>
      </c>
      <c r="F33" s="315">
        <v>1860.7500930000001</v>
      </c>
      <c r="G33" s="315">
        <v>1812.2655709999999</v>
      </c>
      <c r="H33">
        <f>AVERAGE(B33:G33)</f>
        <v>1844.1427716000003</v>
      </c>
      <c r="O33" t="str">
        <f t="shared" si="1"/>
        <v>BRanco</v>
      </c>
      <c r="P33" t="str">
        <f t="shared" si="10"/>
        <v/>
      </c>
      <c r="Q33" t="str">
        <f t="shared" si="11"/>
        <v/>
      </c>
      <c r="R33" t="str">
        <f t="shared" si="12"/>
        <v/>
      </c>
      <c r="S33" t="str">
        <f t="shared" si="13"/>
        <v/>
      </c>
      <c r="T33" t="str">
        <f t="shared" si="14"/>
        <v/>
      </c>
      <c r="U33" s="316" t="str">
        <f t="shared" si="3"/>
        <v/>
      </c>
    </row>
    <row r="34" spans="1:21" x14ac:dyDescent="0.2">
      <c r="A34" s="314" t="s">
        <v>183</v>
      </c>
      <c r="B34" s="314" t="s">
        <v>175</v>
      </c>
      <c r="C34" s="314">
        <v>929667.16899999999</v>
      </c>
      <c r="D34" s="314">
        <v>924203.82889999996</v>
      </c>
      <c r="E34" s="314">
        <v>926966.72880000004</v>
      </c>
      <c r="F34" s="314">
        <v>925945.05020000006</v>
      </c>
      <c r="G34" s="314">
        <v>931833.04200000002</v>
      </c>
      <c r="H34" s="314"/>
      <c r="I34" s="314">
        <f>C34-$H$33</f>
        <v>927823.02622839995</v>
      </c>
      <c r="J34" s="314">
        <f t="shared" ref="J34:M34" si="39">D34-$H$33</f>
        <v>922359.68612839992</v>
      </c>
      <c r="K34" s="314">
        <f t="shared" si="39"/>
        <v>925122.58602839999</v>
      </c>
      <c r="L34" s="314">
        <f t="shared" si="39"/>
        <v>924100.90742840001</v>
      </c>
      <c r="M34" s="314">
        <f t="shared" si="39"/>
        <v>929988.89922839997</v>
      </c>
      <c r="O34" t="str">
        <f t="shared" si="1"/>
        <v>Controle</v>
      </c>
      <c r="P34">
        <f t="shared" si="10"/>
        <v>1.0160523392262257</v>
      </c>
      <c r="Q34">
        <f t="shared" si="11"/>
        <v>1.008163094965689</v>
      </c>
      <c r="R34">
        <f t="shared" si="12"/>
        <v>1.0060318748957195</v>
      </c>
      <c r="S34">
        <f t="shared" si="13"/>
        <v>1.0040352403985051</v>
      </c>
      <c r="T34">
        <f t="shared" si="14"/>
        <v>1.0076755695437005</v>
      </c>
      <c r="U34" s="316">
        <f t="shared" si="3"/>
        <v>0.45389733259278853</v>
      </c>
    </row>
    <row r="35" spans="1:21" x14ac:dyDescent="0.2">
      <c r="A35" t="s">
        <v>173</v>
      </c>
      <c r="B35" t="s">
        <v>174</v>
      </c>
      <c r="C35">
        <v>672.23728500000004</v>
      </c>
      <c r="D35">
        <v>676.0338213</v>
      </c>
      <c r="E35">
        <v>723.58416869999996</v>
      </c>
      <c r="F35">
        <v>662.73656889999995</v>
      </c>
      <c r="G35">
        <v>671.29552769999998</v>
      </c>
      <c r="H35">
        <f>AVERAGE(B35:G35)</f>
        <v>681.17747431999999</v>
      </c>
    </row>
    <row r="36" spans="1:21" x14ac:dyDescent="0.2">
      <c r="A36" t="s">
        <v>176</v>
      </c>
      <c r="B36" t="s">
        <v>174</v>
      </c>
      <c r="C36">
        <v>907250.11069999996</v>
      </c>
      <c r="D36">
        <v>912102.32169999997</v>
      </c>
      <c r="E36">
        <v>912426.03870000003</v>
      </c>
      <c r="F36">
        <v>914560.98880000005</v>
      </c>
      <c r="G36">
        <v>918764.46019999997</v>
      </c>
      <c r="I36">
        <f>C36-$H$35</f>
        <v>906568.93322567991</v>
      </c>
      <c r="J36">
        <f t="shared" ref="J36:M41" si="40">D36-$H$35</f>
        <v>911421.14422567992</v>
      </c>
      <c r="K36">
        <f t="shared" si="40"/>
        <v>911744.86122567998</v>
      </c>
      <c r="L36">
        <f t="shared" si="40"/>
        <v>913879.81132568</v>
      </c>
      <c r="M36">
        <f t="shared" si="40"/>
        <v>918083.28272567992</v>
      </c>
    </row>
    <row r="37" spans="1:21" x14ac:dyDescent="0.2">
      <c r="A37" t="s">
        <v>177</v>
      </c>
      <c r="B37" t="s">
        <v>174</v>
      </c>
      <c r="C37">
        <v>910666.48910000001</v>
      </c>
      <c r="D37">
        <v>913172.24060000002</v>
      </c>
      <c r="E37">
        <v>916954.14179999998</v>
      </c>
      <c r="F37">
        <v>919744.3064</v>
      </c>
      <c r="G37">
        <v>919046.89580000006</v>
      </c>
      <c r="I37">
        <f t="shared" ref="I37:I41" si="41">C37-$H$35</f>
        <v>909985.31162567995</v>
      </c>
      <c r="J37">
        <f t="shared" si="40"/>
        <v>912491.06312567997</v>
      </c>
      <c r="K37">
        <f t="shared" si="40"/>
        <v>916272.96432567993</v>
      </c>
      <c r="L37">
        <f t="shared" si="40"/>
        <v>919063.12892567995</v>
      </c>
      <c r="M37">
        <f t="shared" si="40"/>
        <v>918365.71832568001</v>
      </c>
    </row>
    <row r="38" spans="1:21" x14ac:dyDescent="0.2">
      <c r="A38" t="s">
        <v>178</v>
      </c>
      <c r="B38" t="s">
        <v>174</v>
      </c>
      <c r="C38">
        <v>896655.55900000001</v>
      </c>
      <c r="D38">
        <v>902041.36800000002</v>
      </c>
      <c r="E38">
        <v>900950.88390000002</v>
      </c>
      <c r="F38">
        <v>903575.26969999995</v>
      </c>
      <c r="G38">
        <v>903316.11869999999</v>
      </c>
      <c r="I38">
        <f t="shared" si="41"/>
        <v>895974.38152567996</v>
      </c>
      <c r="J38">
        <f t="shared" si="40"/>
        <v>901360.19052567997</v>
      </c>
      <c r="K38">
        <f t="shared" si="40"/>
        <v>900269.70642567996</v>
      </c>
      <c r="L38">
        <f t="shared" si="40"/>
        <v>902894.09222567989</v>
      </c>
      <c r="M38">
        <f t="shared" si="40"/>
        <v>902634.94122567994</v>
      </c>
    </row>
    <row r="39" spans="1:21" x14ac:dyDescent="0.2">
      <c r="A39" t="s">
        <v>179</v>
      </c>
      <c r="B39" t="s">
        <v>174</v>
      </c>
      <c r="C39">
        <v>904982.88219999999</v>
      </c>
      <c r="D39">
        <v>908324.19099999999</v>
      </c>
      <c r="E39">
        <v>914582.4166</v>
      </c>
      <c r="F39">
        <v>910040.92220000003</v>
      </c>
      <c r="G39">
        <v>909583.0172</v>
      </c>
      <c r="I39">
        <f t="shared" si="41"/>
        <v>904301.70472567994</v>
      </c>
      <c r="J39">
        <f t="shared" si="40"/>
        <v>907643.01352567994</v>
      </c>
      <c r="K39">
        <f t="shared" si="40"/>
        <v>913901.23912567995</v>
      </c>
      <c r="L39">
        <f t="shared" si="40"/>
        <v>909359.74472567998</v>
      </c>
      <c r="M39">
        <f t="shared" si="40"/>
        <v>908901.83972567995</v>
      </c>
    </row>
    <row r="40" spans="1:21" x14ac:dyDescent="0.2">
      <c r="A40" t="s">
        <v>180</v>
      </c>
      <c r="B40" t="s">
        <v>174</v>
      </c>
      <c r="C40">
        <v>889016.03079999995</v>
      </c>
      <c r="D40">
        <v>895108.24620000005</v>
      </c>
      <c r="E40">
        <v>896577.77379999997</v>
      </c>
      <c r="F40">
        <v>899687.70589999994</v>
      </c>
      <c r="G40">
        <v>896722.65529999998</v>
      </c>
      <c r="I40">
        <f t="shared" si="41"/>
        <v>888334.8533256799</v>
      </c>
      <c r="J40">
        <f t="shared" si="40"/>
        <v>894427.06872568</v>
      </c>
      <c r="K40">
        <f t="shared" si="40"/>
        <v>895896.59632567992</v>
      </c>
      <c r="L40">
        <f t="shared" si="40"/>
        <v>899006.52842567989</v>
      </c>
      <c r="M40">
        <f t="shared" si="40"/>
        <v>896041.47782567993</v>
      </c>
    </row>
    <row r="41" spans="1:21" x14ac:dyDescent="0.2">
      <c r="A41" t="s">
        <v>181</v>
      </c>
      <c r="B41" t="s">
        <v>174</v>
      </c>
      <c r="C41">
        <v>884283.6899</v>
      </c>
      <c r="D41">
        <v>891776.4412</v>
      </c>
      <c r="E41">
        <v>891426.99919999996</v>
      </c>
      <c r="F41">
        <v>893674.28449999995</v>
      </c>
      <c r="G41">
        <v>890790.0013</v>
      </c>
      <c r="I41">
        <f t="shared" si="41"/>
        <v>883602.51242567995</v>
      </c>
      <c r="J41">
        <f t="shared" si="40"/>
        <v>891095.26372567995</v>
      </c>
      <c r="K41">
        <f t="shared" si="40"/>
        <v>890745.82172567991</v>
      </c>
      <c r="L41">
        <f t="shared" si="40"/>
        <v>892993.1070256799</v>
      </c>
      <c r="M41">
        <f t="shared" si="40"/>
        <v>890108.82382567995</v>
      </c>
    </row>
    <row r="42" spans="1:21" x14ac:dyDescent="0.2">
      <c r="A42" s="315" t="s">
        <v>182</v>
      </c>
      <c r="B42" s="315" t="s">
        <v>174</v>
      </c>
      <c r="C42" s="315">
        <v>699.05100640000001</v>
      </c>
      <c r="D42" s="315">
        <v>703.42466809999996</v>
      </c>
      <c r="E42" s="315">
        <v>741.82355600000005</v>
      </c>
      <c r="F42" s="315">
        <v>705.01957100000004</v>
      </c>
      <c r="G42" s="315">
        <v>733.89434329999995</v>
      </c>
      <c r="H42" s="315">
        <f>AVERAGE(B42:G42)</f>
        <v>716.64262895999991</v>
      </c>
    </row>
    <row r="43" spans="1:21" x14ac:dyDescent="0.2">
      <c r="A43" t="s">
        <v>183</v>
      </c>
      <c r="B43" t="s">
        <v>174</v>
      </c>
      <c r="C43">
        <v>914426.71900000004</v>
      </c>
      <c r="D43">
        <v>916721.83270000003</v>
      </c>
      <c r="E43">
        <v>919450.08600000001</v>
      </c>
      <c r="F43">
        <v>921009.745</v>
      </c>
      <c r="G43">
        <v>922592.41650000005</v>
      </c>
      <c r="I43">
        <f>C43-$H$42</f>
        <v>913710.07637104008</v>
      </c>
      <c r="J43">
        <f t="shared" ref="J43:M43" si="42">D43-$H$42</f>
        <v>916005.19007104007</v>
      </c>
      <c r="K43">
        <f t="shared" si="42"/>
        <v>918733.44337104005</v>
      </c>
      <c r="L43">
        <f t="shared" si="42"/>
        <v>920293.10237104003</v>
      </c>
      <c r="M43">
        <f t="shared" si="42"/>
        <v>921875.77387104009</v>
      </c>
    </row>
    <row r="44" spans="1:21" x14ac:dyDescent="0.2">
      <c r="A44" t="s">
        <v>184</v>
      </c>
      <c r="B44" t="s">
        <v>174</v>
      </c>
      <c r="C44">
        <v>760.33027470000002</v>
      </c>
      <c r="D44">
        <v>739.64652880000006</v>
      </c>
      <c r="E44">
        <v>717.09359570000004</v>
      </c>
      <c r="F44">
        <v>718.86327930000004</v>
      </c>
      <c r="G44">
        <v>696.55712329999994</v>
      </c>
      <c r="I44">
        <f t="shared" ref="I44:I46" si="43">C44-$H$42</f>
        <v>43.687645740000107</v>
      </c>
      <c r="J44">
        <f t="shared" ref="J44:J46" si="44">D44-$H$42</f>
        <v>23.003899840000145</v>
      </c>
      <c r="K44">
        <f t="shared" ref="K44:K46" si="45">E44-$H$42</f>
        <v>0.45096674000012626</v>
      </c>
      <c r="L44">
        <f t="shared" ref="L44:L46" si="46">F44-$H$42</f>
        <v>2.2206503400001338</v>
      </c>
      <c r="M44">
        <f t="shared" ref="M44:M46" si="47">G44-$H$42</f>
        <v>-20.085505659999967</v>
      </c>
    </row>
    <row r="45" spans="1:21" x14ac:dyDescent="0.2">
      <c r="A45" t="s">
        <v>185</v>
      </c>
      <c r="B45" t="s">
        <v>174</v>
      </c>
      <c r="C45">
        <v>901194.96349999995</v>
      </c>
      <c r="D45">
        <v>913712.51269999996</v>
      </c>
      <c r="E45">
        <v>915943.21669999999</v>
      </c>
      <c r="F45">
        <v>912952.11690000002</v>
      </c>
      <c r="G45">
        <v>909593.11479999998</v>
      </c>
      <c r="I45">
        <f t="shared" si="43"/>
        <v>900478.32087103999</v>
      </c>
      <c r="J45">
        <f t="shared" si="44"/>
        <v>912995.87007104</v>
      </c>
      <c r="K45">
        <f t="shared" si="45"/>
        <v>915226.57407104003</v>
      </c>
      <c r="L45">
        <f t="shared" si="46"/>
        <v>912235.47427104006</v>
      </c>
      <c r="M45">
        <f t="shared" si="47"/>
        <v>908876.47217104002</v>
      </c>
    </row>
    <row r="46" spans="1:21" x14ac:dyDescent="0.2">
      <c r="A46" t="s">
        <v>186</v>
      </c>
      <c r="B46" t="s">
        <v>174</v>
      </c>
      <c r="C46">
        <v>910977.24789999996</v>
      </c>
      <c r="D46">
        <v>911249.29449999996</v>
      </c>
      <c r="E46">
        <v>917699.13049999997</v>
      </c>
      <c r="F46">
        <v>915159.26249999995</v>
      </c>
      <c r="G46">
        <v>915153.28260000004</v>
      </c>
      <c r="I46">
        <f t="shared" si="43"/>
        <v>910260.60527104</v>
      </c>
      <c r="J46">
        <f t="shared" si="44"/>
        <v>910532.65187104</v>
      </c>
      <c r="K46">
        <f t="shared" si="45"/>
        <v>916982.48787104001</v>
      </c>
      <c r="L46">
        <f t="shared" si="46"/>
        <v>914442.61987103999</v>
      </c>
      <c r="M46">
        <f t="shared" si="47"/>
        <v>914436.63997104007</v>
      </c>
    </row>
    <row r="47" spans="1:21" x14ac:dyDescent="0.2">
      <c r="A47" s="315" t="s">
        <v>182</v>
      </c>
      <c r="B47" s="315" t="s">
        <v>174</v>
      </c>
      <c r="C47" s="315">
        <v>722.96487839999998</v>
      </c>
      <c r="D47" s="315">
        <v>754.17280089999997</v>
      </c>
      <c r="E47" s="315">
        <v>761.14337839999996</v>
      </c>
      <c r="F47" s="315">
        <v>754.28449269999999</v>
      </c>
      <c r="G47" s="315">
        <v>697.06059649999997</v>
      </c>
      <c r="H47" s="315">
        <f>AVERAGE(B47:G47)</f>
        <v>737.92522938000002</v>
      </c>
    </row>
    <row r="48" spans="1:21" x14ac:dyDescent="0.2">
      <c r="A48" t="s">
        <v>183</v>
      </c>
      <c r="B48" t="s">
        <v>174</v>
      </c>
      <c r="C48">
        <v>914285.52240000002</v>
      </c>
      <c r="D48">
        <v>915087.69180000003</v>
      </c>
      <c r="E48">
        <v>924400.52419999999</v>
      </c>
      <c r="F48">
        <v>918358.95799999998</v>
      </c>
      <c r="G48">
        <v>918605.03729999997</v>
      </c>
      <c r="I48">
        <f>C48-$H$47</f>
        <v>913547.59717061999</v>
      </c>
      <c r="J48">
        <f t="shared" ref="J48:M51" si="48">D48-$H$47</f>
        <v>914349.76657062001</v>
      </c>
      <c r="K48">
        <f t="shared" si="48"/>
        <v>923662.59897061996</v>
      </c>
      <c r="L48">
        <f t="shared" si="48"/>
        <v>917621.03277061996</v>
      </c>
      <c r="M48">
        <f t="shared" si="48"/>
        <v>917867.11207061994</v>
      </c>
    </row>
    <row r="49" spans="1:13" x14ac:dyDescent="0.2">
      <c r="A49" t="s">
        <v>187</v>
      </c>
      <c r="B49" t="s">
        <v>174</v>
      </c>
      <c r="C49">
        <v>906487.13710000005</v>
      </c>
      <c r="D49">
        <v>912180.07079999999</v>
      </c>
      <c r="E49">
        <v>912349.87540000002</v>
      </c>
      <c r="F49">
        <v>913804.15659999999</v>
      </c>
      <c r="G49">
        <v>913901.53410000005</v>
      </c>
      <c r="I49">
        <f t="shared" ref="I49:I51" si="49">C49-$H$47</f>
        <v>905749.21187062003</v>
      </c>
      <c r="J49">
        <f t="shared" si="48"/>
        <v>911442.14557061996</v>
      </c>
      <c r="K49">
        <f t="shared" si="48"/>
        <v>911611.95017062</v>
      </c>
      <c r="L49">
        <f t="shared" si="48"/>
        <v>913066.23137061996</v>
      </c>
      <c r="M49">
        <f t="shared" si="48"/>
        <v>913163.60887062002</v>
      </c>
    </row>
    <row r="50" spans="1:13" x14ac:dyDescent="0.2">
      <c r="A50" t="s">
        <v>188</v>
      </c>
      <c r="B50" t="s">
        <v>174</v>
      </c>
      <c r="C50">
        <v>906809.23910000001</v>
      </c>
      <c r="D50">
        <v>909868.13619999995</v>
      </c>
      <c r="E50">
        <v>914673.85800000001</v>
      </c>
      <c r="F50">
        <v>915604.02069999999</v>
      </c>
      <c r="G50">
        <v>913006.51919999998</v>
      </c>
      <c r="I50">
        <f t="shared" si="49"/>
        <v>906071.31387061998</v>
      </c>
      <c r="J50">
        <f t="shared" si="48"/>
        <v>909130.21097061993</v>
      </c>
      <c r="K50">
        <f t="shared" si="48"/>
        <v>913935.93277061998</v>
      </c>
      <c r="L50">
        <f t="shared" si="48"/>
        <v>914866.09547061997</v>
      </c>
      <c r="M50">
        <f t="shared" si="48"/>
        <v>912268.59397061996</v>
      </c>
    </row>
    <row r="51" spans="1:13" x14ac:dyDescent="0.2">
      <c r="A51" t="s">
        <v>189</v>
      </c>
      <c r="B51" t="s">
        <v>174</v>
      </c>
      <c r="C51">
        <v>902616.95360000001</v>
      </c>
      <c r="D51">
        <v>907912.7746</v>
      </c>
      <c r="E51">
        <v>909605.06579999998</v>
      </c>
      <c r="F51">
        <v>911001.22279999999</v>
      </c>
      <c r="G51">
        <v>912393.94</v>
      </c>
      <c r="I51">
        <f t="shared" si="49"/>
        <v>901879.02837061998</v>
      </c>
      <c r="J51">
        <f t="shared" si="48"/>
        <v>907174.84937061998</v>
      </c>
      <c r="K51">
        <f t="shared" si="48"/>
        <v>908867.14057061996</v>
      </c>
      <c r="L51">
        <f t="shared" si="48"/>
        <v>910263.29757061996</v>
      </c>
      <c r="M51">
        <f t="shared" si="48"/>
        <v>911656.01477061992</v>
      </c>
    </row>
    <row r="52" spans="1:13" x14ac:dyDescent="0.2">
      <c r="A52" s="315" t="s">
        <v>182</v>
      </c>
      <c r="B52" s="315" t="s">
        <v>174</v>
      </c>
      <c r="C52" s="315">
        <v>782.24457070000005</v>
      </c>
      <c r="D52" s="315">
        <v>747.83097799999996</v>
      </c>
      <c r="E52" s="315">
        <v>758.38920189999999</v>
      </c>
      <c r="F52" s="315">
        <v>731.58576440000002</v>
      </c>
      <c r="G52" s="315">
        <v>750.35736729999996</v>
      </c>
      <c r="H52" s="315">
        <f>AVERAGE(B52:G52)</f>
        <v>754.08157645999995</v>
      </c>
    </row>
    <row r="53" spans="1:13" x14ac:dyDescent="0.2">
      <c r="A53" t="s">
        <v>183</v>
      </c>
      <c r="B53" t="s">
        <v>174</v>
      </c>
      <c r="C53">
        <v>912062.36769999994</v>
      </c>
      <c r="D53">
        <v>915471.34349999996</v>
      </c>
      <c r="E53">
        <v>916060.4852</v>
      </c>
      <c r="F53">
        <v>915360.01240000001</v>
      </c>
      <c r="G53">
        <v>921752.86380000005</v>
      </c>
      <c r="I53">
        <f>C53-$H$52</f>
        <v>911308.2861235399</v>
      </c>
      <c r="J53">
        <f t="shared" ref="J53:M56" si="50">D53-$H$52</f>
        <v>914717.26192353992</v>
      </c>
      <c r="K53">
        <f t="shared" si="50"/>
        <v>915306.40362353995</v>
      </c>
      <c r="L53">
        <f t="shared" si="50"/>
        <v>914605.93082353997</v>
      </c>
      <c r="M53">
        <f t="shared" si="50"/>
        <v>920998.78222354001</v>
      </c>
    </row>
    <row r="54" spans="1:13" x14ac:dyDescent="0.2">
      <c r="A54" t="s">
        <v>190</v>
      </c>
      <c r="B54" t="s">
        <v>174</v>
      </c>
      <c r="C54">
        <v>906584.86320000002</v>
      </c>
      <c r="D54">
        <v>910202.17509999999</v>
      </c>
      <c r="E54">
        <v>911850.35279999999</v>
      </c>
      <c r="F54">
        <v>907502.98049999995</v>
      </c>
      <c r="G54">
        <v>909230.21349999995</v>
      </c>
      <c r="I54">
        <f t="shared" ref="I54:I56" si="51">C54-$H$52</f>
        <v>905830.78162353998</v>
      </c>
      <c r="J54">
        <f t="shared" si="50"/>
        <v>909448.09352353995</v>
      </c>
      <c r="K54">
        <f t="shared" si="50"/>
        <v>911096.27122353995</v>
      </c>
      <c r="L54">
        <f t="shared" si="50"/>
        <v>906748.89892353991</v>
      </c>
      <c r="M54">
        <f t="shared" si="50"/>
        <v>908476.13192353991</v>
      </c>
    </row>
    <row r="55" spans="1:13" x14ac:dyDescent="0.2">
      <c r="A55" t="s">
        <v>191</v>
      </c>
      <c r="B55" t="s">
        <v>174</v>
      </c>
      <c r="C55">
        <v>907819.28650000005</v>
      </c>
      <c r="D55">
        <v>916885.23389999999</v>
      </c>
      <c r="E55">
        <v>917730.6422</v>
      </c>
      <c r="F55">
        <v>911139.48640000005</v>
      </c>
      <c r="G55">
        <v>910517.05920000002</v>
      </c>
      <c r="I55">
        <f t="shared" si="51"/>
        <v>907065.20492354</v>
      </c>
      <c r="J55">
        <f t="shared" si="50"/>
        <v>916131.15232353995</v>
      </c>
      <c r="K55">
        <f t="shared" si="50"/>
        <v>916976.56062353996</v>
      </c>
      <c r="L55">
        <f t="shared" si="50"/>
        <v>910385.40482354001</v>
      </c>
      <c r="M55">
        <f t="shared" si="50"/>
        <v>909762.97762353998</v>
      </c>
    </row>
    <row r="56" spans="1:13" x14ac:dyDescent="0.2">
      <c r="A56" t="s">
        <v>192</v>
      </c>
      <c r="B56" t="s">
        <v>174</v>
      </c>
      <c r="C56">
        <v>910742.21719999996</v>
      </c>
      <c r="D56">
        <v>915573.64139999996</v>
      </c>
      <c r="E56">
        <v>921604.11159999995</v>
      </c>
      <c r="F56">
        <v>914672.09420000005</v>
      </c>
      <c r="G56">
        <v>917994.64379999996</v>
      </c>
      <c r="I56">
        <f t="shared" si="51"/>
        <v>909988.13562353991</v>
      </c>
      <c r="J56">
        <f t="shared" si="50"/>
        <v>914819.55982353992</v>
      </c>
      <c r="K56">
        <f t="shared" si="50"/>
        <v>920850.0300235399</v>
      </c>
      <c r="L56">
        <f t="shared" si="50"/>
        <v>913918.01262354001</v>
      </c>
      <c r="M56">
        <f t="shared" si="50"/>
        <v>917240.56222353992</v>
      </c>
    </row>
    <row r="57" spans="1:13" x14ac:dyDescent="0.2">
      <c r="A57" s="315" t="s">
        <v>182</v>
      </c>
      <c r="B57" s="315" t="s">
        <v>174</v>
      </c>
      <c r="C57" s="315">
        <v>764.23157879999997</v>
      </c>
      <c r="D57" s="315">
        <v>750.59365330000003</v>
      </c>
      <c r="E57" s="315">
        <v>789.85055060000002</v>
      </c>
      <c r="F57" s="315">
        <v>775.46485680000001</v>
      </c>
      <c r="G57" s="315">
        <v>781.27963880000004</v>
      </c>
      <c r="H57" s="315">
        <f>AVERAGE(B57:G57)</f>
        <v>772.28405566000015</v>
      </c>
      <c r="I57" s="315"/>
    </row>
    <row r="58" spans="1:13" x14ac:dyDescent="0.2">
      <c r="A58" t="s">
        <v>183</v>
      </c>
      <c r="B58" t="s">
        <v>174</v>
      </c>
      <c r="C58">
        <v>914299.8933</v>
      </c>
      <c r="D58">
        <v>920721.52159999998</v>
      </c>
      <c r="E58">
        <v>924101.8996</v>
      </c>
      <c r="F58">
        <v>922298.62439999997</v>
      </c>
      <c r="G58">
        <v>922841.64379999996</v>
      </c>
      <c r="I58">
        <f>C58-$H$57</f>
        <v>913527.60924433998</v>
      </c>
      <c r="J58">
        <f t="shared" ref="J58:M61" si="52">D58-$H$57</f>
        <v>919949.23754433997</v>
      </c>
      <c r="K58">
        <f t="shared" si="52"/>
        <v>923329.61554433999</v>
      </c>
      <c r="L58">
        <f t="shared" si="52"/>
        <v>921526.34034433996</v>
      </c>
      <c r="M58">
        <f t="shared" si="52"/>
        <v>922069.35974433995</v>
      </c>
    </row>
    <row r="59" spans="1:13" x14ac:dyDescent="0.2">
      <c r="A59" t="s">
        <v>193</v>
      </c>
      <c r="B59" t="s">
        <v>174</v>
      </c>
      <c r="C59">
        <v>888480.16689999995</v>
      </c>
      <c r="D59">
        <v>898032.53579999995</v>
      </c>
      <c r="E59">
        <v>896384.92189999996</v>
      </c>
      <c r="F59">
        <v>897044.4841</v>
      </c>
      <c r="G59">
        <v>900602.12780000002</v>
      </c>
      <c r="I59">
        <f t="shared" ref="I59:I61" si="53">C59-$H$57</f>
        <v>887707.88284433994</v>
      </c>
      <c r="J59">
        <f t="shared" si="52"/>
        <v>897260.25174433994</v>
      </c>
      <c r="K59">
        <f t="shared" si="52"/>
        <v>895612.63784433994</v>
      </c>
      <c r="L59">
        <f t="shared" si="52"/>
        <v>896272.20004433999</v>
      </c>
      <c r="M59">
        <f t="shared" si="52"/>
        <v>899829.84374434</v>
      </c>
    </row>
    <row r="60" spans="1:13" x14ac:dyDescent="0.2">
      <c r="A60" t="s">
        <v>194</v>
      </c>
      <c r="B60" t="s">
        <v>174</v>
      </c>
      <c r="C60">
        <v>890251.25950000004</v>
      </c>
      <c r="D60">
        <v>888188.15789999999</v>
      </c>
      <c r="E60">
        <v>898006.66749999998</v>
      </c>
      <c r="F60">
        <v>893527.00080000004</v>
      </c>
      <c r="G60">
        <v>894223.95019999996</v>
      </c>
      <c r="I60">
        <f t="shared" si="53"/>
        <v>889478.97544434003</v>
      </c>
      <c r="J60">
        <f t="shared" si="52"/>
        <v>887415.87384433998</v>
      </c>
      <c r="K60">
        <f t="shared" si="52"/>
        <v>897234.38344433997</v>
      </c>
      <c r="L60">
        <f t="shared" si="52"/>
        <v>892754.71674434002</v>
      </c>
      <c r="M60">
        <f t="shared" si="52"/>
        <v>893451.66614433995</v>
      </c>
    </row>
    <row r="61" spans="1:13" x14ac:dyDescent="0.2">
      <c r="A61" t="s">
        <v>195</v>
      </c>
      <c r="B61" t="s">
        <v>174</v>
      </c>
      <c r="C61">
        <v>890714.78969999996</v>
      </c>
      <c r="D61">
        <v>892929.16799999995</v>
      </c>
      <c r="E61">
        <v>894581.49690000003</v>
      </c>
      <c r="F61">
        <v>899912.6067</v>
      </c>
      <c r="G61">
        <v>898063.72080000001</v>
      </c>
      <c r="I61">
        <f t="shared" si="53"/>
        <v>889942.50564433995</v>
      </c>
      <c r="J61">
        <f t="shared" si="52"/>
        <v>892156.88394433993</v>
      </c>
      <c r="K61">
        <f t="shared" si="52"/>
        <v>893809.21284434001</v>
      </c>
      <c r="L61">
        <f t="shared" si="52"/>
        <v>899140.32264433999</v>
      </c>
      <c r="M61">
        <f t="shared" si="52"/>
        <v>897291.43674434</v>
      </c>
    </row>
    <row r="62" spans="1:13" x14ac:dyDescent="0.2">
      <c r="A62" s="315" t="s">
        <v>182</v>
      </c>
      <c r="B62" s="315" t="s">
        <v>174</v>
      </c>
      <c r="C62" s="315">
        <v>788.04679680000004</v>
      </c>
      <c r="D62" s="315">
        <v>775.98109209999996</v>
      </c>
      <c r="E62" s="315">
        <v>755.20393990000002</v>
      </c>
      <c r="F62" s="315">
        <v>767.44165889999999</v>
      </c>
      <c r="G62" s="315">
        <v>761.62746549999997</v>
      </c>
      <c r="H62" s="315">
        <f>AVERAGE(B62:G62)</f>
        <v>769.66019063999988</v>
      </c>
    </row>
    <row r="63" spans="1:13" x14ac:dyDescent="0.2">
      <c r="A63" t="s">
        <v>183</v>
      </c>
      <c r="B63" t="s">
        <v>174</v>
      </c>
      <c r="C63">
        <v>912246.10049999994</v>
      </c>
      <c r="D63">
        <v>918157.94290000002</v>
      </c>
      <c r="E63">
        <v>919102.9203</v>
      </c>
      <c r="F63">
        <v>918028.52450000006</v>
      </c>
      <c r="G63">
        <v>915223.80949999997</v>
      </c>
      <c r="I63">
        <f>C63-$H$62</f>
        <v>911476.44030935992</v>
      </c>
      <c r="J63">
        <f t="shared" ref="J63:M65" si="54">D63-$H$62</f>
        <v>917388.28270936001</v>
      </c>
      <c r="K63">
        <f t="shared" si="54"/>
        <v>918333.26010935998</v>
      </c>
      <c r="L63">
        <f t="shared" si="54"/>
        <v>917258.86430936004</v>
      </c>
      <c r="M63">
        <f t="shared" si="54"/>
        <v>914454.14930935996</v>
      </c>
    </row>
    <row r="64" spans="1:13" x14ac:dyDescent="0.2">
      <c r="A64" t="s">
        <v>196</v>
      </c>
      <c r="B64" t="s">
        <v>174</v>
      </c>
      <c r="C64">
        <v>893132.59490000003</v>
      </c>
      <c r="D64">
        <v>894506.83250000002</v>
      </c>
      <c r="E64">
        <v>897729.90209999995</v>
      </c>
      <c r="F64">
        <v>897545.07949999999</v>
      </c>
      <c r="G64">
        <v>897128.45909999998</v>
      </c>
      <c r="I64">
        <f>C64-$H$62</f>
        <v>892362.93470936001</v>
      </c>
      <c r="J64">
        <f t="shared" si="54"/>
        <v>893737.17230936</v>
      </c>
      <c r="K64">
        <f t="shared" si="54"/>
        <v>896960.24190935993</v>
      </c>
      <c r="L64">
        <f t="shared" si="54"/>
        <v>896775.41930935998</v>
      </c>
      <c r="M64">
        <f t="shared" si="54"/>
        <v>896358.79890935996</v>
      </c>
    </row>
    <row r="65" spans="1:13" x14ac:dyDescent="0.2">
      <c r="A65" t="s">
        <v>197</v>
      </c>
      <c r="B65" t="s">
        <v>174</v>
      </c>
      <c r="C65">
        <v>887908.35979999998</v>
      </c>
      <c r="D65">
        <v>896101.01789999998</v>
      </c>
      <c r="E65">
        <v>898865.99789999996</v>
      </c>
      <c r="F65">
        <v>901980.06720000005</v>
      </c>
      <c r="G65">
        <v>900249.55099999998</v>
      </c>
      <c r="I65">
        <f>C65-$H$62</f>
        <v>887138.69960935996</v>
      </c>
      <c r="J65">
        <f t="shared" si="54"/>
        <v>895331.35770935996</v>
      </c>
      <c r="K65">
        <f t="shared" si="54"/>
        <v>898096.33770935994</v>
      </c>
      <c r="L65">
        <f t="shared" si="54"/>
        <v>901210.40700936003</v>
      </c>
      <c r="M65">
        <f t="shared" si="54"/>
        <v>899479.89080935996</v>
      </c>
    </row>
    <row r="66" spans="1:13" x14ac:dyDescent="0.2">
      <c r="A66" s="315" t="s">
        <v>182</v>
      </c>
      <c r="B66" s="315" t="s">
        <v>174</v>
      </c>
      <c r="C66" s="315">
        <v>773.11806390000004</v>
      </c>
      <c r="D66" s="315">
        <v>772.72573550000004</v>
      </c>
      <c r="E66" s="315">
        <v>801.38929759999996</v>
      </c>
      <c r="F66" s="315">
        <v>783.45481029999996</v>
      </c>
      <c r="G66" s="315">
        <v>784.02445929999999</v>
      </c>
      <c r="H66" s="315">
        <f>AVERAGE(B66:G66)</f>
        <v>782.94247331999998</v>
      </c>
      <c r="I66" s="315"/>
    </row>
    <row r="67" spans="1:13" x14ac:dyDescent="0.2">
      <c r="A67" t="s">
        <v>183</v>
      </c>
      <c r="B67" t="s">
        <v>174</v>
      </c>
      <c r="C67">
        <v>913947.54079999996</v>
      </c>
      <c r="D67">
        <v>915674.28370000003</v>
      </c>
      <c r="E67">
        <v>920358.7622</v>
      </c>
      <c r="F67">
        <v>921169.86739999999</v>
      </c>
      <c r="G67">
        <v>923688.0196</v>
      </c>
      <c r="I67">
        <f>C67-$H$66</f>
        <v>913164.5983266799</v>
      </c>
      <c r="J67">
        <f t="shared" ref="J67:M67" si="55">D67-$H$66</f>
        <v>914891.34122667997</v>
      </c>
      <c r="K67">
        <f t="shared" si="55"/>
        <v>919575.81972667994</v>
      </c>
      <c r="L67">
        <f t="shared" si="55"/>
        <v>920386.92492667993</v>
      </c>
      <c r="M67">
        <f t="shared" si="55"/>
        <v>922905.07712667994</v>
      </c>
    </row>
  </sheetData>
  <pageMargins left="0.511811024" right="0.511811024" top="0.78740157499999996" bottom="0.78740157499999996" header="0.31496062000000002" footer="0.31496062000000002"/>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2</vt:i4>
      </vt:variant>
    </vt:vector>
  </HeadingPairs>
  <TitlesOfParts>
    <vt:vector size="14" baseType="lpstr">
      <vt:lpstr>Instruções de uso_Histórico</vt:lpstr>
      <vt:lpstr>Entrada das massas</vt:lpstr>
      <vt:lpstr>Massas Corrigidas</vt:lpstr>
      <vt:lpstr>Entrada das intensidades</vt:lpstr>
      <vt:lpstr>Cálculos</vt:lpstr>
      <vt:lpstr> Principal</vt:lpstr>
      <vt:lpstr>Dados e cálculos</vt:lpstr>
      <vt:lpstr>Adequação da curva</vt:lpstr>
      <vt:lpstr>Teste de consistência</vt:lpstr>
      <vt:lpstr>Dados externos</vt:lpstr>
      <vt:lpstr>Cálculos Extras</vt:lpstr>
      <vt:lpstr>Sinal</vt:lpstr>
      <vt:lpstr>Sinal!_21DEZ17_ALIQUOTA_106</vt:lpstr>
      <vt:lpstr>' Principal'!Area_de_impressao</vt:lpstr>
    </vt:vector>
  </TitlesOfParts>
  <Company>Minha Casa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Thiago de Oliveira Araujo</dc:creator>
  <cp:lastModifiedBy>Eduardo B Pinto</cp:lastModifiedBy>
  <cp:lastPrinted>2007-07-09T11:41:43Z</cp:lastPrinted>
  <dcterms:created xsi:type="dcterms:W3CDTF">2003-08-11T19:57:55Z</dcterms:created>
  <dcterms:modified xsi:type="dcterms:W3CDTF">2023-08-31T15:37:16Z</dcterms:modified>
</cp:coreProperties>
</file>